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Loja" sheetId="2" state="visible" r:id="rId2"/>
    <sheet xmlns:r="http://schemas.openxmlformats.org/officeDocument/2006/relationships" name="Produtos" sheetId="3" state="visible" r:id="rId3"/>
    <sheet xmlns:r="http://schemas.openxmlformats.org/officeDocument/2006/relationships" name="Vended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"/>
    <numFmt numFmtId="167" formatCode="&quot;Mês &quot;0"/>
    <numFmt numFmtId="168" formatCode="0.0%"/>
  </numFmts>
  <fonts count="4">
    <font>
      <name val="Calibri"/>
      <family val="2"/>
      <color theme="1"/>
      <sz val="11"/>
      <scheme val="minor"/>
    </font>
    <font>
      <b val="1"/>
      <color rgb="00217346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173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166" fontId="0" fillId="0" borderId="0" pivotButton="0" quotePrefix="0" xfId="0"/>
    <xf numFmtId="166" fontId="2" fillId="0" borderId="0" pivotButton="0" quotePrefix="0" xfId="0"/>
    <xf numFmtId="167" fontId="3" fillId="3" borderId="0" pivotButton="0" quotePrefix="0" xfId="0"/>
    <xf numFmtId="168" fontId="0" fillId="0" borderId="0" pivotButton="0" quotePrefix="0" xfId="0"/>
    <xf numFmtId="0" fontId="0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oja" displayName="tbLoja" ref="A1:M301" headerRowCount="1">
  <autoFilter ref="A1:M301"/>
  <tableColumns count="13">
    <tableColumn id="1" name="ID_Venda"/>
    <tableColumn id="2" name="Data"/>
    <tableColumn id="3" name="ID_Vendedor"/>
    <tableColumn id="4" name="Cod_Produto"/>
    <tableColumn id="5" name="Quantidade"/>
    <tableColumn id="6" name="Preço Unitário"/>
    <tableColumn id="7" name="Produto"/>
    <tableColumn id="8" name="Categoria"/>
    <tableColumn id="9" name="Custo Unitário"/>
    <tableColumn id="10" name="Vendedor"/>
    <tableColumn id="11" name="Faturamento"/>
    <tableColumn id="12" name="Lucro"/>
    <tableColumn id="13" name="Mês"/>
  </tableColumns>
  <tableStyleInfo name="TableStyleMedium7" showRowStripes="1"/>
</table>
</file>

<file path=xl/tables/table2.xml><?xml version="1.0" encoding="utf-8"?>
<table xmlns="http://schemas.openxmlformats.org/spreadsheetml/2006/main" id="2" name="tbProdutos" displayName="tbProdutos" ref="A1:E11" headerRowCount="1">
  <autoFilter ref="A1:E11"/>
  <tableColumns count="5">
    <tableColumn id="1" name="Cod_Produto"/>
    <tableColumn id="2" name="Produto"/>
    <tableColumn id="3" name="Categoria"/>
    <tableColumn id="4" name="Custo Unitário"/>
    <tableColumn id="5" name="Preço Tabela"/>
  </tableColumns>
  <tableStyleInfo name="TableStyleMedium7" showRowStripes="1"/>
</table>
</file>

<file path=xl/tables/table3.xml><?xml version="1.0" encoding="utf-8"?>
<table xmlns="http://schemas.openxmlformats.org/spreadsheetml/2006/main" id="3" name="tbVendedores" displayName="tbVendedores" ref="A1:D8" headerRowCount="1">
  <autoFilter ref="A1:D8"/>
  <tableColumns count="4">
    <tableColumn id="1" name="ID_Vendedor"/>
    <tableColumn id="2" name="Vendedor"/>
    <tableColumn id="3" name="Região"/>
    <tableColumn id="4" name="Meta Mensal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Resumo da Loja Física · 1º trimestre 2026 (feito com fórmulas)</t>
        </is>
      </c>
    </row>
    <row r="3">
      <c r="A3" s="2" t="inlineStr">
        <is>
          <t>1) Faturamento por Categoria (SOMASE)</t>
        </is>
      </c>
    </row>
    <row r="4">
      <c r="A4" s="3" t="inlineStr">
        <is>
          <t>Categoria</t>
        </is>
      </c>
      <c r="B4" s="3" t="inlineStr">
        <is>
          <t>Faturamento</t>
        </is>
      </c>
    </row>
    <row r="5">
      <c r="A5" t="inlineStr">
        <is>
          <t>Computadores</t>
        </is>
      </c>
      <c r="B5" s="4">
        <f>SUMIF(tbLoja[Categoria],A5,tbLoja[Faturamento])</f>
        <v/>
      </c>
    </row>
    <row r="6">
      <c r="A6" t="inlineStr">
        <is>
          <t>Monitores</t>
        </is>
      </c>
      <c r="B6" s="4">
        <f>SUMIF(tbLoja[Categoria],A6,tbLoja[Faturamento])</f>
        <v/>
      </c>
    </row>
    <row r="7">
      <c r="A7" t="inlineStr">
        <is>
          <t>Periféricos</t>
        </is>
      </c>
      <c r="B7" s="4">
        <f>SUMIF(tbLoja[Categoria],A7,tbLoja[Faturamento])</f>
        <v/>
      </c>
    </row>
    <row r="8">
      <c r="A8" t="inlineStr">
        <is>
          <t>Armazenamento</t>
        </is>
      </c>
      <c r="B8" s="4">
        <f>SUMIF(tbLoja[Categoria],A8,tbLoja[Faturamento])</f>
        <v/>
      </c>
    </row>
    <row r="9">
      <c r="A9" t="inlineStr">
        <is>
          <t>Impressão</t>
        </is>
      </c>
      <c r="B9" s="4">
        <f>SUMIF(tbLoja[Categoria],A9,tbLoja[Faturamento])</f>
        <v/>
      </c>
    </row>
    <row r="10">
      <c r="A10" s="2" t="inlineStr">
        <is>
          <t>Total</t>
        </is>
      </c>
      <c r="B10" s="5">
        <f>SUM(B5:B9)</f>
        <v/>
      </c>
    </row>
    <row r="12">
      <c r="A12" s="2" t="inlineStr">
        <is>
          <t>2) Faturamento por Categoria e Mês (SOMASES)</t>
        </is>
      </c>
    </row>
    <row r="13">
      <c r="A13" s="3" t="inlineStr">
        <is>
          <t>Categoria</t>
        </is>
      </c>
      <c r="B13" s="6" t="n">
        <v>1</v>
      </c>
      <c r="C13" s="6" t="n">
        <v>2</v>
      </c>
      <c r="D13" s="6" t="n">
        <v>3</v>
      </c>
      <c r="E13" s="3" t="inlineStr">
        <is>
          <t>Total</t>
        </is>
      </c>
    </row>
    <row r="14">
      <c r="A14" t="inlineStr">
        <is>
          <t>Computadores</t>
        </is>
      </c>
      <c r="B14" s="4">
        <f>SUMIFS(tbLoja[Faturamento],tbLoja[Categoria],$A14,tbLoja[Mês],B$13)</f>
        <v/>
      </c>
      <c r="C14" s="4">
        <f>SUMIFS(tbLoja[Faturamento],tbLoja[Categoria],$A14,tbLoja[Mês],C$13)</f>
        <v/>
      </c>
      <c r="D14" s="4">
        <f>SUMIFS(tbLoja[Faturamento],tbLoja[Categoria],$A14,tbLoja[Mês],D$13)</f>
        <v/>
      </c>
      <c r="E14" s="4">
        <f>SUM(B14:D14)</f>
        <v/>
      </c>
    </row>
    <row r="15">
      <c r="A15" t="inlineStr">
        <is>
          <t>Monitores</t>
        </is>
      </c>
      <c r="B15" s="4">
        <f>SUMIFS(tbLoja[Faturamento],tbLoja[Categoria],$A15,tbLoja[Mês],B$13)</f>
        <v/>
      </c>
      <c r="C15" s="4">
        <f>SUMIFS(tbLoja[Faturamento],tbLoja[Categoria],$A15,tbLoja[Mês],C$13)</f>
        <v/>
      </c>
      <c r="D15" s="4">
        <f>SUMIFS(tbLoja[Faturamento],tbLoja[Categoria],$A15,tbLoja[Mês],D$13)</f>
        <v/>
      </c>
      <c r="E15" s="4">
        <f>SUM(B15:D15)</f>
        <v/>
      </c>
    </row>
    <row r="16">
      <c r="A16" t="inlineStr">
        <is>
          <t>Periféricos</t>
        </is>
      </c>
      <c r="B16" s="4">
        <f>SUMIFS(tbLoja[Faturamento],tbLoja[Categoria],$A16,tbLoja[Mês],B$13)</f>
        <v/>
      </c>
      <c r="C16" s="4">
        <f>SUMIFS(tbLoja[Faturamento],tbLoja[Categoria],$A16,tbLoja[Mês],C$13)</f>
        <v/>
      </c>
      <c r="D16" s="4">
        <f>SUMIFS(tbLoja[Faturamento],tbLoja[Categoria],$A16,tbLoja[Mês],D$13)</f>
        <v/>
      </c>
      <c r="E16" s="4">
        <f>SUM(B16:D16)</f>
        <v/>
      </c>
    </row>
    <row r="17">
      <c r="A17" t="inlineStr">
        <is>
          <t>Armazenamento</t>
        </is>
      </c>
      <c r="B17" s="4">
        <f>SUMIFS(tbLoja[Faturamento],tbLoja[Categoria],$A17,tbLoja[Mês],B$13)</f>
        <v/>
      </c>
      <c r="C17" s="4">
        <f>SUMIFS(tbLoja[Faturamento],tbLoja[Categoria],$A17,tbLoja[Mês],C$13)</f>
        <v/>
      </c>
      <c r="D17" s="4">
        <f>SUMIFS(tbLoja[Faturamento],tbLoja[Categoria],$A17,tbLoja[Mês],D$13)</f>
        <v/>
      </c>
      <c r="E17" s="4">
        <f>SUM(B17:D17)</f>
        <v/>
      </c>
    </row>
    <row r="18">
      <c r="A18" t="inlineStr">
        <is>
          <t>Impressão</t>
        </is>
      </c>
      <c r="B18" s="4">
        <f>SUMIFS(tbLoja[Faturamento],tbLoja[Categoria],$A18,tbLoja[Mês],B$13)</f>
        <v/>
      </c>
      <c r="C18" s="4">
        <f>SUMIFS(tbLoja[Faturamento],tbLoja[Categoria],$A18,tbLoja[Mês],C$13)</f>
        <v/>
      </c>
      <c r="D18" s="4">
        <f>SUMIFS(tbLoja[Faturamento],tbLoja[Categoria],$A18,tbLoja[Mês],D$13)</f>
        <v/>
      </c>
      <c r="E18" s="4">
        <f>SUM(B18:D18)</f>
        <v/>
      </c>
    </row>
    <row r="20">
      <c r="A20" s="2" t="inlineStr">
        <is>
          <t>3) Meta x Realizado por Vendedor no trimestre (SOMASES + PROCX)</t>
        </is>
      </c>
    </row>
    <row r="21">
      <c r="A21" s="3" t="inlineStr">
        <is>
          <t>ID_Vendedor</t>
        </is>
      </c>
      <c r="B21" s="3" t="inlineStr">
        <is>
          <t>Vendedor</t>
        </is>
      </c>
      <c r="C21" s="3" t="inlineStr">
        <is>
          <t>Realizado</t>
        </is>
      </c>
      <c r="D21" s="3" t="inlineStr">
        <is>
          <t>Meta Trimestre</t>
        </is>
      </c>
      <c r="E21" s="3" t="inlineStr">
        <is>
          <t>% Atingido</t>
        </is>
      </c>
      <c r="F21" s="3" t="inlineStr">
        <is>
          <t>Situação</t>
        </is>
      </c>
    </row>
    <row r="22">
      <c r="A22" t="inlineStr">
        <is>
          <t>V01</t>
        </is>
      </c>
      <c r="B22">
        <f>_xlfn.XLOOKUP(A22,tbVendedores[ID_Vendedor],tbVendedores[Vendedor])</f>
        <v/>
      </c>
      <c r="C22" s="4">
        <f>SUMIFS(tbLoja[Faturamento],tbLoja[ID_Vendedor],A22)</f>
        <v/>
      </c>
      <c r="D22" s="4">
        <f>_xlfn.XLOOKUP(A22,tbVendedores[ID_Vendedor],tbVendedores[Meta Mensal])*3</f>
        <v/>
      </c>
      <c r="E22" s="7">
        <f>IFERROR(C22/D22,0)</f>
        <v/>
      </c>
      <c r="F22">
        <f>IF(E22&gt;=1,"Bateu a meta","Abaixo da meta")</f>
        <v/>
      </c>
    </row>
    <row r="23">
      <c r="A23" t="inlineStr">
        <is>
          <t>V02</t>
        </is>
      </c>
      <c r="B23">
        <f>_xlfn.XLOOKUP(A23,tbVendedores[ID_Vendedor],tbVendedores[Vendedor])</f>
        <v/>
      </c>
      <c r="C23" s="4">
        <f>SUMIFS(tbLoja[Faturamento],tbLoja[ID_Vendedor],A23)</f>
        <v/>
      </c>
      <c r="D23" s="4">
        <f>_xlfn.XLOOKUP(A23,tbVendedores[ID_Vendedor],tbVendedores[Meta Mensal])*3</f>
        <v/>
      </c>
      <c r="E23" s="7">
        <f>IFERROR(C23/D23,0)</f>
        <v/>
      </c>
      <c r="F23">
        <f>IF(E23&gt;=1,"Bateu a meta","Abaixo da meta")</f>
        <v/>
      </c>
    </row>
    <row r="24">
      <c r="A24" t="inlineStr">
        <is>
          <t>V03</t>
        </is>
      </c>
      <c r="B24">
        <f>_xlfn.XLOOKUP(A24,tbVendedores[ID_Vendedor],tbVendedores[Vendedor])</f>
        <v/>
      </c>
      <c r="C24" s="4">
        <f>SUMIFS(tbLoja[Faturamento],tbLoja[ID_Vendedor],A24)</f>
        <v/>
      </c>
      <c r="D24" s="4">
        <f>_xlfn.XLOOKUP(A24,tbVendedores[ID_Vendedor],tbVendedores[Meta Mensal])*3</f>
        <v/>
      </c>
      <c r="E24" s="7">
        <f>IFERROR(C24/D24,0)</f>
        <v/>
      </c>
      <c r="F24">
        <f>IF(E24&gt;=1,"Bateu a meta","Abaixo da meta")</f>
        <v/>
      </c>
    </row>
    <row r="25">
      <c r="A25" t="inlineStr">
        <is>
          <t>V04</t>
        </is>
      </c>
      <c r="B25">
        <f>_xlfn.XLOOKUP(A25,tbVendedores[ID_Vendedor],tbVendedores[Vendedor])</f>
        <v/>
      </c>
      <c r="C25" s="4">
        <f>SUMIFS(tbLoja[Faturamento],tbLoja[ID_Vendedor],A25)</f>
        <v/>
      </c>
      <c r="D25" s="4">
        <f>_xlfn.XLOOKUP(A25,tbVendedores[ID_Vendedor],tbVendedores[Meta Mensal])*3</f>
        <v/>
      </c>
      <c r="E25" s="7">
        <f>IFERROR(C25/D25,0)</f>
        <v/>
      </c>
      <c r="F25">
        <f>IF(E25&gt;=1,"Bateu a meta","Abaixo da meta")</f>
        <v/>
      </c>
    </row>
    <row r="26">
      <c r="A26" t="inlineStr">
        <is>
          <t>V05</t>
        </is>
      </c>
      <c r="B26">
        <f>_xlfn.XLOOKUP(A26,tbVendedores[ID_Vendedor],tbVendedores[Vendedor])</f>
        <v/>
      </c>
      <c r="C26" s="4">
        <f>SUMIFS(tbLoja[Faturamento],tbLoja[ID_Vendedor],A26)</f>
        <v/>
      </c>
      <c r="D26" s="4">
        <f>_xlfn.XLOOKUP(A26,tbVendedores[ID_Vendedor],tbVendedores[Meta Mensal])*3</f>
        <v/>
      </c>
      <c r="E26" s="7">
        <f>IFERROR(C26/D26,0)</f>
        <v/>
      </c>
      <c r="F26">
        <f>IF(E26&gt;=1,"Bateu a meta","Abaixo da meta")</f>
        <v/>
      </c>
    </row>
    <row r="27">
      <c r="A27" t="inlineStr">
        <is>
          <t>V06</t>
        </is>
      </c>
      <c r="B27">
        <f>_xlfn.XLOOKUP(A27,tbVendedores[ID_Vendedor],tbVendedores[Vendedor])</f>
        <v/>
      </c>
      <c r="C27" s="4">
        <f>SUMIFS(tbLoja[Faturamento],tbLoja[ID_Vendedor],A27)</f>
        <v/>
      </c>
      <c r="D27" s="4">
        <f>_xlfn.XLOOKUP(A27,tbVendedores[ID_Vendedor],tbVendedores[Meta Mensal])*3</f>
        <v/>
      </c>
      <c r="E27" s="7">
        <f>IFERROR(C27/D27,0)</f>
        <v/>
      </c>
      <c r="F27">
        <f>IF(E27&gt;=1,"Bateu a meta","Abaixo da meta")</f>
        <v/>
      </c>
    </row>
    <row r="29">
      <c r="A29" s="2" t="inlineStr">
        <is>
          <t>4) Conferência com o Power Query (preencher na Parte 2)</t>
        </is>
      </c>
    </row>
    <row r="30">
      <c r="A30" s="3" t="inlineStr">
        <is>
          <t>Total fórmulas</t>
        </is>
      </c>
      <c r="B30" s="3" t="inlineStr">
        <is>
          <t>Total Power Query</t>
        </is>
      </c>
      <c r="C30" s="3" t="inlineStr">
        <is>
          <t>Diferença</t>
        </is>
      </c>
      <c r="D30" s="3" t="inlineStr">
        <is>
          <t>Status</t>
        </is>
      </c>
    </row>
    <row r="31">
      <c r="A31" s="4">
        <f>SUM(tbLoja[Faturamento])</f>
        <v/>
      </c>
      <c r="B31" s="4" t="n"/>
      <c r="C31" s="4">
        <f>A31-B31</f>
        <v/>
      </c>
      <c r="D31">
        <f>IF(ROUND(C31,2)=0,"✔ Bateu","✘ Conferir")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3" customWidth="1" min="4" max="4"/>
    <col width="12" customWidth="1" min="5" max="5"/>
    <col width="15" customWidth="1" min="6" max="6"/>
    <col width="20" customWidth="1" min="7" max="7"/>
    <col width="16" customWidth="1" min="8" max="8"/>
    <col width="15" customWidth="1" min="9" max="9"/>
    <col width="15" customWidth="1" min="10" max="10"/>
    <col width="15" customWidth="1" min="11" max="11"/>
    <col width="14" customWidth="1" min="12" max="12"/>
    <col width="7" customWidth="1" min="13" max="13"/>
  </cols>
  <sheetData>
    <row r="1">
      <c r="A1" t="inlineStr">
        <is>
          <t>ID_Venda</t>
        </is>
      </c>
      <c r="B1" t="inlineStr">
        <is>
          <t>Data</t>
        </is>
      </c>
      <c r="C1" t="inlineStr">
        <is>
          <t>ID_Vendedor</t>
        </is>
      </c>
      <c r="D1" t="inlineStr">
        <is>
          <t>Cod_Produto</t>
        </is>
      </c>
      <c r="E1" t="inlineStr">
        <is>
          <t>Quantidade</t>
        </is>
      </c>
      <c r="F1" t="inlineStr">
        <is>
          <t>Preço Unitário</t>
        </is>
      </c>
      <c r="G1" s="8" t="inlineStr">
        <is>
          <t>Produto</t>
        </is>
      </c>
      <c r="H1" s="8" t="inlineStr">
        <is>
          <t>Categoria</t>
        </is>
      </c>
      <c r="I1" s="8" t="inlineStr">
        <is>
          <t>Custo Unitário</t>
        </is>
      </c>
      <c r="J1" s="8" t="inlineStr">
        <is>
          <t>Vendedor</t>
        </is>
      </c>
      <c r="K1" s="8" t="inlineStr">
        <is>
          <t>Faturamento</t>
        </is>
      </c>
      <c r="L1" s="8" t="inlineStr">
        <is>
          <t>Lucro</t>
        </is>
      </c>
      <c r="M1" s="8" t="inlineStr">
        <is>
          <t>Mês</t>
        </is>
      </c>
    </row>
    <row r="2">
      <c r="A2" t="inlineStr">
        <is>
          <t>L0001</t>
        </is>
      </c>
      <c r="B2" s="9" t="n">
        <v>46023</v>
      </c>
      <c r="C2" t="inlineStr">
        <is>
          <t>V01</t>
        </is>
      </c>
      <c r="D2" t="inlineStr">
        <is>
          <t>P002</t>
        </is>
      </c>
      <c r="E2" t="n">
        <v>1</v>
      </c>
      <c r="F2" s="4" t="n">
        <v>3299</v>
      </c>
      <c r="G2">
        <f>_xlfn.XLOOKUP(tbLoja[[#This Row],[Cod_Produto]],tbProdutos[Cod_Produto],tbProdutos[Produto],"Não cadastrado")</f>
        <v/>
      </c>
      <c r="H2">
        <f>_xlfn.XLOOKUP(tbLoja[[#This Row],[Cod_Produto]],tbProdutos[Cod_Produto],tbProdutos[Categoria],"Não cadastrado")</f>
        <v/>
      </c>
      <c r="I2" s="4">
        <f>_xlfn.XLOOKUP(tbLoja[[#This Row],[Cod_Produto]],tbProdutos[Cod_Produto],tbProdutos[Custo Unitário],0)</f>
        <v/>
      </c>
      <c r="J2">
        <f>_xlfn.XLOOKUP(tbLoja[[#This Row],[ID_Vendedor]],tbVendedores[ID_Vendedor],tbVendedores[Vendedor],"Não cadastrado")</f>
        <v/>
      </c>
      <c r="K2" s="4">
        <f>tbLoja[[#This Row],[Quantidade]]*tbLoja[[#This Row],[Preço Unitário]]</f>
        <v/>
      </c>
      <c r="L2" s="4">
        <f>tbLoja[[#This Row],[Faturamento]]-tbLoja[[#This Row],[Quantidade]]*tbLoja[[#This Row],[Custo Unitário]]</f>
        <v/>
      </c>
      <c r="M2">
        <f>MONTH(tbLoja[[#This Row],[Data]])</f>
        <v/>
      </c>
    </row>
    <row r="3">
      <c r="A3" t="inlineStr">
        <is>
          <t>L0002</t>
        </is>
      </c>
      <c r="B3" s="9" t="n">
        <v>46023</v>
      </c>
      <c r="C3" t="inlineStr">
        <is>
          <t>V04</t>
        </is>
      </c>
      <c r="D3" t="inlineStr">
        <is>
          <t>P008</t>
        </is>
      </c>
      <c r="E3" t="n">
        <v>2</v>
      </c>
      <c r="F3" s="4" t="n">
        <v>259</v>
      </c>
      <c r="G3">
        <f>_xlfn.XLOOKUP(tbLoja[[#This Row],[Cod_Produto]],tbProdutos[Cod_Produto],tbProdutos[Produto],"Não cadastrado")</f>
        <v/>
      </c>
      <c r="H3">
        <f>_xlfn.XLOOKUP(tbLoja[[#This Row],[Cod_Produto]],tbProdutos[Cod_Produto],tbProdutos[Categoria],"Não cadastrado")</f>
        <v/>
      </c>
      <c r="I3" s="4">
        <f>_xlfn.XLOOKUP(tbLoja[[#This Row],[Cod_Produto]],tbProdutos[Cod_Produto],tbProdutos[Custo Unitário],0)</f>
        <v/>
      </c>
      <c r="J3">
        <f>_xlfn.XLOOKUP(tbLoja[[#This Row],[ID_Vendedor]],tbVendedores[ID_Vendedor],tbVendedores[Vendedor],"Não cadastrado")</f>
        <v/>
      </c>
      <c r="K3" s="4">
        <f>tbLoja[[#This Row],[Quantidade]]*tbLoja[[#This Row],[Preço Unitário]]</f>
        <v/>
      </c>
      <c r="L3" s="4">
        <f>tbLoja[[#This Row],[Faturamento]]-tbLoja[[#This Row],[Quantidade]]*tbLoja[[#This Row],[Custo Unitário]]</f>
        <v/>
      </c>
      <c r="M3">
        <f>MONTH(tbLoja[[#This Row],[Data]])</f>
        <v/>
      </c>
    </row>
    <row r="4">
      <c r="A4" t="inlineStr">
        <is>
          <t>L0003</t>
        </is>
      </c>
      <c r="B4" s="9" t="n">
        <v>46023</v>
      </c>
      <c r="C4" t="inlineStr">
        <is>
          <t>V05</t>
        </is>
      </c>
      <c r="D4" t="inlineStr">
        <is>
          <t>P006</t>
        </is>
      </c>
      <c r="E4" t="n">
        <v>1</v>
      </c>
      <c r="F4" s="4" t="n">
        <v>119</v>
      </c>
      <c r="G4">
        <f>_xlfn.XLOOKUP(tbLoja[[#This Row],[Cod_Produto]],tbProdutos[Cod_Produto],tbProdutos[Produto],"Não cadastrado")</f>
        <v/>
      </c>
      <c r="H4">
        <f>_xlfn.XLOOKUP(tbLoja[[#This Row],[Cod_Produto]],tbProdutos[Cod_Produto],tbProdutos[Categoria],"Não cadastrado")</f>
        <v/>
      </c>
      <c r="I4" s="4">
        <f>_xlfn.XLOOKUP(tbLoja[[#This Row],[Cod_Produto]],tbProdutos[Cod_Produto],tbProdutos[Custo Unitário],0)</f>
        <v/>
      </c>
      <c r="J4">
        <f>_xlfn.XLOOKUP(tbLoja[[#This Row],[ID_Vendedor]],tbVendedores[ID_Vendedor],tbVendedores[Vendedor],"Não cadastrado")</f>
        <v/>
      </c>
      <c r="K4" s="4">
        <f>tbLoja[[#This Row],[Quantidade]]*tbLoja[[#This Row],[Preço Unitário]]</f>
        <v/>
      </c>
      <c r="L4" s="4">
        <f>tbLoja[[#This Row],[Faturamento]]-tbLoja[[#This Row],[Quantidade]]*tbLoja[[#This Row],[Custo Unitário]]</f>
        <v/>
      </c>
      <c r="M4">
        <f>MONTH(tbLoja[[#This Row],[Data]])</f>
        <v/>
      </c>
    </row>
    <row r="5">
      <c r="A5" t="inlineStr">
        <is>
          <t>L0004</t>
        </is>
      </c>
      <c r="B5" s="9" t="n">
        <v>46023</v>
      </c>
      <c r="C5" t="inlineStr">
        <is>
          <t>V02</t>
        </is>
      </c>
      <c r="D5" t="inlineStr">
        <is>
          <t>P003</t>
        </is>
      </c>
      <c r="E5" t="n">
        <v>2</v>
      </c>
      <c r="F5" s="4" t="n">
        <v>1599</v>
      </c>
      <c r="G5">
        <f>_xlfn.XLOOKUP(tbLoja[[#This Row],[Cod_Produto]],tbProdutos[Cod_Produto],tbProdutos[Produto],"Não cadastrado")</f>
        <v/>
      </c>
      <c r="H5">
        <f>_xlfn.XLOOKUP(tbLoja[[#This Row],[Cod_Produto]],tbProdutos[Cod_Produto],tbProdutos[Categoria],"Não cadastrado")</f>
        <v/>
      </c>
      <c r="I5" s="4">
        <f>_xlfn.XLOOKUP(tbLoja[[#This Row],[Cod_Produto]],tbProdutos[Cod_Produto],tbProdutos[Custo Unitário],0)</f>
        <v/>
      </c>
      <c r="J5">
        <f>_xlfn.XLOOKUP(tbLoja[[#This Row],[ID_Vendedor]],tbVendedores[ID_Vendedor],tbVendedores[Vendedor],"Não cadastrado")</f>
        <v/>
      </c>
      <c r="K5" s="4">
        <f>tbLoja[[#This Row],[Quantidade]]*tbLoja[[#This Row],[Preço Unitário]]</f>
        <v/>
      </c>
      <c r="L5" s="4">
        <f>tbLoja[[#This Row],[Faturamento]]-tbLoja[[#This Row],[Quantidade]]*tbLoja[[#This Row],[Custo Unitário]]</f>
        <v/>
      </c>
      <c r="M5">
        <f>MONTH(tbLoja[[#This Row],[Data]])</f>
        <v/>
      </c>
    </row>
    <row r="6">
      <c r="A6" t="inlineStr">
        <is>
          <t>L0005</t>
        </is>
      </c>
      <c r="B6" s="9" t="n">
        <v>46023</v>
      </c>
      <c r="C6" t="inlineStr">
        <is>
          <t>V01</t>
        </is>
      </c>
      <c r="D6" t="inlineStr">
        <is>
          <t>P006</t>
        </is>
      </c>
      <c r="E6" t="n">
        <v>4</v>
      </c>
      <c r="F6" s="4" t="n">
        <v>119</v>
      </c>
      <c r="G6">
        <f>_xlfn.XLOOKUP(tbLoja[[#This Row],[Cod_Produto]],tbProdutos[Cod_Produto],tbProdutos[Produto],"Não cadastrado")</f>
        <v/>
      </c>
      <c r="H6">
        <f>_xlfn.XLOOKUP(tbLoja[[#This Row],[Cod_Produto]],tbProdutos[Cod_Produto],tbProdutos[Categoria],"Não cadastrado")</f>
        <v/>
      </c>
      <c r="I6" s="4">
        <f>_xlfn.XLOOKUP(tbLoja[[#This Row],[Cod_Produto]],tbProdutos[Cod_Produto],tbProdutos[Custo Unitário],0)</f>
        <v/>
      </c>
      <c r="J6">
        <f>_xlfn.XLOOKUP(tbLoja[[#This Row],[ID_Vendedor]],tbVendedores[ID_Vendedor],tbVendedores[Vendedor],"Não cadastrado")</f>
        <v/>
      </c>
      <c r="K6" s="4">
        <f>tbLoja[[#This Row],[Quantidade]]*tbLoja[[#This Row],[Preço Unitário]]</f>
        <v/>
      </c>
      <c r="L6" s="4">
        <f>tbLoja[[#This Row],[Faturamento]]-tbLoja[[#This Row],[Quantidade]]*tbLoja[[#This Row],[Custo Unitário]]</f>
        <v/>
      </c>
      <c r="M6">
        <f>MONTH(tbLoja[[#This Row],[Data]])</f>
        <v/>
      </c>
    </row>
    <row r="7">
      <c r="A7" t="inlineStr">
        <is>
          <t>L0006</t>
        </is>
      </c>
      <c r="B7" s="9" t="n">
        <v>46023</v>
      </c>
      <c r="C7" t="inlineStr">
        <is>
          <t>V01</t>
        </is>
      </c>
      <c r="D7" t="inlineStr">
        <is>
          <t>P010</t>
        </is>
      </c>
      <c r="E7" t="n">
        <v>1</v>
      </c>
      <c r="F7" s="4" t="n">
        <v>1299</v>
      </c>
      <c r="G7">
        <f>_xlfn.XLOOKUP(tbLoja[[#This Row],[Cod_Produto]],tbProdutos[Cod_Produto],tbProdutos[Produto],"Não cadastrado")</f>
        <v/>
      </c>
      <c r="H7">
        <f>_xlfn.XLOOKUP(tbLoja[[#This Row],[Cod_Produto]],tbProdutos[Cod_Produto],tbProdutos[Categoria],"Não cadastrado")</f>
        <v/>
      </c>
      <c r="I7" s="4">
        <f>_xlfn.XLOOKUP(tbLoja[[#This Row],[Cod_Produto]],tbProdutos[Cod_Produto],tbProdutos[Custo Unitário],0)</f>
        <v/>
      </c>
      <c r="J7">
        <f>_xlfn.XLOOKUP(tbLoja[[#This Row],[ID_Vendedor]],tbVendedores[ID_Vendedor],tbVendedores[Vendedor],"Não cadastrado")</f>
        <v/>
      </c>
      <c r="K7" s="4">
        <f>tbLoja[[#This Row],[Quantidade]]*tbLoja[[#This Row],[Preço Unitário]]</f>
        <v/>
      </c>
      <c r="L7" s="4">
        <f>tbLoja[[#This Row],[Faturamento]]-tbLoja[[#This Row],[Quantidade]]*tbLoja[[#This Row],[Custo Unitário]]</f>
        <v/>
      </c>
      <c r="M7">
        <f>MONTH(tbLoja[[#This Row],[Data]])</f>
        <v/>
      </c>
    </row>
    <row r="8">
      <c r="A8" t="inlineStr">
        <is>
          <t>L0007</t>
        </is>
      </c>
      <c r="B8" s="9" t="n">
        <v>46024</v>
      </c>
      <c r="C8" t="inlineStr">
        <is>
          <t>V02</t>
        </is>
      </c>
      <c r="D8" t="inlineStr">
        <is>
          <t>P005</t>
        </is>
      </c>
      <c r="E8" t="n">
        <v>3</v>
      </c>
      <c r="F8" s="4" t="n">
        <v>349</v>
      </c>
      <c r="G8">
        <f>_xlfn.XLOOKUP(tbLoja[[#This Row],[Cod_Produto]],tbProdutos[Cod_Produto],tbProdutos[Produto],"Não cadastrado")</f>
        <v/>
      </c>
      <c r="H8">
        <f>_xlfn.XLOOKUP(tbLoja[[#This Row],[Cod_Produto]],tbProdutos[Cod_Produto],tbProdutos[Categoria],"Não cadastrado")</f>
        <v/>
      </c>
      <c r="I8" s="4">
        <f>_xlfn.XLOOKUP(tbLoja[[#This Row],[Cod_Produto]],tbProdutos[Cod_Produto],tbProdutos[Custo Unitário],0)</f>
        <v/>
      </c>
      <c r="J8">
        <f>_xlfn.XLOOKUP(tbLoja[[#This Row],[ID_Vendedor]],tbVendedores[ID_Vendedor],tbVendedores[Vendedor],"Não cadastrado")</f>
        <v/>
      </c>
      <c r="K8" s="4">
        <f>tbLoja[[#This Row],[Quantidade]]*tbLoja[[#This Row],[Preço Unitário]]</f>
        <v/>
      </c>
      <c r="L8" s="4">
        <f>tbLoja[[#This Row],[Faturamento]]-tbLoja[[#This Row],[Quantidade]]*tbLoja[[#This Row],[Custo Unitário]]</f>
        <v/>
      </c>
      <c r="M8">
        <f>MONTH(tbLoja[[#This Row],[Data]])</f>
        <v/>
      </c>
    </row>
    <row r="9">
      <c r="A9" t="inlineStr">
        <is>
          <t>L0008</t>
        </is>
      </c>
      <c r="B9" s="9" t="n">
        <v>46024</v>
      </c>
      <c r="C9" t="inlineStr">
        <is>
          <t>V02</t>
        </is>
      </c>
      <c r="D9" t="inlineStr">
        <is>
          <t>P008</t>
        </is>
      </c>
      <c r="E9" t="n">
        <v>2</v>
      </c>
      <c r="F9" s="4" t="n">
        <v>259</v>
      </c>
      <c r="G9">
        <f>_xlfn.XLOOKUP(tbLoja[[#This Row],[Cod_Produto]],tbProdutos[Cod_Produto],tbProdutos[Produto],"Não cadastrado")</f>
        <v/>
      </c>
      <c r="H9">
        <f>_xlfn.XLOOKUP(tbLoja[[#This Row],[Cod_Produto]],tbProdutos[Cod_Produto],tbProdutos[Categoria],"Não cadastrado")</f>
        <v/>
      </c>
      <c r="I9" s="4">
        <f>_xlfn.XLOOKUP(tbLoja[[#This Row],[Cod_Produto]],tbProdutos[Cod_Produto],tbProdutos[Custo Unitário],0)</f>
        <v/>
      </c>
      <c r="J9">
        <f>_xlfn.XLOOKUP(tbLoja[[#This Row],[ID_Vendedor]],tbVendedores[ID_Vendedor],tbVendedores[Vendedor],"Não cadastrado")</f>
        <v/>
      </c>
      <c r="K9" s="4">
        <f>tbLoja[[#This Row],[Quantidade]]*tbLoja[[#This Row],[Preço Unitário]]</f>
        <v/>
      </c>
      <c r="L9" s="4">
        <f>tbLoja[[#This Row],[Faturamento]]-tbLoja[[#This Row],[Quantidade]]*tbLoja[[#This Row],[Custo Unitário]]</f>
        <v/>
      </c>
      <c r="M9">
        <f>MONTH(tbLoja[[#This Row],[Data]])</f>
        <v/>
      </c>
    </row>
    <row r="10">
      <c r="A10" t="inlineStr">
        <is>
          <t>L0009</t>
        </is>
      </c>
      <c r="B10" s="9" t="n">
        <v>46024</v>
      </c>
      <c r="C10" t="inlineStr">
        <is>
          <t>V03</t>
        </is>
      </c>
      <c r="D10" t="inlineStr">
        <is>
          <t>P006</t>
        </is>
      </c>
      <c r="E10" t="n">
        <v>2</v>
      </c>
      <c r="F10" s="4" t="n">
        <v>119</v>
      </c>
      <c r="G10">
        <f>_xlfn.XLOOKUP(tbLoja[[#This Row],[Cod_Produto]],tbProdutos[Cod_Produto],tbProdutos[Produto],"Não cadastrado")</f>
        <v/>
      </c>
      <c r="H10">
        <f>_xlfn.XLOOKUP(tbLoja[[#This Row],[Cod_Produto]],tbProdutos[Cod_Produto],tbProdutos[Categoria],"Não cadastrado")</f>
        <v/>
      </c>
      <c r="I10" s="4">
        <f>_xlfn.XLOOKUP(tbLoja[[#This Row],[Cod_Produto]],tbProdutos[Cod_Produto],tbProdutos[Custo Unitário],0)</f>
        <v/>
      </c>
      <c r="J10">
        <f>_xlfn.XLOOKUP(tbLoja[[#This Row],[ID_Vendedor]],tbVendedores[ID_Vendedor],tbVendedores[Vendedor],"Não cadastrado")</f>
        <v/>
      </c>
      <c r="K10" s="4">
        <f>tbLoja[[#This Row],[Quantidade]]*tbLoja[[#This Row],[Preço Unitário]]</f>
        <v/>
      </c>
      <c r="L10" s="4">
        <f>tbLoja[[#This Row],[Faturamento]]-tbLoja[[#This Row],[Quantidade]]*tbLoja[[#This Row],[Custo Unitário]]</f>
        <v/>
      </c>
      <c r="M10">
        <f>MONTH(tbLoja[[#This Row],[Data]])</f>
        <v/>
      </c>
    </row>
    <row r="11">
      <c r="A11" t="inlineStr">
        <is>
          <t>L0010</t>
        </is>
      </c>
      <c r="B11" s="9" t="n">
        <v>46024</v>
      </c>
      <c r="C11" t="inlineStr">
        <is>
          <t>V01</t>
        </is>
      </c>
      <c r="D11" t="inlineStr">
        <is>
          <t>P009</t>
        </is>
      </c>
      <c r="E11" t="n">
        <v>2</v>
      </c>
      <c r="F11" s="4" t="n">
        <v>499</v>
      </c>
      <c r="G11">
        <f>_xlfn.XLOOKUP(tbLoja[[#This Row],[Cod_Produto]],tbProdutos[Cod_Produto],tbProdutos[Produto],"Não cadastrado")</f>
        <v/>
      </c>
      <c r="H11">
        <f>_xlfn.XLOOKUP(tbLoja[[#This Row],[Cod_Produto]],tbProdutos[Cod_Produto],tbProdutos[Categoria],"Não cadastrado")</f>
        <v/>
      </c>
      <c r="I11" s="4">
        <f>_xlfn.XLOOKUP(tbLoja[[#This Row],[Cod_Produto]],tbProdutos[Cod_Produto],tbProdutos[Custo Unitário],0)</f>
        <v/>
      </c>
      <c r="J11">
        <f>_xlfn.XLOOKUP(tbLoja[[#This Row],[ID_Vendedor]],tbVendedores[ID_Vendedor],tbVendedores[Vendedor],"Não cadastrado")</f>
        <v/>
      </c>
      <c r="K11" s="4">
        <f>tbLoja[[#This Row],[Quantidade]]*tbLoja[[#This Row],[Preço Unitário]]</f>
        <v/>
      </c>
      <c r="L11" s="4">
        <f>tbLoja[[#This Row],[Faturamento]]-tbLoja[[#This Row],[Quantidade]]*tbLoja[[#This Row],[Custo Unitário]]</f>
        <v/>
      </c>
      <c r="M11">
        <f>MONTH(tbLoja[[#This Row],[Data]])</f>
        <v/>
      </c>
    </row>
    <row r="12">
      <c r="A12" t="inlineStr">
        <is>
          <t>L0011</t>
        </is>
      </c>
      <c r="B12" s="9" t="n">
        <v>46025</v>
      </c>
      <c r="C12" t="inlineStr">
        <is>
          <t>V03</t>
        </is>
      </c>
      <c r="D12" t="inlineStr">
        <is>
          <t>P006</t>
        </is>
      </c>
      <c r="E12" t="n">
        <v>2</v>
      </c>
      <c r="F12" s="4" t="n">
        <v>119</v>
      </c>
      <c r="G12">
        <f>_xlfn.XLOOKUP(tbLoja[[#This Row],[Cod_Produto]],tbProdutos[Cod_Produto],tbProdutos[Produto],"Não cadastrado")</f>
        <v/>
      </c>
      <c r="H12">
        <f>_xlfn.XLOOKUP(tbLoja[[#This Row],[Cod_Produto]],tbProdutos[Cod_Produto],tbProdutos[Categoria],"Não cadastrado")</f>
        <v/>
      </c>
      <c r="I12" s="4">
        <f>_xlfn.XLOOKUP(tbLoja[[#This Row],[Cod_Produto]],tbProdutos[Cod_Produto],tbProdutos[Custo Unitário],0)</f>
        <v/>
      </c>
      <c r="J12">
        <f>_xlfn.XLOOKUP(tbLoja[[#This Row],[ID_Vendedor]],tbVendedores[ID_Vendedor],tbVendedores[Vendedor],"Não cadastrado")</f>
        <v/>
      </c>
      <c r="K12" s="4">
        <f>tbLoja[[#This Row],[Quantidade]]*tbLoja[[#This Row],[Preço Unitário]]</f>
        <v/>
      </c>
      <c r="L12" s="4">
        <f>tbLoja[[#This Row],[Faturamento]]-tbLoja[[#This Row],[Quantidade]]*tbLoja[[#This Row],[Custo Unitário]]</f>
        <v/>
      </c>
      <c r="M12">
        <f>MONTH(tbLoja[[#This Row],[Data]])</f>
        <v/>
      </c>
    </row>
    <row r="13">
      <c r="A13" t="inlineStr">
        <is>
          <t>L0012</t>
        </is>
      </c>
      <c r="B13" s="9" t="n">
        <v>46025</v>
      </c>
      <c r="C13" t="inlineStr">
        <is>
          <t>V01</t>
        </is>
      </c>
      <c r="D13" t="inlineStr">
        <is>
          <t>P008</t>
        </is>
      </c>
      <c r="E13" t="n">
        <v>5</v>
      </c>
      <c r="F13" s="4" t="n">
        <v>259</v>
      </c>
      <c r="G13">
        <f>_xlfn.XLOOKUP(tbLoja[[#This Row],[Cod_Produto]],tbProdutos[Cod_Produto],tbProdutos[Produto],"Não cadastrado")</f>
        <v/>
      </c>
      <c r="H13">
        <f>_xlfn.XLOOKUP(tbLoja[[#This Row],[Cod_Produto]],tbProdutos[Cod_Produto],tbProdutos[Categoria],"Não cadastrado")</f>
        <v/>
      </c>
      <c r="I13" s="4">
        <f>_xlfn.XLOOKUP(tbLoja[[#This Row],[Cod_Produto]],tbProdutos[Cod_Produto],tbProdutos[Custo Unitário],0)</f>
        <v/>
      </c>
      <c r="J13">
        <f>_xlfn.XLOOKUP(tbLoja[[#This Row],[ID_Vendedor]],tbVendedores[ID_Vendedor],tbVendedores[Vendedor],"Não cadastrado")</f>
        <v/>
      </c>
      <c r="K13" s="4">
        <f>tbLoja[[#This Row],[Quantidade]]*tbLoja[[#This Row],[Preço Unitário]]</f>
        <v/>
      </c>
      <c r="L13" s="4">
        <f>tbLoja[[#This Row],[Faturamento]]-tbLoja[[#This Row],[Quantidade]]*tbLoja[[#This Row],[Custo Unitário]]</f>
        <v/>
      </c>
      <c r="M13">
        <f>MONTH(tbLoja[[#This Row],[Data]])</f>
        <v/>
      </c>
    </row>
    <row r="14">
      <c r="A14" t="inlineStr">
        <is>
          <t>L0013</t>
        </is>
      </c>
      <c r="B14" s="9" t="n">
        <v>46025</v>
      </c>
      <c r="C14" t="inlineStr">
        <is>
          <t>V04</t>
        </is>
      </c>
      <c r="D14" t="inlineStr">
        <is>
          <t>P007</t>
        </is>
      </c>
      <c r="E14" t="n">
        <v>1</v>
      </c>
      <c r="F14" s="4" t="n">
        <v>399</v>
      </c>
      <c r="G14">
        <f>_xlfn.XLOOKUP(tbLoja[[#This Row],[Cod_Produto]],tbProdutos[Cod_Produto],tbProdutos[Produto],"Não cadastrado")</f>
        <v/>
      </c>
      <c r="H14">
        <f>_xlfn.XLOOKUP(tbLoja[[#This Row],[Cod_Produto]],tbProdutos[Cod_Produto],tbProdutos[Categoria],"Não cadastrado")</f>
        <v/>
      </c>
      <c r="I14" s="4">
        <f>_xlfn.XLOOKUP(tbLoja[[#This Row],[Cod_Produto]],tbProdutos[Cod_Produto],tbProdutos[Custo Unitário],0)</f>
        <v/>
      </c>
      <c r="J14">
        <f>_xlfn.XLOOKUP(tbLoja[[#This Row],[ID_Vendedor]],tbVendedores[ID_Vendedor],tbVendedores[Vendedor],"Não cadastrado")</f>
        <v/>
      </c>
      <c r="K14" s="4">
        <f>tbLoja[[#This Row],[Quantidade]]*tbLoja[[#This Row],[Preço Unitário]]</f>
        <v/>
      </c>
      <c r="L14" s="4">
        <f>tbLoja[[#This Row],[Faturamento]]-tbLoja[[#This Row],[Quantidade]]*tbLoja[[#This Row],[Custo Unitário]]</f>
        <v/>
      </c>
      <c r="M14">
        <f>MONTH(tbLoja[[#This Row],[Data]])</f>
        <v/>
      </c>
    </row>
    <row r="15">
      <c r="A15" t="inlineStr">
        <is>
          <t>L0014</t>
        </is>
      </c>
      <c r="B15" s="9" t="n">
        <v>46026</v>
      </c>
      <c r="C15" t="inlineStr">
        <is>
          <t>V02</t>
        </is>
      </c>
      <c r="D15" t="inlineStr">
        <is>
          <t>P010</t>
        </is>
      </c>
      <c r="E15" t="n">
        <v>2</v>
      </c>
      <c r="F15" s="4" t="n">
        <v>1299</v>
      </c>
      <c r="G15">
        <f>_xlfn.XLOOKUP(tbLoja[[#This Row],[Cod_Produto]],tbProdutos[Cod_Produto],tbProdutos[Produto],"Não cadastrado")</f>
        <v/>
      </c>
      <c r="H15">
        <f>_xlfn.XLOOKUP(tbLoja[[#This Row],[Cod_Produto]],tbProdutos[Cod_Produto],tbProdutos[Categoria],"Não cadastrado")</f>
        <v/>
      </c>
      <c r="I15" s="4">
        <f>_xlfn.XLOOKUP(tbLoja[[#This Row],[Cod_Produto]],tbProdutos[Cod_Produto],tbProdutos[Custo Unitário],0)</f>
        <v/>
      </c>
      <c r="J15">
        <f>_xlfn.XLOOKUP(tbLoja[[#This Row],[ID_Vendedor]],tbVendedores[ID_Vendedor],tbVendedores[Vendedor],"Não cadastrado")</f>
        <v/>
      </c>
      <c r="K15" s="4">
        <f>tbLoja[[#This Row],[Quantidade]]*tbLoja[[#This Row],[Preço Unitário]]</f>
        <v/>
      </c>
      <c r="L15" s="4">
        <f>tbLoja[[#This Row],[Faturamento]]-tbLoja[[#This Row],[Quantidade]]*tbLoja[[#This Row],[Custo Unitário]]</f>
        <v/>
      </c>
      <c r="M15">
        <f>MONTH(tbLoja[[#This Row],[Data]])</f>
        <v/>
      </c>
    </row>
    <row r="16">
      <c r="A16" t="inlineStr">
        <is>
          <t>L0015</t>
        </is>
      </c>
      <c r="B16" s="9" t="n">
        <v>46027</v>
      </c>
      <c r="C16" t="inlineStr">
        <is>
          <t>V05</t>
        </is>
      </c>
      <c r="D16" t="inlineStr">
        <is>
          <t>P004</t>
        </is>
      </c>
      <c r="E16" t="n">
        <v>5</v>
      </c>
      <c r="F16" s="4" t="n">
        <v>999</v>
      </c>
      <c r="G16">
        <f>_xlfn.XLOOKUP(tbLoja[[#This Row],[Cod_Produto]],tbProdutos[Cod_Produto],tbProdutos[Produto],"Não cadastrado")</f>
        <v/>
      </c>
      <c r="H16">
        <f>_xlfn.XLOOKUP(tbLoja[[#This Row],[Cod_Produto]],tbProdutos[Cod_Produto],tbProdutos[Categoria],"Não cadastrado")</f>
        <v/>
      </c>
      <c r="I16" s="4">
        <f>_xlfn.XLOOKUP(tbLoja[[#This Row],[Cod_Produto]],tbProdutos[Cod_Produto],tbProdutos[Custo Unitário],0)</f>
        <v/>
      </c>
      <c r="J16">
        <f>_xlfn.XLOOKUP(tbLoja[[#This Row],[ID_Vendedor]],tbVendedores[ID_Vendedor],tbVendedores[Vendedor],"Não cadastrado")</f>
        <v/>
      </c>
      <c r="K16" s="4">
        <f>tbLoja[[#This Row],[Quantidade]]*tbLoja[[#This Row],[Preço Unitário]]</f>
        <v/>
      </c>
      <c r="L16" s="4">
        <f>tbLoja[[#This Row],[Faturamento]]-tbLoja[[#This Row],[Quantidade]]*tbLoja[[#This Row],[Custo Unitário]]</f>
        <v/>
      </c>
      <c r="M16">
        <f>MONTH(tbLoja[[#This Row],[Data]])</f>
        <v/>
      </c>
    </row>
    <row r="17">
      <c r="A17" t="inlineStr">
        <is>
          <t>L0016</t>
        </is>
      </c>
      <c r="B17" s="9" t="n">
        <v>46027</v>
      </c>
      <c r="C17" t="inlineStr">
        <is>
          <t>V02</t>
        </is>
      </c>
      <c r="D17" t="inlineStr">
        <is>
          <t>P008</t>
        </is>
      </c>
      <c r="E17" t="n">
        <v>5</v>
      </c>
      <c r="F17" s="4" t="n">
        <v>259</v>
      </c>
      <c r="G17">
        <f>_xlfn.XLOOKUP(tbLoja[[#This Row],[Cod_Produto]],tbProdutos[Cod_Produto],tbProdutos[Produto],"Não cadastrado")</f>
        <v/>
      </c>
      <c r="H17">
        <f>_xlfn.XLOOKUP(tbLoja[[#This Row],[Cod_Produto]],tbProdutos[Cod_Produto],tbProdutos[Categoria],"Não cadastrado")</f>
        <v/>
      </c>
      <c r="I17" s="4">
        <f>_xlfn.XLOOKUP(tbLoja[[#This Row],[Cod_Produto]],tbProdutos[Cod_Produto],tbProdutos[Custo Unitário],0)</f>
        <v/>
      </c>
      <c r="J17">
        <f>_xlfn.XLOOKUP(tbLoja[[#This Row],[ID_Vendedor]],tbVendedores[ID_Vendedor],tbVendedores[Vendedor],"Não cadastrado")</f>
        <v/>
      </c>
      <c r="K17" s="4">
        <f>tbLoja[[#This Row],[Quantidade]]*tbLoja[[#This Row],[Preço Unitário]]</f>
        <v/>
      </c>
      <c r="L17" s="4">
        <f>tbLoja[[#This Row],[Faturamento]]-tbLoja[[#This Row],[Quantidade]]*tbLoja[[#This Row],[Custo Unitário]]</f>
        <v/>
      </c>
      <c r="M17">
        <f>MONTH(tbLoja[[#This Row],[Data]])</f>
        <v/>
      </c>
    </row>
    <row r="18">
      <c r="A18" t="inlineStr">
        <is>
          <t>L0017</t>
        </is>
      </c>
      <c r="B18" s="9" t="n">
        <v>46027</v>
      </c>
      <c r="C18" t="inlineStr">
        <is>
          <t>V05</t>
        </is>
      </c>
      <c r="D18" t="inlineStr">
        <is>
          <t>P008</t>
        </is>
      </c>
      <c r="E18" t="n">
        <v>5</v>
      </c>
      <c r="F18" s="4" t="n">
        <v>259</v>
      </c>
      <c r="G18">
        <f>_xlfn.XLOOKUP(tbLoja[[#This Row],[Cod_Produto]],tbProdutos[Cod_Produto],tbProdutos[Produto],"Não cadastrado")</f>
        <v/>
      </c>
      <c r="H18">
        <f>_xlfn.XLOOKUP(tbLoja[[#This Row],[Cod_Produto]],tbProdutos[Cod_Produto],tbProdutos[Categoria],"Não cadastrado")</f>
        <v/>
      </c>
      <c r="I18" s="4">
        <f>_xlfn.XLOOKUP(tbLoja[[#This Row],[Cod_Produto]],tbProdutos[Cod_Produto],tbProdutos[Custo Unitário],0)</f>
        <v/>
      </c>
      <c r="J18">
        <f>_xlfn.XLOOKUP(tbLoja[[#This Row],[ID_Vendedor]],tbVendedores[ID_Vendedor],tbVendedores[Vendedor],"Não cadastrado")</f>
        <v/>
      </c>
      <c r="K18" s="4">
        <f>tbLoja[[#This Row],[Quantidade]]*tbLoja[[#This Row],[Preço Unitário]]</f>
        <v/>
      </c>
      <c r="L18" s="4">
        <f>tbLoja[[#This Row],[Faturamento]]-tbLoja[[#This Row],[Quantidade]]*tbLoja[[#This Row],[Custo Unitário]]</f>
        <v/>
      </c>
      <c r="M18">
        <f>MONTH(tbLoja[[#This Row],[Data]])</f>
        <v/>
      </c>
    </row>
    <row r="19">
      <c r="A19" t="inlineStr">
        <is>
          <t>L0018</t>
        </is>
      </c>
      <c r="B19" s="9" t="n">
        <v>46027</v>
      </c>
      <c r="C19" t="inlineStr">
        <is>
          <t>V01</t>
        </is>
      </c>
      <c r="D19" t="inlineStr">
        <is>
          <t>P003</t>
        </is>
      </c>
      <c r="E19" t="n">
        <v>2</v>
      </c>
      <c r="F19" s="4" t="n">
        <v>1599</v>
      </c>
      <c r="G19">
        <f>_xlfn.XLOOKUP(tbLoja[[#This Row],[Cod_Produto]],tbProdutos[Cod_Produto],tbProdutos[Produto],"Não cadastrado")</f>
        <v/>
      </c>
      <c r="H19">
        <f>_xlfn.XLOOKUP(tbLoja[[#This Row],[Cod_Produto]],tbProdutos[Cod_Produto],tbProdutos[Categoria],"Não cadastrado")</f>
        <v/>
      </c>
      <c r="I19" s="4">
        <f>_xlfn.XLOOKUP(tbLoja[[#This Row],[Cod_Produto]],tbProdutos[Cod_Produto],tbProdutos[Custo Unitário],0)</f>
        <v/>
      </c>
      <c r="J19">
        <f>_xlfn.XLOOKUP(tbLoja[[#This Row],[ID_Vendedor]],tbVendedores[ID_Vendedor],tbVendedores[Vendedor],"Não cadastrado")</f>
        <v/>
      </c>
      <c r="K19" s="4">
        <f>tbLoja[[#This Row],[Quantidade]]*tbLoja[[#This Row],[Preço Unitário]]</f>
        <v/>
      </c>
      <c r="L19" s="4">
        <f>tbLoja[[#This Row],[Faturamento]]-tbLoja[[#This Row],[Quantidade]]*tbLoja[[#This Row],[Custo Unitário]]</f>
        <v/>
      </c>
      <c r="M19">
        <f>MONTH(tbLoja[[#This Row],[Data]])</f>
        <v/>
      </c>
    </row>
    <row r="20">
      <c r="A20" t="inlineStr">
        <is>
          <t>L0019</t>
        </is>
      </c>
      <c r="B20" s="9" t="n">
        <v>46028</v>
      </c>
      <c r="C20" t="inlineStr">
        <is>
          <t>V01</t>
        </is>
      </c>
      <c r="D20" t="inlineStr">
        <is>
          <t>P009</t>
        </is>
      </c>
      <c r="E20" t="n">
        <v>5</v>
      </c>
      <c r="F20" s="4" t="n">
        <v>499</v>
      </c>
      <c r="G20">
        <f>_xlfn.XLOOKUP(tbLoja[[#This Row],[Cod_Produto]],tbProdutos[Cod_Produto],tbProdutos[Produto],"Não cadastrado")</f>
        <v/>
      </c>
      <c r="H20">
        <f>_xlfn.XLOOKUP(tbLoja[[#This Row],[Cod_Produto]],tbProdutos[Cod_Produto],tbProdutos[Categoria],"Não cadastrado")</f>
        <v/>
      </c>
      <c r="I20" s="4">
        <f>_xlfn.XLOOKUP(tbLoja[[#This Row],[Cod_Produto]],tbProdutos[Cod_Produto],tbProdutos[Custo Unitário],0)</f>
        <v/>
      </c>
      <c r="J20">
        <f>_xlfn.XLOOKUP(tbLoja[[#This Row],[ID_Vendedor]],tbVendedores[ID_Vendedor],tbVendedores[Vendedor],"Não cadastrado")</f>
        <v/>
      </c>
      <c r="K20" s="4">
        <f>tbLoja[[#This Row],[Quantidade]]*tbLoja[[#This Row],[Preço Unitário]]</f>
        <v/>
      </c>
      <c r="L20" s="4">
        <f>tbLoja[[#This Row],[Faturamento]]-tbLoja[[#This Row],[Quantidade]]*tbLoja[[#This Row],[Custo Unitário]]</f>
        <v/>
      </c>
      <c r="M20">
        <f>MONTH(tbLoja[[#This Row],[Data]])</f>
        <v/>
      </c>
    </row>
    <row r="21">
      <c r="A21" t="inlineStr">
        <is>
          <t>L0020</t>
        </is>
      </c>
      <c r="B21" s="9" t="n">
        <v>46028</v>
      </c>
      <c r="C21" t="inlineStr">
        <is>
          <t>V02</t>
        </is>
      </c>
      <c r="D21" t="inlineStr">
        <is>
          <t>P002</t>
        </is>
      </c>
      <c r="E21" t="n">
        <v>1</v>
      </c>
      <c r="F21" s="4" t="n">
        <v>3299</v>
      </c>
      <c r="G21">
        <f>_xlfn.XLOOKUP(tbLoja[[#This Row],[Cod_Produto]],tbProdutos[Cod_Produto],tbProdutos[Produto],"Não cadastrado")</f>
        <v/>
      </c>
      <c r="H21">
        <f>_xlfn.XLOOKUP(tbLoja[[#This Row],[Cod_Produto]],tbProdutos[Cod_Produto],tbProdutos[Categoria],"Não cadastrado")</f>
        <v/>
      </c>
      <c r="I21" s="4">
        <f>_xlfn.XLOOKUP(tbLoja[[#This Row],[Cod_Produto]],tbProdutos[Cod_Produto],tbProdutos[Custo Unitário],0)</f>
        <v/>
      </c>
      <c r="J21">
        <f>_xlfn.XLOOKUP(tbLoja[[#This Row],[ID_Vendedor]],tbVendedores[ID_Vendedor],tbVendedores[Vendedor],"Não cadastrado")</f>
        <v/>
      </c>
      <c r="K21" s="4">
        <f>tbLoja[[#This Row],[Quantidade]]*tbLoja[[#This Row],[Preço Unitário]]</f>
        <v/>
      </c>
      <c r="L21" s="4">
        <f>tbLoja[[#This Row],[Faturamento]]-tbLoja[[#This Row],[Quantidade]]*tbLoja[[#This Row],[Custo Unitário]]</f>
        <v/>
      </c>
      <c r="M21">
        <f>MONTH(tbLoja[[#This Row],[Data]])</f>
        <v/>
      </c>
    </row>
    <row r="22">
      <c r="A22" t="inlineStr">
        <is>
          <t>L0021</t>
        </is>
      </c>
      <c r="B22" s="9" t="n">
        <v>46029</v>
      </c>
      <c r="C22" t="inlineStr">
        <is>
          <t>V04</t>
        </is>
      </c>
      <c r="D22" t="inlineStr">
        <is>
          <t>P007</t>
        </is>
      </c>
      <c r="E22" t="n">
        <v>3</v>
      </c>
      <c r="F22" s="4" t="n">
        <v>399</v>
      </c>
      <c r="G22">
        <f>_xlfn.XLOOKUP(tbLoja[[#This Row],[Cod_Produto]],tbProdutos[Cod_Produto],tbProdutos[Produto],"Não cadastrado")</f>
        <v/>
      </c>
      <c r="H22">
        <f>_xlfn.XLOOKUP(tbLoja[[#This Row],[Cod_Produto]],tbProdutos[Cod_Produto],tbProdutos[Categoria],"Não cadastrado")</f>
        <v/>
      </c>
      <c r="I22" s="4">
        <f>_xlfn.XLOOKUP(tbLoja[[#This Row],[Cod_Produto]],tbProdutos[Cod_Produto],tbProdutos[Custo Unitário],0)</f>
        <v/>
      </c>
      <c r="J22">
        <f>_xlfn.XLOOKUP(tbLoja[[#This Row],[ID_Vendedor]],tbVendedores[ID_Vendedor],tbVendedores[Vendedor],"Não cadastrado")</f>
        <v/>
      </c>
      <c r="K22" s="4">
        <f>tbLoja[[#This Row],[Quantidade]]*tbLoja[[#This Row],[Preço Unitário]]</f>
        <v/>
      </c>
      <c r="L22" s="4">
        <f>tbLoja[[#This Row],[Faturamento]]-tbLoja[[#This Row],[Quantidade]]*tbLoja[[#This Row],[Custo Unitário]]</f>
        <v/>
      </c>
      <c r="M22">
        <f>MONTH(tbLoja[[#This Row],[Data]])</f>
        <v/>
      </c>
    </row>
    <row r="23">
      <c r="A23" t="inlineStr">
        <is>
          <t>L0022</t>
        </is>
      </c>
      <c r="B23" s="9" t="n">
        <v>46029</v>
      </c>
      <c r="C23" t="inlineStr">
        <is>
          <t>V03</t>
        </is>
      </c>
      <c r="D23" t="inlineStr">
        <is>
          <t>P010</t>
        </is>
      </c>
      <c r="E23" t="n">
        <v>1</v>
      </c>
      <c r="F23" s="4" t="n">
        <v>1299</v>
      </c>
      <c r="G23">
        <f>_xlfn.XLOOKUP(tbLoja[[#This Row],[Cod_Produto]],tbProdutos[Cod_Produto],tbProdutos[Produto],"Não cadastrado")</f>
        <v/>
      </c>
      <c r="H23">
        <f>_xlfn.XLOOKUP(tbLoja[[#This Row],[Cod_Produto]],tbProdutos[Cod_Produto],tbProdutos[Categoria],"Não cadastrado")</f>
        <v/>
      </c>
      <c r="I23" s="4">
        <f>_xlfn.XLOOKUP(tbLoja[[#This Row],[Cod_Produto]],tbProdutos[Cod_Produto],tbProdutos[Custo Unitário],0)</f>
        <v/>
      </c>
      <c r="J23">
        <f>_xlfn.XLOOKUP(tbLoja[[#This Row],[ID_Vendedor]],tbVendedores[ID_Vendedor],tbVendedores[Vendedor],"Não cadastrado")</f>
        <v/>
      </c>
      <c r="K23" s="4">
        <f>tbLoja[[#This Row],[Quantidade]]*tbLoja[[#This Row],[Preço Unitário]]</f>
        <v/>
      </c>
      <c r="L23" s="4">
        <f>tbLoja[[#This Row],[Faturamento]]-tbLoja[[#This Row],[Quantidade]]*tbLoja[[#This Row],[Custo Unitário]]</f>
        <v/>
      </c>
      <c r="M23">
        <f>MONTH(tbLoja[[#This Row],[Data]])</f>
        <v/>
      </c>
    </row>
    <row r="24">
      <c r="A24" t="inlineStr">
        <is>
          <t>L0023</t>
        </is>
      </c>
      <c r="B24" s="9" t="n">
        <v>46029</v>
      </c>
      <c r="C24" t="inlineStr">
        <is>
          <t>V02</t>
        </is>
      </c>
      <c r="D24" t="inlineStr">
        <is>
          <t>P006</t>
        </is>
      </c>
      <c r="E24" t="n">
        <v>2</v>
      </c>
      <c r="F24" s="4" t="n">
        <v>119</v>
      </c>
      <c r="G24">
        <f>_xlfn.XLOOKUP(tbLoja[[#This Row],[Cod_Produto]],tbProdutos[Cod_Produto],tbProdutos[Produto],"Não cadastrado")</f>
        <v/>
      </c>
      <c r="H24">
        <f>_xlfn.XLOOKUP(tbLoja[[#This Row],[Cod_Produto]],tbProdutos[Cod_Produto],tbProdutos[Categoria],"Não cadastrado")</f>
        <v/>
      </c>
      <c r="I24" s="4">
        <f>_xlfn.XLOOKUP(tbLoja[[#This Row],[Cod_Produto]],tbProdutos[Cod_Produto],tbProdutos[Custo Unitário],0)</f>
        <v/>
      </c>
      <c r="J24">
        <f>_xlfn.XLOOKUP(tbLoja[[#This Row],[ID_Vendedor]],tbVendedores[ID_Vendedor],tbVendedores[Vendedor],"Não cadastrado")</f>
        <v/>
      </c>
      <c r="K24" s="4">
        <f>tbLoja[[#This Row],[Quantidade]]*tbLoja[[#This Row],[Preço Unitário]]</f>
        <v/>
      </c>
      <c r="L24" s="4">
        <f>tbLoja[[#This Row],[Faturamento]]-tbLoja[[#This Row],[Quantidade]]*tbLoja[[#This Row],[Custo Unitário]]</f>
        <v/>
      </c>
      <c r="M24">
        <f>MONTH(tbLoja[[#This Row],[Data]])</f>
        <v/>
      </c>
    </row>
    <row r="25">
      <c r="A25" t="inlineStr">
        <is>
          <t>L0024</t>
        </is>
      </c>
      <c r="B25" s="9" t="n">
        <v>46030</v>
      </c>
      <c r="C25" t="inlineStr">
        <is>
          <t>V03</t>
        </is>
      </c>
      <c r="D25" t="inlineStr">
        <is>
          <t>P007</t>
        </is>
      </c>
      <c r="E25" t="n">
        <v>1</v>
      </c>
      <c r="F25" s="4" t="n">
        <v>399</v>
      </c>
      <c r="G25">
        <f>_xlfn.XLOOKUP(tbLoja[[#This Row],[Cod_Produto]],tbProdutos[Cod_Produto],tbProdutos[Produto],"Não cadastrado")</f>
        <v/>
      </c>
      <c r="H25">
        <f>_xlfn.XLOOKUP(tbLoja[[#This Row],[Cod_Produto]],tbProdutos[Cod_Produto],tbProdutos[Categoria],"Não cadastrado")</f>
        <v/>
      </c>
      <c r="I25" s="4">
        <f>_xlfn.XLOOKUP(tbLoja[[#This Row],[Cod_Produto]],tbProdutos[Cod_Produto],tbProdutos[Custo Unitário],0)</f>
        <v/>
      </c>
      <c r="J25">
        <f>_xlfn.XLOOKUP(tbLoja[[#This Row],[ID_Vendedor]],tbVendedores[ID_Vendedor],tbVendedores[Vendedor],"Não cadastrado")</f>
        <v/>
      </c>
      <c r="K25" s="4">
        <f>tbLoja[[#This Row],[Quantidade]]*tbLoja[[#This Row],[Preço Unitário]]</f>
        <v/>
      </c>
      <c r="L25" s="4">
        <f>tbLoja[[#This Row],[Faturamento]]-tbLoja[[#This Row],[Quantidade]]*tbLoja[[#This Row],[Custo Unitário]]</f>
        <v/>
      </c>
      <c r="M25">
        <f>MONTH(tbLoja[[#This Row],[Data]])</f>
        <v/>
      </c>
    </row>
    <row r="26">
      <c r="A26" t="inlineStr">
        <is>
          <t>L0025</t>
        </is>
      </c>
      <c r="B26" s="9" t="n">
        <v>46030</v>
      </c>
      <c r="C26" t="inlineStr">
        <is>
          <t>V03</t>
        </is>
      </c>
      <c r="D26" t="inlineStr">
        <is>
          <t>P006</t>
        </is>
      </c>
      <c r="E26" t="n">
        <v>4</v>
      </c>
      <c r="F26" s="4" t="n">
        <v>119</v>
      </c>
      <c r="G26">
        <f>_xlfn.XLOOKUP(tbLoja[[#This Row],[Cod_Produto]],tbProdutos[Cod_Produto],tbProdutos[Produto],"Não cadastrado")</f>
        <v/>
      </c>
      <c r="H26">
        <f>_xlfn.XLOOKUP(tbLoja[[#This Row],[Cod_Produto]],tbProdutos[Cod_Produto],tbProdutos[Categoria],"Não cadastrado")</f>
        <v/>
      </c>
      <c r="I26" s="4">
        <f>_xlfn.XLOOKUP(tbLoja[[#This Row],[Cod_Produto]],tbProdutos[Cod_Produto],tbProdutos[Custo Unitário],0)</f>
        <v/>
      </c>
      <c r="J26">
        <f>_xlfn.XLOOKUP(tbLoja[[#This Row],[ID_Vendedor]],tbVendedores[ID_Vendedor],tbVendedores[Vendedor],"Não cadastrado")</f>
        <v/>
      </c>
      <c r="K26" s="4">
        <f>tbLoja[[#This Row],[Quantidade]]*tbLoja[[#This Row],[Preço Unitário]]</f>
        <v/>
      </c>
      <c r="L26" s="4">
        <f>tbLoja[[#This Row],[Faturamento]]-tbLoja[[#This Row],[Quantidade]]*tbLoja[[#This Row],[Custo Unitário]]</f>
        <v/>
      </c>
      <c r="M26">
        <f>MONTH(tbLoja[[#This Row],[Data]])</f>
        <v/>
      </c>
    </row>
    <row r="27">
      <c r="A27" t="inlineStr">
        <is>
          <t>L0026</t>
        </is>
      </c>
      <c r="B27" s="9" t="n">
        <v>46030</v>
      </c>
      <c r="C27" t="inlineStr">
        <is>
          <t>V03</t>
        </is>
      </c>
      <c r="D27" t="inlineStr">
        <is>
          <t>P007</t>
        </is>
      </c>
      <c r="E27" t="n">
        <v>2</v>
      </c>
      <c r="F27" s="4" t="n">
        <v>399</v>
      </c>
      <c r="G27">
        <f>_xlfn.XLOOKUP(tbLoja[[#This Row],[Cod_Produto]],tbProdutos[Cod_Produto],tbProdutos[Produto],"Não cadastrado")</f>
        <v/>
      </c>
      <c r="H27">
        <f>_xlfn.XLOOKUP(tbLoja[[#This Row],[Cod_Produto]],tbProdutos[Cod_Produto],tbProdutos[Categoria],"Não cadastrado")</f>
        <v/>
      </c>
      <c r="I27" s="4">
        <f>_xlfn.XLOOKUP(tbLoja[[#This Row],[Cod_Produto]],tbProdutos[Cod_Produto],tbProdutos[Custo Unitário],0)</f>
        <v/>
      </c>
      <c r="J27">
        <f>_xlfn.XLOOKUP(tbLoja[[#This Row],[ID_Vendedor]],tbVendedores[ID_Vendedor],tbVendedores[Vendedor],"Não cadastrado")</f>
        <v/>
      </c>
      <c r="K27" s="4">
        <f>tbLoja[[#This Row],[Quantidade]]*tbLoja[[#This Row],[Preço Unitário]]</f>
        <v/>
      </c>
      <c r="L27" s="4">
        <f>tbLoja[[#This Row],[Faturamento]]-tbLoja[[#This Row],[Quantidade]]*tbLoja[[#This Row],[Custo Unitário]]</f>
        <v/>
      </c>
      <c r="M27">
        <f>MONTH(tbLoja[[#This Row],[Data]])</f>
        <v/>
      </c>
    </row>
    <row r="28">
      <c r="A28" t="inlineStr">
        <is>
          <t>L0027</t>
        </is>
      </c>
      <c r="B28" s="9" t="n">
        <v>46031</v>
      </c>
      <c r="C28" t="inlineStr">
        <is>
          <t>V01</t>
        </is>
      </c>
      <c r="D28" t="inlineStr">
        <is>
          <t>P004</t>
        </is>
      </c>
      <c r="E28" t="n">
        <v>1</v>
      </c>
      <c r="F28" s="4" t="n">
        <v>999</v>
      </c>
      <c r="G28">
        <f>_xlfn.XLOOKUP(tbLoja[[#This Row],[Cod_Produto]],tbProdutos[Cod_Produto],tbProdutos[Produto],"Não cadastrado")</f>
        <v/>
      </c>
      <c r="H28">
        <f>_xlfn.XLOOKUP(tbLoja[[#This Row],[Cod_Produto]],tbProdutos[Cod_Produto],tbProdutos[Categoria],"Não cadastrado")</f>
        <v/>
      </c>
      <c r="I28" s="4">
        <f>_xlfn.XLOOKUP(tbLoja[[#This Row],[Cod_Produto]],tbProdutos[Cod_Produto],tbProdutos[Custo Unitário],0)</f>
        <v/>
      </c>
      <c r="J28">
        <f>_xlfn.XLOOKUP(tbLoja[[#This Row],[ID_Vendedor]],tbVendedores[ID_Vendedor],tbVendedores[Vendedor],"Não cadastrado")</f>
        <v/>
      </c>
      <c r="K28" s="4">
        <f>tbLoja[[#This Row],[Quantidade]]*tbLoja[[#This Row],[Preço Unitário]]</f>
        <v/>
      </c>
      <c r="L28" s="4">
        <f>tbLoja[[#This Row],[Faturamento]]-tbLoja[[#This Row],[Quantidade]]*tbLoja[[#This Row],[Custo Unitário]]</f>
        <v/>
      </c>
      <c r="M28">
        <f>MONTH(tbLoja[[#This Row],[Data]])</f>
        <v/>
      </c>
    </row>
    <row r="29">
      <c r="A29" t="inlineStr">
        <is>
          <t>L0028</t>
        </is>
      </c>
      <c r="B29" s="9" t="n">
        <v>46032</v>
      </c>
      <c r="C29" t="inlineStr">
        <is>
          <t>V02</t>
        </is>
      </c>
      <c r="D29" t="inlineStr">
        <is>
          <t>P004</t>
        </is>
      </c>
      <c r="E29" t="n">
        <v>3</v>
      </c>
      <c r="F29" s="4" t="n">
        <v>999</v>
      </c>
      <c r="G29">
        <f>_xlfn.XLOOKUP(tbLoja[[#This Row],[Cod_Produto]],tbProdutos[Cod_Produto],tbProdutos[Produto],"Não cadastrado")</f>
        <v/>
      </c>
      <c r="H29">
        <f>_xlfn.XLOOKUP(tbLoja[[#This Row],[Cod_Produto]],tbProdutos[Cod_Produto],tbProdutos[Categoria],"Não cadastrado")</f>
        <v/>
      </c>
      <c r="I29" s="4">
        <f>_xlfn.XLOOKUP(tbLoja[[#This Row],[Cod_Produto]],tbProdutos[Cod_Produto],tbProdutos[Custo Unitário],0)</f>
        <v/>
      </c>
      <c r="J29">
        <f>_xlfn.XLOOKUP(tbLoja[[#This Row],[ID_Vendedor]],tbVendedores[ID_Vendedor],tbVendedores[Vendedor],"Não cadastrado")</f>
        <v/>
      </c>
      <c r="K29" s="4">
        <f>tbLoja[[#This Row],[Quantidade]]*tbLoja[[#This Row],[Preço Unitário]]</f>
        <v/>
      </c>
      <c r="L29" s="4">
        <f>tbLoja[[#This Row],[Faturamento]]-tbLoja[[#This Row],[Quantidade]]*tbLoja[[#This Row],[Custo Unitário]]</f>
        <v/>
      </c>
      <c r="M29">
        <f>MONTH(tbLoja[[#This Row],[Data]])</f>
        <v/>
      </c>
    </row>
    <row r="30">
      <c r="A30" t="inlineStr">
        <is>
          <t>L0029</t>
        </is>
      </c>
      <c r="B30" s="9" t="n">
        <v>46032</v>
      </c>
      <c r="C30" t="inlineStr">
        <is>
          <t>V02</t>
        </is>
      </c>
      <c r="D30" t="inlineStr">
        <is>
          <t>P002</t>
        </is>
      </c>
      <c r="E30" t="n">
        <v>2</v>
      </c>
      <c r="F30" s="4" t="n">
        <v>3299</v>
      </c>
      <c r="G30">
        <f>_xlfn.XLOOKUP(tbLoja[[#This Row],[Cod_Produto]],tbProdutos[Cod_Produto],tbProdutos[Produto],"Não cadastrado")</f>
        <v/>
      </c>
      <c r="H30">
        <f>_xlfn.XLOOKUP(tbLoja[[#This Row],[Cod_Produto]],tbProdutos[Cod_Produto],tbProdutos[Categoria],"Não cadastrado")</f>
        <v/>
      </c>
      <c r="I30" s="4">
        <f>_xlfn.XLOOKUP(tbLoja[[#This Row],[Cod_Produto]],tbProdutos[Cod_Produto],tbProdutos[Custo Unitário],0)</f>
        <v/>
      </c>
      <c r="J30">
        <f>_xlfn.XLOOKUP(tbLoja[[#This Row],[ID_Vendedor]],tbVendedores[ID_Vendedor],tbVendedores[Vendedor],"Não cadastrado")</f>
        <v/>
      </c>
      <c r="K30" s="4">
        <f>tbLoja[[#This Row],[Quantidade]]*tbLoja[[#This Row],[Preço Unitário]]</f>
        <v/>
      </c>
      <c r="L30" s="4">
        <f>tbLoja[[#This Row],[Faturamento]]-tbLoja[[#This Row],[Quantidade]]*tbLoja[[#This Row],[Custo Unitário]]</f>
        <v/>
      </c>
      <c r="M30">
        <f>MONTH(tbLoja[[#This Row],[Data]])</f>
        <v/>
      </c>
    </row>
    <row r="31">
      <c r="A31" t="inlineStr">
        <is>
          <t>L0030</t>
        </is>
      </c>
      <c r="B31" s="9" t="n">
        <v>46032</v>
      </c>
      <c r="C31" t="inlineStr">
        <is>
          <t>V04</t>
        </is>
      </c>
      <c r="D31" t="inlineStr">
        <is>
          <t>P004</t>
        </is>
      </c>
      <c r="E31" t="n">
        <v>1</v>
      </c>
      <c r="F31" s="4" t="n">
        <v>999</v>
      </c>
      <c r="G31">
        <f>_xlfn.XLOOKUP(tbLoja[[#This Row],[Cod_Produto]],tbProdutos[Cod_Produto],tbProdutos[Produto],"Não cadastrado")</f>
        <v/>
      </c>
      <c r="H31">
        <f>_xlfn.XLOOKUP(tbLoja[[#This Row],[Cod_Produto]],tbProdutos[Cod_Produto],tbProdutos[Categoria],"Não cadastrado")</f>
        <v/>
      </c>
      <c r="I31" s="4">
        <f>_xlfn.XLOOKUP(tbLoja[[#This Row],[Cod_Produto]],tbProdutos[Cod_Produto],tbProdutos[Custo Unitário],0)</f>
        <v/>
      </c>
      <c r="J31">
        <f>_xlfn.XLOOKUP(tbLoja[[#This Row],[ID_Vendedor]],tbVendedores[ID_Vendedor],tbVendedores[Vendedor],"Não cadastrado")</f>
        <v/>
      </c>
      <c r="K31" s="4">
        <f>tbLoja[[#This Row],[Quantidade]]*tbLoja[[#This Row],[Preço Unitário]]</f>
        <v/>
      </c>
      <c r="L31" s="4">
        <f>tbLoja[[#This Row],[Faturamento]]-tbLoja[[#This Row],[Quantidade]]*tbLoja[[#This Row],[Custo Unitário]]</f>
        <v/>
      </c>
      <c r="M31">
        <f>MONTH(tbLoja[[#This Row],[Data]])</f>
        <v/>
      </c>
    </row>
    <row r="32">
      <c r="A32" t="inlineStr">
        <is>
          <t>L0031</t>
        </is>
      </c>
      <c r="B32" s="9" t="n">
        <v>46032</v>
      </c>
      <c r="C32" t="inlineStr">
        <is>
          <t>V06</t>
        </is>
      </c>
      <c r="D32" t="inlineStr">
        <is>
          <t>P007</t>
        </is>
      </c>
      <c r="E32" t="n">
        <v>5</v>
      </c>
      <c r="F32" s="4" t="n">
        <v>399</v>
      </c>
      <c r="G32">
        <f>_xlfn.XLOOKUP(tbLoja[[#This Row],[Cod_Produto]],tbProdutos[Cod_Produto],tbProdutos[Produto],"Não cadastrado")</f>
        <v/>
      </c>
      <c r="H32">
        <f>_xlfn.XLOOKUP(tbLoja[[#This Row],[Cod_Produto]],tbProdutos[Cod_Produto],tbProdutos[Categoria],"Não cadastrado")</f>
        <v/>
      </c>
      <c r="I32" s="4">
        <f>_xlfn.XLOOKUP(tbLoja[[#This Row],[Cod_Produto]],tbProdutos[Cod_Produto],tbProdutos[Custo Unitário],0)</f>
        <v/>
      </c>
      <c r="J32">
        <f>_xlfn.XLOOKUP(tbLoja[[#This Row],[ID_Vendedor]],tbVendedores[ID_Vendedor],tbVendedores[Vendedor],"Não cadastrado")</f>
        <v/>
      </c>
      <c r="K32" s="4">
        <f>tbLoja[[#This Row],[Quantidade]]*tbLoja[[#This Row],[Preço Unitário]]</f>
        <v/>
      </c>
      <c r="L32" s="4">
        <f>tbLoja[[#This Row],[Faturamento]]-tbLoja[[#This Row],[Quantidade]]*tbLoja[[#This Row],[Custo Unitário]]</f>
        <v/>
      </c>
      <c r="M32">
        <f>MONTH(tbLoja[[#This Row],[Data]])</f>
        <v/>
      </c>
    </row>
    <row r="33">
      <c r="A33" t="inlineStr">
        <is>
          <t>L0032</t>
        </is>
      </c>
      <c r="B33" s="9" t="n">
        <v>46032</v>
      </c>
      <c r="C33" t="inlineStr">
        <is>
          <t>V02</t>
        </is>
      </c>
      <c r="D33" t="inlineStr">
        <is>
          <t>P005</t>
        </is>
      </c>
      <c r="E33" t="n">
        <v>2</v>
      </c>
      <c r="F33" s="4" t="n">
        <v>349</v>
      </c>
      <c r="G33">
        <f>_xlfn.XLOOKUP(tbLoja[[#This Row],[Cod_Produto]],tbProdutos[Cod_Produto],tbProdutos[Produto],"Não cadastrado")</f>
        <v/>
      </c>
      <c r="H33">
        <f>_xlfn.XLOOKUP(tbLoja[[#This Row],[Cod_Produto]],tbProdutos[Cod_Produto],tbProdutos[Categoria],"Não cadastrado")</f>
        <v/>
      </c>
      <c r="I33" s="4">
        <f>_xlfn.XLOOKUP(tbLoja[[#This Row],[Cod_Produto]],tbProdutos[Cod_Produto],tbProdutos[Custo Unitário],0)</f>
        <v/>
      </c>
      <c r="J33">
        <f>_xlfn.XLOOKUP(tbLoja[[#This Row],[ID_Vendedor]],tbVendedores[ID_Vendedor],tbVendedores[Vendedor],"Não cadastrado")</f>
        <v/>
      </c>
      <c r="K33" s="4">
        <f>tbLoja[[#This Row],[Quantidade]]*tbLoja[[#This Row],[Preço Unitário]]</f>
        <v/>
      </c>
      <c r="L33" s="4">
        <f>tbLoja[[#This Row],[Faturamento]]-tbLoja[[#This Row],[Quantidade]]*tbLoja[[#This Row],[Custo Unitário]]</f>
        <v/>
      </c>
      <c r="M33">
        <f>MONTH(tbLoja[[#This Row],[Data]])</f>
        <v/>
      </c>
    </row>
    <row r="34">
      <c r="A34" t="inlineStr">
        <is>
          <t>L0033</t>
        </is>
      </c>
      <c r="B34" s="9" t="n">
        <v>46032</v>
      </c>
      <c r="C34" t="inlineStr">
        <is>
          <t>V01</t>
        </is>
      </c>
      <c r="D34" t="inlineStr">
        <is>
          <t>P010</t>
        </is>
      </c>
      <c r="E34" t="n">
        <v>1</v>
      </c>
      <c r="F34" s="4" t="n">
        <v>1299</v>
      </c>
      <c r="G34">
        <f>_xlfn.XLOOKUP(tbLoja[[#This Row],[Cod_Produto]],tbProdutos[Cod_Produto],tbProdutos[Produto],"Não cadastrado")</f>
        <v/>
      </c>
      <c r="H34">
        <f>_xlfn.XLOOKUP(tbLoja[[#This Row],[Cod_Produto]],tbProdutos[Cod_Produto],tbProdutos[Categoria],"Não cadastrado")</f>
        <v/>
      </c>
      <c r="I34" s="4">
        <f>_xlfn.XLOOKUP(tbLoja[[#This Row],[Cod_Produto]],tbProdutos[Cod_Produto],tbProdutos[Custo Unitário],0)</f>
        <v/>
      </c>
      <c r="J34">
        <f>_xlfn.XLOOKUP(tbLoja[[#This Row],[ID_Vendedor]],tbVendedores[ID_Vendedor],tbVendedores[Vendedor],"Não cadastrado")</f>
        <v/>
      </c>
      <c r="K34" s="4">
        <f>tbLoja[[#This Row],[Quantidade]]*tbLoja[[#This Row],[Preço Unitário]]</f>
        <v/>
      </c>
      <c r="L34" s="4">
        <f>tbLoja[[#This Row],[Faturamento]]-tbLoja[[#This Row],[Quantidade]]*tbLoja[[#This Row],[Custo Unitário]]</f>
        <v/>
      </c>
      <c r="M34">
        <f>MONTH(tbLoja[[#This Row],[Data]])</f>
        <v/>
      </c>
    </row>
    <row r="35">
      <c r="A35" t="inlineStr">
        <is>
          <t>L0034</t>
        </is>
      </c>
      <c r="B35" s="9" t="n">
        <v>46033</v>
      </c>
      <c r="C35" t="inlineStr">
        <is>
          <t>V05</t>
        </is>
      </c>
      <c r="D35" t="inlineStr">
        <is>
          <t>P005</t>
        </is>
      </c>
      <c r="E35" t="n">
        <v>2</v>
      </c>
      <c r="F35" s="4" t="n">
        <v>349</v>
      </c>
      <c r="G35">
        <f>_xlfn.XLOOKUP(tbLoja[[#This Row],[Cod_Produto]],tbProdutos[Cod_Produto],tbProdutos[Produto],"Não cadastrado")</f>
        <v/>
      </c>
      <c r="H35">
        <f>_xlfn.XLOOKUP(tbLoja[[#This Row],[Cod_Produto]],tbProdutos[Cod_Produto],tbProdutos[Categoria],"Não cadastrado")</f>
        <v/>
      </c>
      <c r="I35" s="4">
        <f>_xlfn.XLOOKUP(tbLoja[[#This Row],[Cod_Produto]],tbProdutos[Cod_Produto],tbProdutos[Custo Unitário],0)</f>
        <v/>
      </c>
      <c r="J35">
        <f>_xlfn.XLOOKUP(tbLoja[[#This Row],[ID_Vendedor]],tbVendedores[ID_Vendedor],tbVendedores[Vendedor],"Não cadastrado")</f>
        <v/>
      </c>
      <c r="K35" s="4">
        <f>tbLoja[[#This Row],[Quantidade]]*tbLoja[[#This Row],[Preço Unitário]]</f>
        <v/>
      </c>
      <c r="L35" s="4">
        <f>tbLoja[[#This Row],[Faturamento]]-tbLoja[[#This Row],[Quantidade]]*tbLoja[[#This Row],[Custo Unitário]]</f>
        <v/>
      </c>
      <c r="M35">
        <f>MONTH(tbLoja[[#This Row],[Data]])</f>
        <v/>
      </c>
    </row>
    <row r="36">
      <c r="A36" t="inlineStr">
        <is>
          <t>L0035</t>
        </is>
      </c>
      <c r="B36" s="9" t="n">
        <v>46034</v>
      </c>
      <c r="C36" t="inlineStr">
        <is>
          <t>V02</t>
        </is>
      </c>
      <c r="D36" t="inlineStr">
        <is>
          <t>P004</t>
        </is>
      </c>
      <c r="E36" t="n">
        <v>2</v>
      </c>
      <c r="F36" s="4" t="n">
        <v>999</v>
      </c>
      <c r="G36">
        <f>_xlfn.XLOOKUP(tbLoja[[#This Row],[Cod_Produto]],tbProdutos[Cod_Produto],tbProdutos[Produto],"Não cadastrado")</f>
        <v/>
      </c>
      <c r="H36">
        <f>_xlfn.XLOOKUP(tbLoja[[#This Row],[Cod_Produto]],tbProdutos[Cod_Produto],tbProdutos[Categoria],"Não cadastrado")</f>
        <v/>
      </c>
      <c r="I36" s="4">
        <f>_xlfn.XLOOKUP(tbLoja[[#This Row],[Cod_Produto]],tbProdutos[Cod_Produto],tbProdutos[Custo Unitário],0)</f>
        <v/>
      </c>
      <c r="J36">
        <f>_xlfn.XLOOKUP(tbLoja[[#This Row],[ID_Vendedor]],tbVendedores[ID_Vendedor],tbVendedores[Vendedor],"Não cadastrado")</f>
        <v/>
      </c>
      <c r="K36" s="4">
        <f>tbLoja[[#This Row],[Quantidade]]*tbLoja[[#This Row],[Preço Unitário]]</f>
        <v/>
      </c>
      <c r="L36" s="4">
        <f>tbLoja[[#This Row],[Faturamento]]-tbLoja[[#This Row],[Quantidade]]*tbLoja[[#This Row],[Custo Unitário]]</f>
        <v/>
      </c>
      <c r="M36">
        <f>MONTH(tbLoja[[#This Row],[Data]])</f>
        <v/>
      </c>
    </row>
    <row r="37">
      <c r="A37" t="inlineStr">
        <is>
          <t>L0036</t>
        </is>
      </c>
      <c r="B37" s="9" t="n">
        <v>46034</v>
      </c>
      <c r="C37" t="inlineStr">
        <is>
          <t>V01</t>
        </is>
      </c>
      <c r="D37" t="inlineStr">
        <is>
          <t>P009</t>
        </is>
      </c>
      <c r="E37" t="n">
        <v>1</v>
      </c>
      <c r="F37" s="4" t="n">
        <v>499</v>
      </c>
      <c r="G37">
        <f>_xlfn.XLOOKUP(tbLoja[[#This Row],[Cod_Produto]],tbProdutos[Cod_Produto],tbProdutos[Produto],"Não cadastrado")</f>
        <v/>
      </c>
      <c r="H37">
        <f>_xlfn.XLOOKUP(tbLoja[[#This Row],[Cod_Produto]],tbProdutos[Cod_Produto],tbProdutos[Categoria],"Não cadastrado")</f>
        <v/>
      </c>
      <c r="I37" s="4">
        <f>_xlfn.XLOOKUP(tbLoja[[#This Row],[Cod_Produto]],tbProdutos[Cod_Produto],tbProdutos[Custo Unitário],0)</f>
        <v/>
      </c>
      <c r="J37">
        <f>_xlfn.XLOOKUP(tbLoja[[#This Row],[ID_Vendedor]],tbVendedores[ID_Vendedor],tbVendedores[Vendedor],"Não cadastrado")</f>
        <v/>
      </c>
      <c r="K37" s="4">
        <f>tbLoja[[#This Row],[Quantidade]]*tbLoja[[#This Row],[Preço Unitário]]</f>
        <v/>
      </c>
      <c r="L37" s="4">
        <f>tbLoja[[#This Row],[Faturamento]]-tbLoja[[#This Row],[Quantidade]]*tbLoja[[#This Row],[Custo Unitário]]</f>
        <v/>
      </c>
      <c r="M37">
        <f>MONTH(tbLoja[[#This Row],[Data]])</f>
        <v/>
      </c>
    </row>
    <row r="38">
      <c r="A38" t="inlineStr">
        <is>
          <t>L0037</t>
        </is>
      </c>
      <c r="B38" s="9" t="n">
        <v>46034</v>
      </c>
      <c r="C38" t="inlineStr">
        <is>
          <t>V01</t>
        </is>
      </c>
      <c r="D38" t="inlineStr">
        <is>
          <t>P001</t>
        </is>
      </c>
      <c r="E38" t="n">
        <v>1</v>
      </c>
      <c r="F38" s="4" t="n">
        <v>5899</v>
      </c>
      <c r="G38">
        <f>_xlfn.XLOOKUP(tbLoja[[#This Row],[Cod_Produto]],tbProdutos[Cod_Produto],tbProdutos[Produto],"Não cadastrado")</f>
        <v/>
      </c>
      <c r="H38">
        <f>_xlfn.XLOOKUP(tbLoja[[#This Row],[Cod_Produto]],tbProdutos[Cod_Produto],tbProdutos[Categoria],"Não cadastrado")</f>
        <v/>
      </c>
      <c r="I38" s="4">
        <f>_xlfn.XLOOKUP(tbLoja[[#This Row],[Cod_Produto]],tbProdutos[Cod_Produto],tbProdutos[Custo Unitário],0)</f>
        <v/>
      </c>
      <c r="J38">
        <f>_xlfn.XLOOKUP(tbLoja[[#This Row],[ID_Vendedor]],tbVendedores[ID_Vendedor],tbVendedores[Vendedor],"Não cadastrado")</f>
        <v/>
      </c>
      <c r="K38" s="4">
        <f>tbLoja[[#This Row],[Quantidade]]*tbLoja[[#This Row],[Preço Unitário]]</f>
        <v/>
      </c>
      <c r="L38" s="4">
        <f>tbLoja[[#This Row],[Faturamento]]-tbLoja[[#This Row],[Quantidade]]*tbLoja[[#This Row],[Custo Unitário]]</f>
        <v/>
      </c>
      <c r="M38">
        <f>MONTH(tbLoja[[#This Row],[Data]])</f>
        <v/>
      </c>
    </row>
    <row r="39">
      <c r="A39" t="inlineStr">
        <is>
          <t>L0038</t>
        </is>
      </c>
      <c r="B39" s="9" t="n">
        <v>46035</v>
      </c>
      <c r="C39" t="inlineStr">
        <is>
          <t>V01</t>
        </is>
      </c>
      <c r="D39" t="inlineStr">
        <is>
          <t>P003</t>
        </is>
      </c>
      <c r="E39" t="n">
        <v>3</v>
      </c>
      <c r="F39" s="4" t="n">
        <v>1599</v>
      </c>
      <c r="G39">
        <f>_xlfn.XLOOKUP(tbLoja[[#This Row],[Cod_Produto]],tbProdutos[Cod_Produto],tbProdutos[Produto],"Não cadastrado")</f>
        <v/>
      </c>
      <c r="H39">
        <f>_xlfn.XLOOKUP(tbLoja[[#This Row],[Cod_Produto]],tbProdutos[Cod_Produto],tbProdutos[Categoria],"Não cadastrado")</f>
        <v/>
      </c>
      <c r="I39" s="4">
        <f>_xlfn.XLOOKUP(tbLoja[[#This Row],[Cod_Produto]],tbProdutos[Cod_Produto],tbProdutos[Custo Unitário],0)</f>
        <v/>
      </c>
      <c r="J39">
        <f>_xlfn.XLOOKUP(tbLoja[[#This Row],[ID_Vendedor]],tbVendedores[ID_Vendedor],tbVendedores[Vendedor],"Não cadastrado")</f>
        <v/>
      </c>
      <c r="K39" s="4">
        <f>tbLoja[[#This Row],[Quantidade]]*tbLoja[[#This Row],[Preço Unitário]]</f>
        <v/>
      </c>
      <c r="L39" s="4">
        <f>tbLoja[[#This Row],[Faturamento]]-tbLoja[[#This Row],[Quantidade]]*tbLoja[[#This Row],[Custo Unitário]]</f>
        <v/>
      </c>
      <c r="M39">
        <f>MONTH(tbLoja[[#This Row],[Data]])</f>
        <v/>
      </c>
    </row>
    <row r="40">
      <c r="A40" t="inlineStr">
        <is>
          <t>L0039</t>
        </is>
      </c>
      <c r="B40" s="9" t="n">
        <v>46035</v>
      </c>
      <c r="C40" t="inlineStr">
        <is>
          <t>V04</t>
        </is>
      </c>
      <c r="D40" t="inlineStr">
        <is>
          <t>P007</t>
        </is>
      </c>
      <c r="E40" t="n">
        <v>5</v>
      </c>
      <c r="F40" s="4" t="n">
        <v>399</v>
      </c>
      <c r="G40">
        <f>_xlfn.XLOOKUP(tbLoja[[#This Row],[Cod_Produto]],tbProdutos[Cod_Produto],tbProdutos[Produto],"Não cadastrado")</f>
        <v/>
      </c>
      <c r="H40">
        <f>_xlfn.XLOOKUP(tbLoja[[#This Row],[Cod_Produto]],tbProdutos[Cod_Produto],tbProdutos[Categoria],"Não cadastrado")</f>
        <v/>
      </c>
      <c r="I40" s="4">
        <f>_xlfn.XLOOKUP(tbLoja[[#This Row],[Cod_Produto]],tbProdutos[Cod_Produto],tbProdutos[Custo Unitário],0)</f>
        <v/>
      </c>
      <c r="J40">
        <f>_xlfn.XLOOKUP(tbLoja[[#This Row],[ID_Vendedor]],tbVendedores[ID_Vendedor],tbVendedores[Vendedor],"Não cadastrado")</f>
        <v/>
      </c>
      <c r="K40" s="4">
        <f>tbLoja[[#This Row],[Quantidade]]*tbLoja[[#This Row],[Preço Unitário]]</f>
        <v/>
      </c>
      <c r="L40" s="4">
        <f>tbLoja[[#This Row],[Faturamento]]-tbLoja[[#This Row],[Quantidade]]*tbLoja[[#This Row],[Custo Unitário]]</f>
        <v/>
      </c>
      <c r="M40">
        <f>MONTH(tbLoja[[#This Row],[Data]])</f>
        <v/>
      </c>
    </row>
    <row r="41">
      <c r="A41" t="inlineStr">
        <is>
          <t>L0040</t>
        </is>
      </c>
      <c r="B41" s="9" t="n">
        <v>46035</v>
      </c>
      <c r="C41" t="inlineStr">
        <is>
          <t>V03</t>
        </is>
      </c>
      <c r="D41" t="inlineStr">
        <is>
          <t>P009</t>
        </is>
      </c>
      <c r="E41" t="n">
        <v>1</v>
      </c>
      <c r="F41" s="4" t="n">
        <v>499</v>
      </c>
      <c r="G41">
        <f>_xlfn.XLOOKUP(tbLoja[[#This Row],[Cod_Produto]],tbProdutos[Cod_Produto],tbProdutos[Produto],"Não cadastrado")</f>
        <v/>
      </c>
      <c r="H41">
        <f>_xlfn.XLOOKUP(tbLoja[[#This Row],[Cod_Produto]],tbProdutos[Cod_Produto],tbProdutos[Categoria],"Não cadastrado")</f>
        <v/>
      </c>
      <c r="I41" s="4">
        <f>_xlfn.XLOOKUP(tbLoja[[#This Row],[Cod_Produto]],tbProdutos[Cod_Produto],tbProdutos[Custo Unitário],0)</f>
        <v/>
      </c>
      <c r="J41">
        <f>_xlfn.XLOOKUP(tbLoja[[#This Row],[ID_Vendedor]],tbVendedores[ID_Vendedor],tbVendedores[Vendedor],"Não cadastrado")</f>
        <v/>
      </c>
      <c r="K41" s="4">
        <f>tbLoja[[#This Row],[Quantidade]]*tbLoja[[#This Row],[Preço Unitário]]</f>
        <v/>
      </c>
      <c r="L41" s="4">
        <f>tbLoja[[#This Row],[Faturamento]]-tbLoja[[#This Row],[Quantidade]]*tbLoja[[#This Row],[Custo Unitário]]</f>
        <v/>
      </c>
      <c r="M41">
        <f>MONTH(tbLoja[[#This Row],[Data]])</f>
        <v/>
      </c>
    </row>
    <row r="42">
      <c r="A42" t="inlineStr">
        <is>
          <t>L0041</t>
        </is>
      </c>
      <c r="B42" s="9" t="n">
        <v>46035</v>
      </c>
      <c r="C42" t="inlineStr">
        <is>
          <t>V06</t>
        </is>
      </c>
      <c r="D42" t="inlineStr">
        <is>
          <t>P004</t>
        </is>
      </c>
      <c r="E42" t="n">
        <v>1</v>
      </c>
      <c r="F42" s="4" t="n">
        <v>999</v>
      </c>
      <c r="G42">
        <f>_xlfn.XLOOKUP(tbLoja[[#This Row],[Cod_Produto]],tbProdutos[Cod_Produto],tbProdutos[Produto],"Não cadastrado")</f>
        <v/>
      </c>
      <c r="H42">
        <f>_xlfn.XLOOKUP(tbLoja[[#This Row],[Cod_Produto]],tbProdutos[Cod_Produto],tbProdutos[Categoria],"Não cadastrado")</f>
        <v/>
      </c>
      <c r="I42" s="4">
        <f>_xlfn.XLOOKUP(tbLoja[[#This Row],[Cod_Produto]],tbProdutos[Cod_Produto],tbProdutos[Custo Unitário],0)</f>
        <v/>
      </c>
      <c r="J42">
        <f>_xlfn.XLOOKUP(tbLoja[[#This Row],[ID_Vendedor]],tbVendedores[ID_Vendedor],tbVendedores[Vendedor],"Não cadastrado")</f>
        <v/>
      </c>
      <c r="K42" s="4">
        <f>tbLoja[[#This Row],[Quantidade]]*tbLoja[[#This Row],[Preço Unitário]]</f>
        <v/>
      </c>
      <c r="L42" s="4">
        <f>tbLoja[[#This Row],[Faturamento]]-tbLoja[[#This Row],[Quantidade]]*tbLoja[[#This Row],[Custo Unitário]]</f>
        <v/>
      </c>
      <c r="M42">
        <f>MONTH(tbLoja[[#This Row],[Data]])</f>
        <v/>
      </c>
    </row>
    <row r="43">
      <c r="A43" t="inlineStr">
        <is>
          <t>L0042</t>
        </is>
      </c>
      <c r="B43" s="9" t="n">
        <v>46036</v>
      </c>
      <c r="C43" t="inlineStr">
        <is>
          <t>V05</t>
        </is>
      </c>
      <c r="D43" t="inlineStr">
        <is>
          <t>P001</t>
        </is>
      </c>
      <c r="E43" t="n">
        <v>1</v>
      </c>
      <c r="F43" s="4" t="n">
        <v>5899</v>
      </c>
      <c r="G43">
        <f>_xlfn.XLOOKUP(tbLoja[[#This Row],[Cod_Produto]],tbProdutos[Cod_Produto],tbProdutos[Produto],"Não cadastrado")</f>
        <v/>
      </c>
      <c r="H43">
        <f>_xlfn.XLOOKUP(tbLoja[[#This Row],[Cod_Produto]],tbProdutos[Cod_Produto],tbProdutos[Categoria],"Não cadastrado")</f>
        <v/>
      </c>
      <c r="I43" s="4">
        <f>_xlfn.XLOOKUP(tbLoja[[#This Row],[Cod_Produto]],tbProdutos[Cod_Produto],tbProdutos[Custo Unitário],0)</f>
        <v/>
      </c>
      <c r="J43">
        <f>_xlfn.XLOOKUP(tbLoja[[#This Row],[ID_Vendedor]],tbVendedores[ID_Vendedor],tbVendedores[Vendedor],"Não cadastrado")</f>
        <v/>
      </c>
      <c r="K43" s="4">
        <f>tbLoja[[#This Row],[Quantidade]]*tbLoja[[#This Row],[Preço Unitário]]</f>
        <v/>
      </c>
      <c r="L43" s="4">
        <f>tbLoja[[#This Row],[Faturamento]]-tbLoja[[#This Row],[Quantidade]]*tbLoja[[#This Row],[Custo Unitário]]</f>
        <v/>
      </c>
      <c r="M43">
        <f>MONTH(tbLoja[[#This Row],[Data]])</f>
        <v/>
      </c>
    </row>
    <row r="44">
      <c r="A44" t="inlineStr">
        <is>
          <t>L0043</t>
        </is>
      </c>
      <c r="B44" s="9" t="n">
        <v>46036</v>
      </c>
      <c r="C44" t="inlineStr">
        <is>
          <t>V01</t>
        </is>
      </c>
      <c r="D44" t="inlineStr">
        <is>
          <t>P004</t>
        </is>
      </c>
      <c r="E44" t="n">
        <v>3</v>
      </c>
      <c r="F44" s="4" t="n">
        <v>999</v>
      </c>
      <c r="G44">
        <f>_xlfn.XLOOKUP(tbLoja[[#This Row],[Cod_Produto]],tbProdutos[Cod_Produto],tbProdutos[Produto],"Não cadastrado")</f>
        <v/>
      </c>
      <c r="H44">
        <f>_xlfn.XLOOKUP(tbLoja[[#This Row],[Cod_Produto]],tbProdutos[Cod_Produto],tbProdutos[Categoria],"Não cadastrado")</f>
        <v/>
      </c>
      <c r="I44" s="4">
        <f>_xlfn.XLOOKUP(tbLoja[[#This Row],[Cod_Produto]],tbProdutos[Cod_Produto],tbProdutos[Custo Unitário],0)</f>
        <v/>
      </c>
      <c r="J44">
        <f>_xlfn.XLOOKUP(tbLoja[[#This Row],[ID_Vendedor]],tbVendedores[ID_Vendedor],tbVendedores[Vendedor],"Não cadastrado")</f>
        <v/>
      </c>
      <c r="K44" s="4">
        <f>tbLoja[[#This Row],[Quantidade]]*tbLoja[[#This Row],[Preço Unitário]]</f>
        <v/>
      </c>
      <c r="L44" s="4">
        <f>tbLoja[[#This Row],[Faturamento]]-tbLoja[[#This Row],[Quantidade]]*tbLoja[[#This Row],[Custo Unitário]]</f>
        <v/>
      </c>
      <c r="M44">
        <f>MONTH(tbLoja[[#This Row],[Data]])</f>
        <v/>
      </c>
    </row>
    <row r="45">
      <c r="A45" t="inlineStr">
        <is>
          <t>L0044</t>
        </is>
      </c>
      <c r="B45" s="9" t="n">
        <v>46036</v>
      </c>
      <c r="C45" t="inlineStr">
        <is>
          <t>V02</t>
        </is>
      </c>
      <c r="D45" t="inlineStr">
        <is>
          <t>P006</t>
        </is>
      </c>
      <c r="E45" t="n">
        <v>2</v>
      </c>
      <c r="F45" s="4" t="n">
        <v>119</v>
      </c>
      <c r="G45">
        <f>_xlfn.XLOOKUP(tbLoja[[#This Row],[Cod_Produto]],tbProdutos[Cod_Produto],tbProdutos[Produto],"Não cadastrado")</f>
        <v/>
      </c>
      <c r="H45">
        <f>_xlfn.XLOOKUP(tbLoja[[#This Row],[Cod_Produto]],tbProdutos[Cod_Produto],tbProdutos[Categoria],"Não cadastrado")</f>
        <v/>
      </c>
      <c r="I45" s="4">
        <f>_xlfn.XLOOKUP(tbLoja[[#This Row],[Cod_Produto]],tbProdutos[Cod_Produto],tbProdutos[Custo Unitário],0)</f>
        <v/>
      </c>
      <c r="J45">
        <f>_xlfn.XLOOKUP(tbLoja[[#This Row],[ID_Vendedor]],tbVendedores[ID_Vendedor],tbVendedores[Vendedor],"Não cadastrado")</f>
        <v/>
      </c>
      <c r="K45" s="4">
        <f>tbLoja[[#This Row],[Quantidade]]*tbLoja[[#This Row],[Preço Unitário]]</f>
        <v/>
      </c>
      <c r="L45" s="4">
        <f>tbLoja[[#This Row],[Faturamento]]-tbLoja[[#This Row],[Quantidade]]*tbLoja[[#This Row],[Custo Unitário]]</f>
        <v/>
      </c>
      <c r="M45">
        <f>MONTH(tbLoja[[#This Row],[Data]])</f>
        <v/>
      </c>
    </row>
    <row r="46">
      <c r="A46" t="inlineStr">
        <is>
          <t>L0045</t>
        </is>
      </c>
      <c r="B46" s="9" t="n">
        <v>46037</v>
      </c>
      <c r="C46" t="inlineStr">
        <is>
          <t>V01</t>
        </is>
      </c>
      <c r="D46" t="inlineStr">
        <is>
          <t>P001</t>
        </is>
      </c>
      <c r="E46" t="n">
        <v>1</v>
      </c>
      <c r="F46" s="4" t="n">
        <v>5899</v>
      </c>
      <c r="G46">
        <f>_xlfn.XLOOKUP(tbLoja[[#This Row],[Cod_Produto]],tbProdutos[Cod_Produto],tbProdutos[Produto],"Não cadastrado")</f>
        <v/>
      </c>
      <c r="H46">
        <f>_xlfn.XLOOKUP(tbLoja[[#This Row],[Cod_Produto]],tbProdutos[Cod_Produto],tbProdutos[Categoria],"Não cadastrado")</f>
        <v/>
      </c>
      <c r="I46" s="4">
        <f>_xlfn.XLOOKUP(tbLoja[[#This Row],[Cod_Produto]],tbProdutos[Cod_Produto],tbProdutos[Custo Unitário],0)</f>
        <v/>
      </c>
      <c r="J46">
        <f>_xlfn.XLOOKUP(tbLoja[[#This Row],[ID_Vendedor]],tbVendedores[ID_Vendedor],tbVendedores[Vendedor],"Não cadastrado")</f>
        <v/>
      </c>
      <c r="K46" s="4">
        <f>tbLoja[[#This Row],[Quantidade]]*tbLoja[[#This Row],[Preço Unitário]]</f>
        <v/>
      </c>
      <c r="L46" s="4">
        <f>tbLoja[[#This Row],[Faturamento]]-tbLoja[[#This Row],[Quantidade]]*tbLoja[[#This Row],[Custo Unitário]]</f>
        <v/>
      </c>
      <c r="M46">
        <f>MONTH(tbLoja[[#This Row],[Data]])</f>
        <v/>
      </c>
    </row>
    <row r="47">
      <c r="A47" t="inlineStr">
        <is>
          <t>L0046</t>
        </is>
      </c>
      <c r="B47" s="9" t="n">
        <v>46037</v>
      </c>
      <c r="C47" t="inlineStr">
        <is>
          <t>V06</t>
        </is>
      </c>
      <c r="D47" t="inlineStr">
        <is>
          <t>P002</t>
        </is>
      </c>
      <c r="E47" t="n">
        <v>1</v>
      </c>
      <c r="F47" s="4" t="n">
        <v>3299</v>
      </c>
      <c r="G47">
        <f>_xlfn.XLOOKUP(tbLoja[[#This Row],[Cod_Produto]],tbProdutos[Cod_Produto],tbProdutos[Produto],"Não cadastrado")</f>
        <v/>
      </c>
      <c r="H47">
        <f>_xlfn.XLOOKUP(tbLoja[[#This Row],[Cod_Produto]],tbProdutos[Cod_Produto],tbProdutos[Categoria],"Não cadastrado")</f>
        <v/>
      </c>
      <c r="I47" s="4">
        <f>_xlfn.XLOOKUP(tbLoja[[#This Row],[Cod_Produto]],tbProdutos[Cod_Produto],tbProdutos[Custo Unitário],0)</f>
        <v/>
      </c>
      <c r="J47">
        <f>_xlfn.XLOOKUP(tbLoja[[#This Row],[ID_Vendedor]],tbVendedores[ID_Vendedor],tbVendedores[Vendedor],"Não cadastrado")</f>
        <v/>
      </c>
      <c r="K47" s="4">
        <f>tbLoja[[#This Row],[Quantidade]]*tbLoja[[#This Row],[Preço Unitário]]</f>
        <v/>
      </c>
      <c r="L47" s="4">
        <f>tbLoja[[#This Row],[Faturamento]]-tbLoja[[#This Row],[Quantidade]]*tbLoja[[#This Row],[Custo Unitário]]</f>
        <v/>
      </c>
      <c r="M47">
        <f>MONTH(tbLoja[[#This Row],[Data]])</f>
        <v/>
      </c>
    </row>
    <row r="48">
      <c r="A48" t="inlineStr">
        <is>
          <t>L0047</t>
        </is>
      </c>
      <c r="B48" s="9" t="n">
        <v>46038</v>
      </c>
      <c r="C48" t="inlineStr">
        <is>
          <t>V01</t>
        </is>
      </c>
      <c r="D48" t="inlineStr">
        <is>
          <t>P006</t>
        </is>
      </c>
      <c r="E48" t="n">
        <v>1</v>
      </c>
      <c r="F48" s="4" t="n">
        <v>119</v>
      </c>
      <c r="G48">
        <f>_xlfn.XLOOKUP(tbLoja[[#This Row],[Cod_Produto]],tbProdutos[Cod_Produto],tbProdutos[Produto],"Não cadastrado")</f>
        <v/>
      </c>
      <c r="H48">
        <f>_xlfn.XLOOKUP(tbLoja[[#This Row],[Cod_Produto]],tbProdutos[Cod_Produto],tbProdutos[Categoria],"Não cadastrado")</f>
        <v/>
      </c>
      <c r="I48" s="4">
        <f>_xlfn.XLOOKUP(tbLoja[[#This Row],[Cod_Produto]],tbProdutos[Cod_Produto],tbProdutos[Custo Unitário],0)</f>
        <v/>
      </c>
      <c r="J48">
        <f>_xlfn.XLOOKUP(tbLoja[[#This Row],[ID_Vendedor]],tbVendedores[ID_Vendedor],tbVendedores[Vendedor],"Não cadastrado")</f>
        <v/>
      </c>
      <c r="K48" s="4">
        <f>tbLoja[[#This Row],[Quantidade]]*tbLoja[[#This Row],[Preço Unitário]]</f>
        <v/>
      </c>
      <c r="L48" s="4">
        <f>tbLoja[[#This Row],[Faturamento]]-tbLoja[[#This Row],[Quantidade]]*tbLoja[[#This Row],[Custo Unitário]]</f>
        <v/>
      </c>
      <c r="M48">
        <f>MONTH(tbLoja[[#This Row],[Data]])</f>
        <v/>
      </c>
    </row>
    <row r="49">
      <c r="A49" t="inlineStr">
        <is>
          <t>L0048</t>
        </is>
      </c>
      <c r="B49" s="9" t="n">
        <v>46038</v>
      </c>
      <c r="C49" t="inlineStr">
        <is>
          <t>V02</t>
        </is>
      </c>
      <c r="D49" t="inlineStr">
        <is>
          <t>P002</t>
        </is>
      </c>
      <c r="E49" t="n">
        <v>1</v>
      </c>
      <c r="F49" s="4" t="n">
        <v>3299</v>
      </c>
      <c r="G49">
        <f>_xlfn.XLOOKUP(tbLoja[[#This Row],[Cod_Produto]],tbProdutos[Cod_Produto],tbProdutos[Produto],"Não cadastrado")</f>
        <v/>
      </c>
      <c r="H49">
        <f>_xlfn.XLOOKUP(tbLoja[[#This Row],[Cod_Produto]],tbProdutos[Cod_Produto],tbProdutos[Categoria],"Não cadastrado")</f>
        <v/>
      </c>
      <c r="I49" s="4">
        <f>_xlfn.XLOOKUP(tbLoja[[#This Row],[Cod_Produto]],tbProdutos[Cod_Produto],tbProdutos[Custo Unitário],0)</f>
        <v/>
      </c>
      <c r="J49">
        <f>_xlfn.XLOOKUP(tbLoja[[#This Row],[ID_Vendedor]],tbVendedores[ID_Vendedor],tbVendedores[Vendedor],"Não cadastrado")</f>
        <v/>
      </c>
      <c r="K49" s="4">
        <f>tbLoja[[#This Row],[Quantidade]]*tbLoja[[#This Row],[Preço Unitário]]</f>
        <v/>
      </c>
      <c r="L49" s="4">
        <f>tbLoja[[#This Row],[Faturamento]]-tbLoja[[#This Row],[Quantidade]]*tbLoja[[#This Row],[Custo Unitário]]</f>
        <v/>
      </c>
      <c r="M49">
        <f>MONTH(tbLoja[[#This Row],[Data]])</f>
        <v/>
      </c>
    </row>
    <row r="50">
      <c r="A50" t="inlineStr">
        <is>
          <t>L0049</t>
        </is>
      </c>
      <c r="B50" s="9" t="n">
        <v>46039</v>
      </c>
      <c r="C50" t="inlineStr">
        <is>
          <t>V01</t>
        </is>
      </c>
      <c r="D50" t="inlineStr">
        <is>
          <t>P006</t>
        </is>
      </c>
      <c r="E50" t="n">
        <v>2</v>
      </c>
      <c r="F50" s="4" t="n">
        <v>119</v>
      </c>
      <c r="G50">
        <f>_xlfn.XLOOKUP(tbLoja[[#This Row],[Cod_Produto]],tbProdutos[Cod_Produto],tbProdutos[Produto],"Não cadastrado")</f>
        <v/>
      </c>
      <c r="H50">
        <f>_xlfn.XLOOKUP(tbLoja[[#This Row],[Cod_Produto]],tbProdutos[Cod_Produto],tbProdutos[Categoria],"Não cadastrado")</f>
        <v/>
      </c>
      <c r="I50" s="4">
        <f>_xlfn.XLOOKUP(tbLoja[[#This Row],[Cod_Produto]],tbProdutos[Cod_Produto],tbProdutos[Custo Unitário],0)</f>
        <v/>
      </c>
      <c r="J50">
        <f>_xlfn.XLOOKUP(tbLoja[[#This Row],[ID_Vendedor]],tbVendedores[ID_Vendedor],tbVendedores[Vendedor],"Não cadastrado")</f>
        <v/>
      </c>
      <c r="K50" s="4">
        <f>tbLoja[[#This Row],[Quantidade]]*tbLoja[[#This Row],[Preço Unitário]]</f>
        <v/>
      </c>
      <c r="L50" s="4">
        <f>tbLoja[[#This Row],[Faturamento]]-tbLoja[[#This Row],[Quantidade]]*tbLoja[[#This Row],[Custo Unitário]]</f>
        <v/>
      </c>
      <c r="M50">
        <f>MONTH(tbLoja[[#This Row],[Data]])</f>
        <v/>
      </c>
    </row>
    <row r="51">
      <c r="A51" t="inlineStr">
        <is>
          <t>L0050</t>
        </is>
      </c>
      <c r="B51" s="9" t="n">
        <v>46039</v>
      </c>
      <c r="C51" t="inlineStr">
        <is>
          <t>V01</t>
        </is>
      </c>
      <c r="D51" t="inlineStr">
        <is>
          <t>P006</t>
        </is>
      </c>
      <c r="E51" t="n">
        <v>5</v>
      </c>
      <c r="F51" s="4" t="n">
        <v>119</v>
      </c>
      <c r="G51">
        <f>_xlfn.XLOOKUP(tbLoja[[#This Row],[Cod_Produto]],tbProdutos[Cod_Produto],tbProdutos[Produto],"Não cadastrado")</f>
        <v/>
      </c>
      <c r="H51">
        <f>_xlfn.XLOOKUP(tbLoja[[#This Row],[Cod_Produto]],tbProdutos[Cod_Produto],tbProdutos[Categoria],"Não cadastrado")</f>
        <v/>
      </c>
      <c r="I51" s="4">
        <f>_xlfn.XLOOKUP(tbLoja[[#This Row],[Cod_Produto]],tbProdutos[Cod_Produto],tbProdutos[Custo Unitário],0)</f>
        <v/>
      </c>
      <c r="J51">
        <f>_xlfn.XLOOKUP(tbLoja[[#This Row],[ID_Vendedor]],tbVendedores[ID_Vendedor],tbVendedores[Vendedor],"Não cadastrado")</f>
        <v/>
      </c>
      <c r="K51" s="4">
        <f>tbLoja[[#This Row],[Quantidade]]*tbLoja[[#This Row],[Preço Unitário]]</f>
        <v/>
      </c>
      <c r="L51" s="4">
        <f>tbLoja[[#This Row],[Faturamento]]-tbLoja[[#This Row],[Quantidade]]*tbLoja[[#This Row],[Custo Unitário]]</f>
        <v/>
      </c>
      <c r="M51">
        <f>MONTH(tbLoja[[#This Row],[Data]])</f>
        <v/>
      </c>
    </row>
    <row r="52">
      <c r="A52" t="inlineStr">
        <is>
          <t>L0051</t>
        </is>
      </c>
      <c r="B52" s="9" t="n">
        <v>46040</v>
      </c>
      <c r="C52" t="inlineStr">
        <is>
          <t>V01</t>
        </is>
      </c>
      <c r="D52" t="inlineStr">
        <is>
          <t>P009</t>
        </is>
      </c>
      <c r="E52" t="n">
        <v>3</v>
      </c>
      <c r="F52" s="4" t="n">
        <v>499</v>
      </c>
      <c r="G52">
        <f>_xlfn.XLOOKUP(tbLoja[[#This Row],[Cod_Produto]],tbProdutos[Cod_Produto],tbProdutos[Produto],"Não cadastrado")</f>
        <v/>
      </c>
      <c r="H52">
        <f>_xlfn.XLOOKUP(tbLoja[[#This Row],[Cod_Produto]],tbProdutos[Cod_Produto],tbProdutos[Categoria],"Não cadastrado")</f>
        <v/>
      </c>
      <c r="I52" s="4">
        <f>_xlfn.XLOOKUP(tbLoja[[#This Row],[Cod_Produto]],tbProdutos[Cod_Produto],tbProdutos[Custo Unitário],0)</f>
        <v/>
      </c>
      <c r="J52">
        <f>_xlfn.XLOOKUP(tbLoja[[#This Row],[ID_Vendedor]],tbVendedores[ID_Vendedor],tbVendedores[Vendedor],"Não cadastrado")</f>
        <v/>
      </c>
      <c r="K52" s="4">
        <f>tbLoja[[#This Row],[Quantidade]]*tbLoja[[#This Row],[Preço Unitário]]</f>
        <v/>
      </c>
      <c r="L52" s="4">
        <f>tbLoja[[#This Row],[Faturamento]]-tbLoja[[#This Row],[Quantidade]]*tbLoja[[#This Row],[Custo Unitário]]</f>
        <v/>
      </c>
      <c r="M52">
        <f>MONTH(tbLoja[[#This Row],[Data]])</f>
        <v/>
      </c>
    </row>
    <row r="53">
      <c r="A53" t="inlineStr">
        <is>
          <t>L0052</t>
        </is>
      </c>
      <c r="B53" s="9" t="n">
        <v>46040</v>
      </c>
      <c r="C53" t="inlineStr">
        <is>
          <t>V04</t>
        </is>
      </c>
      <c r="D53" t="inlineStr">
        <is>
          <t>P004</t>
        </is>
      </c>
      <c r="E53" t="n">
        <v>1</v>
      </c>
      <c r="F53" s="4" t="n">
        <v>999</v>
      </c>
      <c r="G53">
        <f>_xlfn.XLOOKUP(tbLoja[[#This Row],[Cod_Produto]],tbProdutos[Cod_Produto],tbProdutos[Produto],"Não cadastrado")</f>
        <v/>
      </c>
      <c r="H53">
        <f>_xlfn.XLOOKUP(tbLoja[[#This Row],[Cod_Produto]],tbProdutos[Cod_Produto],tbProdutos[Categoria],"Não cadastrado")</f>
        <v/>
      </c>
      <c r="I53" s="4">
        <f>_xlfn.XLOOKUP(tbLoja[[#This Row],[Cod_Produto]],tbProdutos[Cod_Produto],tbProdutos[Custo Unitário],0)</f>
        <v/>
      </c>
      <c r="J53">
        <f>_xlfn.XLOOKUP(tbLoja[[#This Row],[ID_Vendedor]],tbVendedores[ID_Vendedor],tbVendedores[Vendedor],"Não cadastrado")</f>
        <v/>
      </c>
      <c r="K53" s="4">
        <f>tbLoja[[#This Row],[Quantidade]]*tbLoja[[#This Row],[Preço Unitário]]</f>
        <v/>
      </c>
      <c r="L53" s="4">
        <f>tbLoja[[#This Row],[Faturamento]]-tbLoja[[#This Row],[Quantidade]]*tbLoja[[#This Row],[Custo Unitário]]</f>
        <v/>
      </c>
      <c r="M53">
        <f>MONTH(tbLoja[[#This Row],[Data]])</f>
        <v/>
      </c>
    </row>
    <row r="54">
      <c r="A54" t="inlineStr">
        <is>
          <t>L0053</t>
        </is>
      </c>
      <c r="B54" s="9" t="n">
        <v>46041</v>
      </c>
      <c r="C54" t="inlineStr">
        <is>
          <t>V02</t>
        </is>
      </c>
      <c r="D54" t="inlineStr">
        <is>
          <t>P006</t>
        </is>
      </c>
      <c r="E54" t="n">
        <v>2</v>
      </c>
      <c r="F54" s="4" t="n">
        <v>119</v>
      </c>
      <c r="G54">
        <f>_xlfn.XLOOKUP(tbLoja[[#This Row],[Cod_Produto]],tbProdutos[Cod_Produto],tbProdutos[Produto],"Não cadastrado")</f>
        <v/>
      </c>
      <c r="H54">
        <f>_xlfn.XLOOKUP(tbLoja[[#This Row],[Cod_Produto]],tbProdutos[Cod_Produto],tbProdutos[Categoria],"Não cadastrado")</f>
        <v/>
      </c>
      <c r="I54" s="4">
        <f>_xlfn.XLOOKUP(tbLoja[[#This Row],[Cod_Produto]],tbProdutos[Cod_Produto],tbProdutos[Custo Unitário],0)</f>
        <v/>
      </c>
      <c r="J54">
        <f>_xlfn.XLOOKUP(tbLoja[[#This Row],[ID_Vendedor]],tbVendedores[ID_Vendedor],tbVendedores[Vendedor],"Não cadastrado")</f>
        <v/>
      </c>
      <c r="K54" s="4">
        <f>tbLoja[[#This Row],[Quantidade]]*tbLoja[[#This Row],[Preço Unitário]]</f>
        <v/>
      </c>
      <c r="L54" s="4">
        <f>tbLoja[[#This Row],[Faturamento]]-tbLoja[[#This Row],[Quantidade]]*tbLoja[[#This Row],[Custo Unitário]]</f>
        <v/>
      </c>
      <c r="M54">
        <f>MONTH(tbLoja[[#This Row],[Data]])</f>
        <v/>
      </c>
    </row>
    <row r="55">
      <c r="A55" t="inlineStr">
        <is>
          <t>L0054</t>
        </is>
      </c>
      <c r="B55" s="9" t="n">
        <v>46042</v>
      </c>
      <c r="C55" t="inlineStr">
        <is>
          <t>V03</t>
        </is>
      </c>
      <c r="D55" t="inlineStr">
        <is>
          <t>P005</t>
        </is>
      </c>
      <c r="E55" t="n">
        <v>3</v>
      </c>
      <c r="F55" s="4" t="n">
        <v>349</v>
      </c>
      <c r="G55">
        <f>_xlfn.XLOOKUP(tbLoja[[#This Row],[Cod_Produto]],tbProdutos[Cod_Produto],tbProdutos[Produto],"Não cadastrado")</f>
        <v/>
      </c>
      <c r="H55">
        <f>_xlfn.XLOOKUP(tbLoja[[#This Row],[Cod_Produto]],tbProdutos[Cod_Produto],tbProdutos[Categoria],"Não cadastrado")</f>
        <v/>
      </c>
      <c r="I55" s="4">
        <f>_xlfn.XLOOKUP(tbLoja[[#This Row],[Cod_Produto]],tbProdutos[Cod_Produto],tbProdutos[Custo Unitário],0)</f>
        <v/>
      </c>
      <c r="J55">
        <f>_xlfn.XLOOKUP(tbLoja[[#This Row],[ID_Vendedor]],tbVendedores[ID_Vendedor],tbVendedores[Vendedor],"Não cadastrado")</f>
        <v/>
      </c>
      <c r="K55" s="4">
        <f>tbLoja[[#This Row],[Quantidade]]*tbLoja[[#This Row],[Preço Unitário]]</f>
        <v/>
      </c>
      <c r="L55" s="4">
        <f>tbLoja[[#This Row],[Faturamento]]-tbLoja[[#This Row],[Quantidade]]*tbLoja[[#This Row],[Custo Unitário]]</f>
        <v/>
      </c>
      <c r="M55">
        <f>MONTH(tbLoja[[#This Row],[Data]])</f>
        <v/>
      </c>
    </row>
    <row r="56">
      <c r="A56" t="inlineStr">
        <is>
          <t>L0055</t>
        </is>
      </c>
      <c r="B56" s="9" t="n">
        <v>46042</v>
      </c>
      <c r="C56" t="inlineStr">
        <is>
          <t>V02</t>
        </is>
      </c>
      <c r="D56" t="inlineStr">
        <is>
          <t>P006</t>
        </is>
      </c>
      <c r="E56" t="n">
        <v>2</v>
      </c>
      <c r="F56" s="4" t="n">
        <v>119</v>
      </c>
      <c r="G56">
        <f>_xlfn.XLOOKUP(tbLoja[[#This Row],[Cod_Produto]],tbProdutos[Cod_Produto],tbProdutos[Produto],"Não cadastrado")</f>
        <v/>
      </c>
      <c r="H56">
        <f>_xlfn.XLOOKUP(tbLoja[[#This Row],[Cod_Produto]],tbProdutos[Cod_Produto],tbProdutos[Categoria],"Não cadastrado")</f>
        <v/>
      </c>
      <c r="I56" s="4">
        <f>_xlfn.XLOOKUP(tbLoja[[#This Row],[Cod_Produto]],tbProdutos[Cod_Produto],tbProdutos[Custo Unitário],0)</f>
        <v/>
      </c>
      <c r="J56">
        <f>_xlfn.XLOOKUP(tbLoja[[#This Row],[ID_Vendedor]],tbVendedores[ID_Vendedor],tbVendedores[Vendedor],"Não cadastrado")</f>
        <v/>
      </c>
      <c r="K56" s="4">
        <f>tbLoja[[#This Row],[Quantidade]]*tbLoja[[#This Row],[Preço Unitário]]</f>
        <v/>
      </c>
      <c r="L56" s="4">
        <f>tbLoja[[#This Row],[Faturamento]]-tbLoja[[#This Row],[Quantidade]]*tbLoja[[#This Row],[Custo Unitário]]</f>
        <v/>
      </c>
      <c r="M56">
        <f>MONTH(tbLoja[[#This Row],[Data]])</f>
        <v/>
      </c>
    </row>
    <row r="57">
      <c r="A57" t="inlineStr">
        <is>
          <t>L0056</t>
        </is>
      </c>
      <c r="B57" s="9" t="n">
        <v>46042</v>
      </c>
      <c r="C57" t="inlineStr">
        <is>
          <t>V01</t>
        </is>
      </c>
      <c r="D57" t="inlineStr">
        <is>
          <t>P004</t>
        </is>
      </c>
      <c r="E57" t="n">
        <v>2</v>
      </c>
      <c r="F57" s="4" t="n">
        <v>999</v>
      </c>
      <c r="G57">
        <f>_xlfn.XLOOKUP(tbLoja[[#This Row],[Cod_Produto]],tbProdutos[Cod_Produto],tbProdutos[Produto],"Não cadastrado")</f>
        <v/>
      </c>
      <c r="H57">
        <f>_xlfn.XLOOKUP(tbLoja[[#This Row],[Cod_Produto]],tbProdutos[Cod_Produto],tbProdutos[Categoria],"Não cadastrado")</f>
        <v/>
      </c>
      <c r="I57" s="4">
        <f>_xlfn.XLOOKUP(tbLoja[[#This Row],[Cod_Produto]],tbProdutos[Cod_Produto],tbProdutos[Custo Unitário],0)</f>
        <v/>
      </c>
      <c r="J57">
        <f>_xlfn.XLOOKUP(tbLoja[[#This Row],[ID_Vendedor]],tbVendedores[ID_Vendedor],tbVendedores[Vendedor],"Não cadastrado")</f>
        <v/>
      </c>
      <c r="K57" s="4">
        <f>tbLoja[[#This Row],[Quantidade]]*tbLoja[[#This Row],[Preço Unitário]]</f>
        <v/>
      </c>
      <c r="L57" s="4">
        <f>tbLoja[[#This Row],[Faturamento]]-tbLoja[[#This Row],[Quantidade]]*tbLoja[[#This Row],[Custo Unitário]]</f>
        <v/>
      </c>
      <c r="M57">
        <f>MONTH(tbLoja[[#This Row],[Data]])</f>
        <v/>
      </c>
    </row>
    <row r="58">
      <c r="A58" t="inlineStr">
        <is>
          <t>L0057</t>
        </is>
      </c>
      <c r="B58" s="9" t="n">
        <v>46042</v>
      </c>
      <c r="C58" t="inlineStr">
        <is>
          <t>V01</t>
        </is>
      </c>
      <c r="D58" t="inlineStr">
        <is>
          <t>P008</t>
        </is>
      </c>
      <c r="E58" t="n">
        <v>4</v>
      </c>
      <c r="F58" s="4" t="n">
        <v>259</v>
      </c>
      <c r="G58">
        <f>_xlfn.XLOOKUP(tbLoja[[#This Row],[Cod_Produto]],tbProdutos[Cod_Produto],tbProdutos[Produto],"Não cadastrado")</f>
        <v/>
      </c>
      <c r="H58">
        <f>_xlfn.XLOOKUP(tbLoja[[#This Row],[Cod_Produto]],tbProdutos[Cod_Produto],tbProdutos[Categoria],"Não cadastrado")</f>
        <v/>
      </c>
      <c r="I58" s="4">
        <f>_xlfn.XLOOKUP(tbLoja[[#This Row],[Cod_Produto]],tbProdutos[Cod_Produto],tbProdutos[Custo Unitário],0)</f>
        <v/>
      </c>
      <c r="J58">
        <f>_xlfn.XLOOKUP(tbLoja[[#This Row],[ID_Vendedor]],tbVendedores[ID_Vendedor],tbVendedores[Vendedor],"Não cadastrado")</f>
        <v/>
      </c>
      <c r="K58" s="4">
        <f>tbLoja[[#This Row],[Quantidade]]*tbLoja[[#This Row],[Preço Unitário]]</f>
        <v/>
      </c>
      <c r="L58" s="4">
        <f>tbLoja[[#This Row],[Faturamento]]-tbLoja[[#This Row],[Quantidade]]*tbLoja[[#This Row],[Custo Unitário]]</f>
        <v/>
      </c>
      <c r="M58">
        <f>MONTH(tbLoja[[#This Row],[Data]])</f>
        <v/>
      </c>
    </row>
    <row r="59">
      <c r="A59" t="inlineStr">
        <is>
          <t>L0058</t>
        </is>
      </c>
      <c r="B59" s="9" t="n">
        <v>46042</v>
      </c>
      <c r="C59" t="inlineStr">
        <is>
          <t>V06</t>
        </is>
      </c>
      <c r="D59" t="inlineStr">
        <is>
          <t>P004</t>
        </is>
      </c>
      <c r="E59" t="n">
        <v>2</v>
      </c>
      <c r="F59" s="4" t="n">
        <v>999</v>
      </c>
      <c r="G59">
        <f>_xlfn.XLOOKUP(tbLoja[[#This Row],[Cod_Produto]],tbProdutos[Cod_Produto],tbProdutos[Produto],"Não cadastrado")</f>
        <v/>
      </c>
      <c r="H59">
        <f>_xlfn.XLOOKUP(tbLoja[[#This Row],[Cod_Produto]],tbProdutos[Cod_Produto],tbProdutos[Categoria],"Não cadastrado")</f>
        <v/>
      </c>
      <c r="I59" s="4">
        <f>_xlfn.XLOOKUP(tbLoja[[#This Row],[Cod_Produto]],tbProdutos[Cod_Produto],tbProdutos[Custo Unitário],0)</f>
        <v/>
      </c>
      <c r="J59">
        <f>_xlfn.XLOOKUP(tbLoja[[#This Row],[ID_Vendedor]],tbVendedores[ID_Vendedor],tbVendedores[Vendedor],"Não cadastrado")</f>
        <v/>
      </c>
      <c r="K59" s="4">
        <f>tbLoja[[#This Row],[Quantidade]]*tbLoja[[#This Row],[Preço Unitário]]</f>
        <v/>
      </c>
      <c r="L59" s="4">
        <f>tbLoja[[#This Row],[Faturamento]]-tbLoja[[#This Row],[Quantidade]]*tbLoja[[#This Row],[Custo Unitário]]</f>
        <v/>
      </c>
      <c r="M59">
        <f>MONTH(tbLoja[[#This Row],[Data]])</f>
        <v/>
      </c>
    </row>
    <row r="60">
      <c r="A60" t="inlineStr">
        <is>
          <t>L0059</t>
        </is>
      </c>
      <c r="B60" s="9" t="n">
        <v>46043</v>
      </c>
      <c r="C60" t="inlineStr">
        <is>
          <t>V06</t>
        </is>
      </c>
      <c r="D60" t="inlineStr">
        <is>
          <t>P005</t>
        </is>
      </c>
      <c r="E60" t="n">
        <v>1</v>
      </c>
      <c r="F60" s="4" t="n">
        <v>349</v>
      </c>
      <c r="G60">
        <f>_xlfn.XLOOKUP(tbLoja[[#This Row],[Cod_Produto]],tbProdutos[Cod_Produto],tbProdutos[Produto],"Não cadastrado")</f>
        <v/>
      </c>
      <c r="H60">
        <f>_xlfn.XLOOKUP(tbLoja[[#This Row],[Cod_Produto]],tbProdutos[Cod_Produto],tbProdutos[Categoria],"Não cadastrado")</f>
        <v/>
      </c>
      <c r="I60" s="4">
        <f>_xlfn.XLOOKUP(tbLoja[[#This Row],[Cod_Produto]],tbProdutos[Cod_Produto],tbProdutos[Custo Unitário],0)</f>
        <v/>
      </c>
      <c r="J60">
        <f>_xlfn.XLOOKUP(tbLoja[[#This Row],[ID_Vendedor]],tbVendedores[ID_Vendedor],tbVendedores[Vendedor],"Não cadastrado")</f>
        <v/>
      </c>
      <c r="K60" s="4">
        <f>tbLoja[[#This Row],[Quantidade]]*tbLoja[[#This Row],[Preço Unitário]]</f>
        <v/>
      </c>
      <c r="L60" s="4">
        <f>tbLoja[[#This Row],[Faturamento]]-tbLoja[[#This Row],[Quantidade]]*tbLoja[[#This Row],[Custo Unitário]]</f>
        <v/>
      </c>
      <c r="M60">
        <f>MONTH(tbLoja[[#This Row],[Data]])</f>
        <v/>
      </c>
    </row>
    <row r="61">
      <c r="A61" t="inlineStr">
        <is>
          <t>L0060</t>
        </is>
      </c>
      <c r="B61" s="9" t="n">
        <v>46043</v>
      </c>
      <c r="C61" t="inlineStr">
        <is>
          <t>V02</t>
        </is>
      </c>
      <c r="D61" t="inlineStr">
        <is>
          <t>P003</t>
        </is>
      </c>
      <c r="E61" t="n">
        <v>3</v>
      </c>
      <c r="F61" s="4" t="n">
        <v>1599</v>
      </c>
      <c r="G61">
        <f>_xlfn.XLOOKUP(tbLoja[[#This Row],[Cod_Produto]],tbProdutos[Cod_Produto],tbProdutos[Produto],"Não cadastrado")</f>
        <v/>
      </c>
      <c r="H61">
        <f>_xlfn.XLOOKUP(tbLoja[[#This Row],[Cod_Produto]],tbProdutos[Cod_Produto],tbProdutos[Categoria],"Não cadastrado")</f>
        <v/>
      </c>
      <c r="I61" s="4">
        <f>_xlfn.XLOOKUP(tbLoja[[#This Row],[Cod_Produto]],tbProdutos[Cod_Produto],tbProdutos[Custo Unitário],0)</f>
        <v/>
      </c>
      <c r="J61">
        <f>_xlfn.XLOOKUP(tbLoja[[#This Row],[ID_Vendedor]],tbVendedores[ID_Vendedor],tbVendedores[Vendedor],"Não cadastrado")</f>
        <v/>
      </c>
      <c r="K61" s="4">
        <f>tbLoja[[#This Row],[Quantidade]]*tbLoja[[#This Row],[Preço Unitário]]</f>
        <v/>
      </c>
      <c r="L61" s="4">
        <f>tbLoja[[#This Row],[Faturamento]]-tbLoja[[#This Row],[Quantidade]]*tbLoja[[#This Row],[Custo Unitário]]</f>
        <v/>
      </c>
      <c r="M61">
        <f>MONTH(tbLoja[[#This Row],[Data]])</f>
        <v/>
      </c>
    </row>
    <row r="62">
      <c r="A62" t="inlineStr">
        <is>
          <t>L0061</t>
        </is>
      </c>
      <c r="B62" s="9" t="n">
        <v>46044</v>
      </c>
      <c r="C62" t="inlineStr">
        <is>
          <t>V05</t>
        </is>
      </c>
      <c r="D62" t="inlineStr">
        <is>
          <t>P006</t>
        </is>
      </c>
      <c r="E62" t="n">
        <v>5</v>
      </c>
      <c r="F62" s="4" t="n">
        <v>119</v>
      </c>
      <c r="G62">
        <f>_xlfn.XLOOKUP(tbLoja[[#This Row],[Cod_Produto]],tbProdutos[Cod_Produto],tbProdutos[Produto],"Não cadastrado")</f>
        <v/>
      </c>
      <c r="H62">
        <f>_xlfn.XLOOKUP(tbLoja[[#This Row],[Cod_Produto]],tbProdutos[Cod_Produto],tbProdutos[Categoria],"Não cadastrado")</f>
        <v/>
      </c>
      <c r="I62" s="4">
        <f>_xlfn.XLOOKUP(tbLoja[[#This Row],[Cod_Produto]],tbProdutos[Cod_Produto],tbProdutos[Custo Unitário],0)</f>
        <v/>
      </c>
      <c r="J62">
        <f>_xlfn.XLOOKUP(tbLoja[[#This Row],[ID_Vendedor]],tbVendedores[ID_Vendedor],tbVendedores[Vendedor],"Não cadastrado")</f>
        <v/>
      </c>
      <c r="K62" s="4">
        <f>tbLoja[[#This Row],[Quantidade]]*tbLoja[[#This Row],[Preço Unitário]]</f>
        <v/>
      </c>
      <c r="L62" s="4">
        <f>tbLoja[[#This Row],[Faturamento]]-tbLoja[[#This Row],[Quantidade]]*tbLoja[[#This Row],[Custo Unitário]]</f>
        <v/>
      </c>
      <c r="M62">
        <f>MONTH(tbLoja[[#This Row],[Data]])</f>
        <v/>
      </c>
    </row>
    <row r="63">
      <c r="A63" t="inlineStr">
        <is>
          <t>L0062</t>
        </is>
      </c>
      <c r="B63" s="9" t="n">
        <v>46044</v>
      </c>
      <c r="C63" t="inlineStr">
        <is>
          <t>V01</t>
        </is>
      </c>
      <c r="D63" t="inlineStr">
        <is>
          <t>P001</t>
        </is>
      </c>
      <c r="E63" t="n">
        <v>1</v>
      </c>
      <c r="F63" s="4" t="n">
        <v>5899</v>
      </c>
      <c r="G63">
        <f>_xlfn.XLOOKUP(tbLoja[[#This Row],[Cod_Produto]],tbProdutos[Cod_Produto],tbProdutos[Produto],"Não cadastrado")</f>
        <v/>
      </c>
      <c r="H63">
        <f>_xlfn.XLOOKUP(tbLoja[[#This Row],[Cod_Produto]],tbProdutos[Cod_Produto],tbProdutos[Categoria],"Não cadastrado")</f>
        <v/>
      </c>
      <c r="I63" s="4">
        <f>_xlfn.XLOOKUP(tbLoja[[#This Row],[Cod_Produto]],tbProdutos[Cod_Produto],tbProdutos[Custo Unitário],0)</f>
        <v/>
      </c>
      <c r="J63">
        <f>_xlfn.XLOOKUP(tbLoja[[#This Row],[ID_Vendedor]],tbVendedores[ID_Vendedor],tbVendedores[Vendedor],"Não cadastrado")</f>
        <v/>
      </c>
      <c r="K63" s="4">
        <f>tbLoja[[#This Row],[Quantidade]]*tbLoja[[#This Row],[Preço Unitário]]</f>
        <v/>
      </c>
      <c r="L63" s="4">
        <f>tbLoja[[#This Row],[Faturamento]]-tbLoja[[#This Row],[Quantidade]]*tbLoja[[#This Row],[Custo Unitário]]</f>
        <v/>
      </c>
      <c r="M63">
        <f>MONTH(tbLoja[[#This Row],[Data]])</f>
        <v/>
      </c>
    </row>
    <row r="64">
      <c r="A64" t="inlineStr">
        <is>
          <t>L0063</t>
        </is>
      </c>
      <c r="B64" s="9" t="n">
        <v>46045</v>
      </c>
      <c r="C64" t="inlineStr">
        <is>
          <t>V01</t>
        </is>
      </c>
      <c r="D64" t="inlineStr">
        <is>
          <t>P004</t>
        </is>
      </c>
      <c r="E64" t="n">
        <v>2</v>
      </c>
      <c r="F64" s="4" t="n">
        <v>999</v>
      </c>
      <c r="G64">
        <f>_xlfn.XLOOKUP(tbLoja[[#This Row],[Cod_Produto]],tbProdutos[Cod_Produto],tbProdutos[Produto],"Não cadastrado")</f>
        <v/>
      </c>
      <c r="H64">
        <f>_xlfn.XLOOKUP(tbLoja[[#This Row],[Cod_Produto]],tbProdutos[Cod_Produto],tbProdutos[Categoria],"Não cadastrado")</f>
        <v/>
      </c>
      <c r="I64" s="4">
        <f>_xlfn.XLOOKUP(tbLoja[[#This Row],[Cod_Produto]],tbProdutos[Cod_Produto],tbProdutos[Custo Unitário],0)</f>
        <v/>
      </c>
      <c r="J64">
        <f>_xlfn.XLOOKUP(tbLoja[[#This Row],[ID_Vendedor]],tbVendedores[ID_Vendedor],tbVendedores[Vendedor],"Não cadastrado")</f>
        <v/>
      </c>
      <c r="K64" s="4">
        <f>tbLoja[[#This Row],[Quantidade]]*tbLoja[[#This Row],[Preço Unitário]]</f>
        <v/>
      </c>
      <c r="L64" s="4">
        <f>tbLoja[[#This Row],[Faturamento]]-tbLoja[[#This Row],[Quantidade]]*tbLoja[[#This Row],[Custo Unitário]]</f>
        <v/>
      </c>
      <c r="M64">
        <f>MONTH(tbLoja[[#This Row],[Data]])</f>
        <v/>
      </c>
    </row>
    <row r="65">
      <c r="A65" t="inlineStr">
        <is>
          <t>L0064</t>
        </is>
      </c>
      <c r="B65" s="9" t="n">
        <v>46045</v>
      </c>
      <c r="C65" t="inlineStr">
        <is>
          <t>V01</t>
        </is>
      </c>
      <c r="D65" t="inlineStr">
        <is>
          <t>P009</t>
        </is>
      </c>
      <c r="E65" t="n">
        <v>1</v>
      </c>
      <c r="F65" s="4" t="n">
        <v>499</v>
      </c>
      <c r="G65">
        <f>_xlfn.XLOOKUP(tbLoja[[#This Row],[Cod_Produto]],tbProdutos[Cod_Produto],tbProdutos[Produto],"Não cadastrado")</f>
        <v/>
      </c>
      <c r="H65">
        <f>_xlfn.XLOOKUP(tbLoja[[#This Row],[Cod_Produto]],tbProdutos[Cod_Produto],tbProdutos[Categoria],"Não cadastrado")</f>
        <v/>
      </c>
      <c r="I65" s="4">
        <f>_xlfn.XLOOKUP(tbLoja[[#This Row],[Cod_Produto]],tbProdutos[Cod_Produto],tbProdutos[Custo Unitário],0)</f>
        <v/>
      </c>
      <c r="J65">
        <f>_xlfn.XLOOKUP(tbLoja[[#This Row],[ID_Vendedor]],tbVendedores[ID_Vendedor],tbVendedores[Vendedor],"Não cadastrado")</f>
        <v/>
      </c>
      <c r="K65" s="4">
        <f>tbLoja[[#This Row],[Quantidade]]*tbLoja[[#This Row],[Preço Unitário]]</f>
        <v/>
      </c>
      <c r="L65" s="4">
        <f>tbLoja[[#This Row],[Faturamento]]-tbLoja[[#This Row],[Quantidade]]*tbLoja[[#This Row],[Custo Unitário]]</f>
        <v/>
      </c>
      <c r="M65">
        <f>MONTH(tbLoja[[#This Row],[Data]])</f>
        <v/>
      </c>
    </row>
    <row r="66">
      <c r="A66" t="inlineStr">
        <is>
          <t>L0065</t>
        </is>
      </c>
      <c r="B66" s="9" t="n">
        <v>46045</v>
      </c>
      <c r="C66" t="inlineStr">
        <is>
          <t>V03</t>
        </is>
      </c>
      <c r="D66" t="inlineStr">
        <is>
          <t>P006</t>
        </is>
      </c>
      <c r="E66" t="n">
        <v>5</v>
      </c>
      <c r="F66" s="4" t="n">
        <v>119</v>
      </c>
      <c r="G66">
        <f>_xlfn.XLOOKUP(tbLoja[[#This Row],[Cod_Produto]],tbProdutos[Cod_Produto],tbProdutos[Produto],"Não cadastrado")</f>
        <v/>
      </c>
      <c r="H66">
        <f>_xlfn.XLOOKUP(tbLoja[[#This Row],[Cod_Produto]],tbProdutos[Cod_Produto],tbProdutos[Categoria],"Não cadastrado")</f>
        <v/>
      </c>
      <c r="I66" s="4">
        <f>_xlfn.XLOOKUP(tbLoja[[#This Row],[Cod_Produto]],tbProdutos[Cod_Produto],tbProdutos[Custo Unitário],0)</f>
        <v/>
      </c>
      <c r="J66">
        <f>_xlfn.XLOOKUP(tbLoja[[#This Row],[ID_Vendedor]],tbVendedores[ID_Vendedor],tbVendedores[Vendedor],"Não cadastrado")</f>
        <v/>
      </c>
      <c r="K66" s="4">
        <f>tbLoja[[#This Row],[Quantidade]]*tbLoja[[#This Row],[Preço Unitário]]</f>
        <v/>
      </c>
      <c r="L66" s="4">
        <f>tbLoja[[#This Row],[Faturamento]]-tbLoja[[#This Row],[Quantidade]]*tbLoja[[#This Row],[Custo Unitário]]</f>
        <v/>
      </c>
      <c r="M66">
        <f>MONTH(tbLoja[[#This Row],[Data]])</f>
        <v/>
      </c>
    </row>
    <row r="67">
      <c r="A67" t="inlineStr">
        <is>
          <t>L0066</t>
        </is>
      </c>
      <c r="B67" s="9" t="n">
        <v>46046</v>
      </c>
      <c r="C67" t="inlineStr">
        <is>
          <t>V03</t>
        </is>
      </c>
      <c r="D67" t="inlineStr">
        <is>
          <t>P004</t>
        </is>
      </c>
      <c r="E67" t="n">
        <v>2</v>
      </c>
      <c r="F67" s="4" t="n">
        <v>999</v>
      </c>
      <c r="G67">
        <f>_xlfn.XLOOKUP(tbLoja[[#This Row],[Cod_Produto]],tbProdutos[Cod_Produto],tbProdutos[Produto],"Não cadastrado")</f>
        <v/>
      </c>
      <c r="H67">
        <f>_xlfn.XLOOKUP(tbLoja[[#This Row],[Cod_Produto]],tbProdutos[Cod_Produto],tbProdutos[Categoria],"Não cadastrado")</f>
        <v/>
      </c>
      <c r="I67" s="4">
        <f>_xlfn.XLOOKUP(tbLoja[[#This Row],[Cod_Produto]],tbProdutos[Cod_Produto],tbProdutos[Custo Unitário],0)</f>
        <v/>
      </c>
      <c r="J67">
        <f>_xlfn.XLOOKUP(tbLoja[[#This Row],[ID_Vendedor]],tbVendedores[ID_Vendedor],tbVendedores[Vendedor],"Não cadastrado")</f>
        <v/>
      </c>
      <c r="K67" s="4">
        <f>tbLoja[[#This Row],[Quantidade]]*tbLoja[[#This Row],[Preço Unitário]]</f>
        <v/>
      </c>
      <c r="L67" s="4">
        <f>tbLoja[[#This Row],[Faturamento]]-tbLoja[[#This Row],[Quantidade]]*tbLoja[[#This Row],[Custo Unitário]]</f>
        <v/>
      </c>
      <c r="M67">
        <f>MONTH(tbLoja[[#This Row],[Data]])</f>
        <v/>
      </c>
    </row>
    <row r="68">
      <c r="A68" t="inlineStr">
        <is>
          <t>L0067</t>
        </is>
      </c>
      <c r="B68" s="9" t="n">
        <v>46046</v>
      </c>
      <c r="C68" t="inlineStr">
        <is>
          <t>V03</t>
        </is>
      </c>
      <c r="D68" t="inlineStr">
        <is>
          <t>P007</t>
        </is>
      </c>
      <c r="E68" t="n">
        <v>1</v>
      </c>
      <c r="F68" s="4" t="n">
        <v>399</v>
      </c>
      <c r="G68">
        <f>_xlfn.XLOOKUP(tbLoja[[#This Row],[Cod_Produto]],tbProdutos[Cod_Produto],tbProdutos[Produto],"Não cadastrado")</f>
        <v/>
      </c>
      <c r="H68">
        <f>_xlfn.XLOOKUP(tbLoja[[#This Row],[Cod_Produto]],tbProdutos[Cod_Produto],tbProdutos[Categoria],"Não cadastrado")</f>
        <v/>
      </c>
      <c r="I68" s="4">
        <f>_xlfn.XLOOKUP(tbLoja[[#This Row],[Cod_Produto]],tbProdutos[Cod_Produto],tbProdutos[Custo Unitário],0)</f>
        <v/>
      </c>
      <c r="J68">
        <f>_xlfn.XLOOKUP(tbLoja[[#This Row],[ID_Vendedor]],tbVendedores[ID_Vendedor],tbVendedores[Vendedor],"Não cadastrado")</f>
        <v/>
      </c>
      <c r="K68" s="4">
        <f>tbLoja[[#This Row],[Quantidade]]*tbLoja[[#This Row],[Preço Unitário]]</f>
        <v/>
      </c>
      <c r="L68" s="4">
        <f>tbLoja[[#This Row],[Faturamento]]-tbLoja[[#This Row],[Quantidade]]*tbLoja[[#This Row],[Custo Unitário]]</f>
        <v/>
      </c>
      <c r="M68">
        <f>MONTH(tbLoja[[#This Row],[Data]])</f>
        <v/>
      </c>
    </row>
    <row r="69">
      <c r="A69" t="inlineStr">
        <is>
          <t>L0068</t>
        </is>
      </c>
      <c r="B69" s="9" t="n">
        <v>46046</v>
      </c>
      <c r="C69" t="inlineStr">
        <is>
          <t>V04</t>
        </is>
      </c>
      <c r="D69" t="inlineStr">
        <is>
          <t>P007</t>
        </is>
      </c>
      <c r="E69" t="n">
        <v>1</v>
      </c>
      <c r="F69" s="4" t="n">
        <v>399</v>
      </c>
      <c r="G69">
        <f>_xlfn.XLOOKUP(tbLoja[[#This Row],[Cod_Produto]],tbProdutos[Cod_Produto],tbProdutos[Produto],"Não cadastrado")</f>
        <v/>
      </c>
      <c r="H69">
        <f>_xlfn.XLOOKUP(tbLoja[[#This Row],[Cod_Produto]],tbProdutos[Cod_Produto],tbProdutos[Categoria],"Não cadastrado")</f>
        <v/>
      </c>
      <c r="I69" s="4">
        <f>_xlfn.XLOOKUP(tbLoja[[#This Row],[Cod_Produto]],tbProdutos[Cod_Produto],tbProdutos[Custo Unitário],0)</f>
        <v/>
      </c>
      <c r="J69">
        <f>_xlfn.XLOOKUP(tbLoja[[#This Row],[ID_Vendedor]],tbVendedores[ID_Vendedor],tbVendedores[Vendedor],"Não cadastrado")</f>
        <v/>
      </c>
      <c r="K69" s="4">
        <f>tbLoja[[#This Row],[Quantidade]]*tbLoja[[#This Row],[Preço Unitário]]</f>
        <v/>
      </c>
      <c r="L69" s="4">
        <f>tbLoja[[#This Row],[Faturamento]]-tbLoja[[#This Row],[Quantidade]]*tbLoja[[#This Row],[Custo Unitário]]</f>
        <v/>
      </c>
      <c r="M69">
        <f>MONTH(tbLoja[[#This Row],[Data]])</f>
        <v/>
      </c>
    </row>
    <row r="70">
      <c r="A70" t="inlineStr">
        <is>
          <t>L0069</t>
        </is>
      </c>
      <c r="B70" s="9" t="n">
        <v>46047</v>
      </c>
      <c r="C70" t="inlineStr">
        <is>
          <t>V03</t>
        </is>
      </c>
      <c r="D70" t="inlineStr">
        <is>
          <t>P002</t>
        </is>
      </c>
      <c r="E70" t="n">
        <v>2</v>
      </c>
      <c r="F70" s="4" t="n">
        <v>3299</v>
      </c>
      <c r="G70">
        <f>_xlfn.XLOOKUP(tbLoja[[#This Row],[Cod_Produto]],tbProdutos[Cod_Produto],tbProdutos[Produto],"Não cadastrado")</f>
        <v/>
      </c>
      <c r="H70">
        <f>_xlfn.XLOOKUP(tbLoja[[#This Row],[Cod_Produto]],tbProdutos[Cod_Produto],tbProdutos[Categoria],"Não cadastrado")</f>
        <v/>
      </c>
      <c r="I70" s="4">
        <f>_xlfn.XLOOKUP(tbLoja[[#This Row],[Cod_Produto]],tbProdutos[Cod_Produto],tbProdutos[Custo Unitário],0)</f>
        <v/>
      </c>
      <c r="J70">
        <f>_xlfn.XLOOKUP(tbLoja[[#This Row],[ID_Vendedor]],tbVendedores[ID_Vendedor],tbVendedores[Vendedor],"Não cadastrado")</f>
        <v/>
      </c>
      <c r="K70" s="4">
        <f>tbLoja[[#This Row],[Quantidade]]*tbLoja[[#This Row],[Preço Unitário]]</f>
        <v/>
      </c>
      <c r="L70" s="4">
        <f>tbLoja[[#This Row],[Faturamento]]-tbLoja[[#This Row],[Quantidade]]*tbLoja[[#This Row],[Custo Unitário]]</f>
        <v/>
      </c>
      <c r="M70">
        <f>MONTH(tbLoja[[#This Row],[Data]])</f>
        <v/>
      </c>
    </row>
    <row r="71">
      <c r="A71" t="inlineStr">
        <is>
          <t>L0070</t>
        </is>
      </c>
      <c r="B71" s="9" t="n">
        <v>46048</v>
      </c>
      <c r="C71" t="inlineStr">
        <is>
          <t>V03</t>
        </is>
      </c>
      <c r="D71" t="inlineStr">
        <is>
          <t>P006</t>
        </is>
      </c>
      <c r="E71" t="n">
        <v>1</v>
      </c>
      <c r="F71" s="4" t="n">
        <v>119</v>
      </c>
      <c r="G71">
        <f>_xlfn.XLOOKUP(tbLoja[[#This Row],[Cod_Produto]],tbProdutos[Cod_Produto],tbProdutos[Produto],"Não cadastrado")</f>
        <v/>
      </c>
      <c r="H71">
        <f>_xlfn.XLOOKUP(tbLoja[[#This Row],[Cod_Produto]],tbProdutos[Cod_Produto],tbProdutos[Categoria],"Não cadastrado")</f>
        <v/>
      </c>
      <c r="I71" s="4">
        <f>_xlfn.XLOOKUP(tbLoja[[#This Row],[Cod_Produto]],tbProdutos[Cod_Produto],tbProdutos[Custo Unitário],0)</f>
        <v/>
      </c>
      <c r="J71">
        <f>_xlfn.XLOOKUP(tbLoja[[#This Row],[ID_Vendedor]],tbVendedores[ID_Vendedor],tbVendedores[Vendedor],"Não cadastrado")</f>
        <v/>
      </c>
      <c r="K71" s="4">
        <f>tbLoja[[#This Row],[Quantidade]]*tbLoja[[#This Row],[Preço Unitário]]</f>
        <v/>
      </c>
      <c r="L71" s="4">
        <f>tbLoja[[#This Row],[Faturamento]]-tbLoja[[#This Row],[Quantidade]]*tbLoja[[#This Row],[Custo Unitário]]</f>
        <v/>
      </c>
      <c r="M71">
        <f>MONTH(tbLoja[[#This Row],[Data]])</f>
        <v/>
      </c>
    </row>
    <row r="72">
      <c r="A72" t="inlineStr">
        <is>
          <t>L0071</t>
        </is>
      </c>
      <c r="B72" s="9" t="n">
        <v>46048</v>
      </c>
      <c r="C72" t="inlineStr">
        <is>
          <t>V06</t>
        </is>
      </c>
      <c r="D72" t="inlineStr">
        <is>
          <t>P002</t>
        </is>
      </c>
      <c r="E72" t="n">
        <v>2</v>
      </c>
      <c r="F72" s="4" t="n">
        <v>3299</v>
      </c>
      <c r="G72">
        <f>_xlfn.XLOOKUP(tbLoja[[#This Row],[Cod_Produto]],tbProdutos[Cod_Produto],tbProdutos[Produto],"Não cadastrado")</f>
        <v/>
      </c>
      <c r="H72">
        <f>_xlfn.XLOOKUP(tbLoja[[#This Row],[Cod_Produto]],tbProdutos[Cod_Produto],tbProdutos[Categoria],"Não cadastrado")</f>
        <v/>
      </c>
      <c r="I72" s="4">
        <f>_xlfn.XLOOKUP(tbLoja[[#This Row],[Cod_Produto]],tbProdutos[Cod_Produto],tbProdutos[Custo Unitário],0)</f>
        <v/>
      </c>
      <c r="J72">
        <f>_xlfn.XLOOKUP(tbLoja[[#This Row],[ID_Vendedor]],tbVendedores[ID_Vendedor],tbVendedores[Vendedor],"Não cadastrado")</f>
        <v/>
      </c>
      <c r="K72" s="4">
        <f>tbLoja[[#This Row],[Quantidade]]*tbLoja[[#This Row],[Preço Unitário]]</f>
        <v/>
      </c>
      <c r="L72" s="4">
        <f>tbLoja[[#This Row],[Faturamento]]-tbLoja[[#This Row],[Quantidade]]*tbLoja[[#This Row],[Custo Unitário]]</f>
        <v/>
      </c>
      <c r="M72">
        <f>MONTH(tbLoja[[#This Row],[Data]])</f>
        <v/>
      </c>
    </row>
    <row r="73">
      <c r="A73" t="inlineStr">
        <is>
          <t>L0072</t>
        </is>
      </c>
      <c r="B73" s="9" t="n">
        <v>46048</v>
      </c>
      <c r="C73" t="inlineStr">
        <is>
          <t>V06</t>
        </is>
      </c>
      <c r="D73" t="inlineStr">
        <is>
          <t>P006</t>
        </is>
      </c>
      <c r="E73" t="n">
        <v>2</v>
      </c>
      <c r="F73" s="4" t="n">
        <v>119</v>
      </c>
      <c r="G73">
        <f>_xlfn.XLOOKUP(tbLoja[[#This Row],[Cod_Produto]],tbProdutos[Cod_Produto],tbProdutos[Produto],"Não cadastrado")</f>
        <v/>
      </c>
      <c r="H73">
        <f>_xlfn.XLOOKUP(tbLoja[[#This Row],[Cod_Produto]],tbProdutos[Cod_Produto],tbProdutos[Categoria],"Não cadastrado")</f>
        <v/>
      </c>
      <c r="I73" s="4">
        <f>_xlfn.XLOOKUP(tbLoja[[#This Row],[Cod_Produto]],tbProdutos[Cod_Produto],tbProdutos[Custo Unitário],0)</f>
        <v/>
      </c>
      <c r="J73">
        <f>_xlfn.XLOOKUP(tbLoja[[#This Row],[ID_Vendedor]],tbVendedores[ID_Vendedor],tbVendedores[Vendedor],"Não cadastrado")</f>
        <v/>
      </c>
      <c r="K73" s="4">
        <f>tbLoja[[#This Row],[Quantidade]]*tbLoja[[#This Row],[Preço Unitário]]</f>
        <v/>
      </c>
      <c r="L73" s="4">
        <f>tbLoja[[#This Row],[Faturamento]]-tbLoja[[#This Row],[Quantidade]]*tbLoja[[#This Row],[Custo Unitário]]</f>
        <v/>
      </c>
      <c r="M73">
        <f>MONTH(tbLoja[[#This Row],[Data]])</f>
        <v/>
      </c>
    </row>
    <row r="74">
      <c r="A74" t="inlineStr">
        <is>
          <t>L0073</t>
        </is>
      </c>
      <c r="B74" s="9" t="n">
        <v>46049</v>
      </c>
      <c r="C74" t="inlineStr">
        <is>
          <t>V01</t>
        </is>
      </c>
      <c r="D74" t="inlineStr">
        <is>
          <t>P006</t>
        </is>
      </c>
      <c r="E74" t="n">
        <v>4</v>
      </c>
      <c r="F74" s="4" t="n">
        <v>119</v>
      </c>
      <c r="G74">
        <f>_xlfn.XLOOKUP(tbLoja[[#This Row],[Cod_Produto]],tbProdutos[Cod_Produto],tbProdutos[Produto],"Não cadastrado")</f>
        <v/>
      </c>
      <c r="H74">
        <f>_xlfn.XLOOKUP(tbLoja[[#This Row],[Cod_Produto]],tbProdutos[Cod_Produto],tbProdutos[Categoria],"Não cadastrado")</f>
        <v/>
      </c>
      <c r="I74" s="4">
        <f>_xlfn.XLOOKUP(tbLoja[[#This Row],[Cod_Produto]],tbProdutos[Cod_Produto],tbProdutos[Custo Unitário],0)</f>
        <v/>
      </c>
      <c r="J74">
        <f>_xlfn.XLOOKUP(tbLoja[[#This Row],[ID_Vendedor]],tbVendedores[ID_Vendedor],tbVendedores[Vendedor],"Não cadastrado")</f>
        <v/>
      </c>
      <c r="K74" s="4">
        <f>tbLoja[[#This Row],[Quantidade]]*tbLoja[[#This Row],[Preço Unitário]]</f>
        <v/>
      </c>
      <c r="L74" s="4">
        <f>tbLoja[[#This Row],[Faturamento]]-tbLoja[[#This Row],[Quantidade]]*tbLoja[[#This Row],[Custo Unitário]]</f>
        <v/>
      </c>
      <c r="M74">
        <f>MONTH(tbLoja[[#This Row],[Data]])</f>
        <v/>
      </c>
    </row>
    <row r="75">
      <c r="A75" t="inlineStr">
        <is>
          <t>L0074</t>
        </is>
      </c>
      <c r="B75" s="9" t="n">
        <v>46049</v>
      </c>
      <c r="C75" t="inlineStr">
        <is>
          <t>V02</t>
        </is>
      </c>
      <c r="D75" t="inlineStr">
        <is>
          <t>P009</t>
        </is>
      </c>
      <c r="E75" t="n">
        <v>1</v>
      </c>
      <c r="F75" s="4" t="n">
        <v>499</v>
      </c>
      <c r="G75">
        <f>_xlfn.XLOOKUP(tbLoja[[#This Row],[Cod_Produto]],tbProdutos[Cod_Produto],tbProdutos[Produto],"Não cadastrado")</f>
        <v/>
      </c>
      <c r="H75">
        <f>_xlfn.XLOOKUP(tbLoja[[#This Row],[Cod_Produto]],tbProdutos[Cod_Produto],tbProdutos[Categoria],"Não cadastrado")</f>
        <v/>
      </c>
      <c r="I75" s="4">
        <f>_xlfn.XLOOKUP(tbLoja[[#This Row],[Cod_Produto]],tbProdutos[Cod_Produto],tbProdutos[Custo Unitário],0)</f>
        <v/>
      </c>
      <c r="J75">
        <f>_xlfn.XLOOKUP(tbLoja[[#This Row],[ID_Vendedor]],tbVendedores[ID_Vendedor],tbVendedores[Vendedor],"Não cadastrado")</f>
        <v/>
      </c>
      <c r="K75" s="4">
        <f>tbLoja[[#This Row],[Quantidade]]*tbLoja[[#This Row],[Preço Unitário]]</f>
        <v/>
      </c>
      <c r="L75" s="4">
        <f>tbLoja[[#This Row],[Faturamento]]-tbLoja[[#This Row],[Quantidade]]*tbLoja[[#This Row],[Custo Unitário]]</f>
        <v/>
      </c>
      <c r="M75">
        <f>MONTH(tbLoja[[#This Row],[Data]])</f>
        <v/>
      </c>
    </row>
    <row r="76">
      <c r="A76" t="inlineStr">
        <is>
          <t>L0075</t>
        </is>
      </c>
      <c r="B76" s="9" t="n">
        <v>46049</v>
      </c>
      <c r="C76" t="inlineStr">
        <is>
          <t>V01</t>
        </is>
      </c>
      <c r="D76" t="inlineStr">
        <is>
          <t>P008</t>
        </is>
      </c>
      <c r="E76" t="n">
        <v>5</v>
      </c>
      <c r="F76" s="4" t="n">
        <v>259</v>
      </c>
      <c r="G76">
        <f>_xlfn.XLOOKUP(tbLoja[[#This Row],[Cod_Produto]],tbProdutos[Cod_Produto],tbProdutos[Produto],"Não cadastrado")</f>
        <v/>
      </c>
      <c r="H76">
        <f>_xlfn.XLOOKUP(tbLoja[[#This Row],[Cod_Produto]],tbProdutos[Cod_Produto],tbProdutos[Categoria],"Não cadastrado")</f>
        <v/>
      </c>
      <c r="I76" s="4">
        <f>_xlfn.XLOOKUP(tbLoja[[#This Row],[Cod_Produto]],tbProdutos[Cod_Produto],tbProdutos[Custo Unitário],0)</f>
        <v/>
      </c>
      <c r="J76">
        <f>_xlfn.XLOOKUP(tbLoja[[#This Row],[ID_Vendedor]],tbVendedores[ID_Vendedor],tbVendedores[Vendedor],"Não cadastrado")</f>
        <v/>
      </c>
      <c r="K76" s="4">
        <f>tbLoja[[#This Row],[Quantidade]]*tbLoja[[#This Row],[Preço Unitário]]</f>
        <v/>
      </c>
      <c r="L76" s="4">
        <f>tbLoja[[#This Row],[Faturamento]]-tbLoja[[#This Row],[Quantidade]]*tbLoja[[#This Row],[Custo Unitário]]</f>
        <v/>
      </c>
      <c r="M76">
        <f>MONTH(tbLoja[[#This Row],[Data]])</f>
        <v/>
      </c>
    </row>
    <row r="77">
      <c r="A77" t="inlineStr">
        <is>
          <t>L0076</t>
        </is>
      </c>
      <c r="B77" s="9" t="n">
        <v>46050</v>
      </c>
      <c r="C77" t="inlineStr">
        <is>
          <t>V01</t>
        </is>
      </c>
      <c r="D77" t="inlineStr">
        <is>
          <t>P009</t>
        </is>
      </c>
      <c r="E77" t="n">
        <v>1</v>
      </c>
      <c r="F77" s="4" t="n">
        <v>499</v>
      </c>
      <c r="G77">
        <f>_xlfn.XLOOKUP(tbLoja[[#This Row],[Cod_Produto]],tbProdutos[Cod_Produto],tbProdutos[Produto],"Não cadastrado")</f>
        <v/>
      </c>
      <c r="H77">
        <f>_xlfn.XLOOKUP(tbLoja[[#This Row],[Cod_Produto]],tbProdutos[Cod_Produto],tbProdutos[Categoria],"Não cadastrado")</f>
        <v/>
      </c>
      <c r="I77" s="4">
        <f>_xlfn.XLOOKUP(tbLoja[[#This Row],[Cod_Produto]],tbProdutos[Cod_Produto],tbProdutos[Custo Unitário],0)</f>
        <v/>
      </c>
      <c r="J77">
        <f>_xlfn.XLOOKUP(tbLoja[[#This Row],[ID_Vendedor]],tbVendedores[ID_Vendedor],tbVendedores[Vendedor],"Não cadastrado")</f>
        <v/>
      </c>
      <c r="K77" s="4">
        <f>tbLoja[[#This Row],[Quantidade]]*tbLoja[[#This Row],[Preço Unitário]]</f>
        <v/>
      </c>
      <c r="L77" s="4">
        <f>tbLoja[[#This Row],[Faturamento]]-tbLoja[[#This Row],[Quantidade]]*tbLoja[[#This Row],[Custo Unitário]]</f>
        <v/>
      </c>
      <c r="M77">
        <f>MONTH(tbLoja[[#This Row],[Data]])</f>
        <v/>
      </c>
    </row>
    <row r="78">
      <c r="A78" t="inlineStr">
        <is>
          <t>L0077</t>
        </is>
      </c>
      <c r="B78" s="9" t="n">
        <v>46051</v>
      </c>
      <c r="C78" t="inlineStr">
        <is>
          <t>V06</t>
        </is>
      </c>
      <c r="D78" t="inlineStr">
        <is>
          <t>P009</t>
        </is>
      </c>
      <c r="E78" t="n">
        <v>1</v>
      </c>
      <c r="F78" s="4" t="n">
        <v>499</v>
      </c>
      <c r="G78">
        <f>_xlfn.XLOOKUP(tbLoja[[#This Row],[Cod_Produto]],tbProdutos[Cod_Produto],tbProdutos[Produto],"Não cadastrado")</f>
        <v/>
      </c>
      <c r="H78">
        <f>_xlfn.XLOOKUP(tbLoja[[#This Row],[Cod_Produto]],tbProdutos[Cod_Produto],tbProdutos[Categoria],"Não cadastrado")</f>
        <v/>
      </c>
      <c r="I78" s="4">
        <f>_xlfn.XLOOKUP(tbLoja[[#This Row],[Cod_Produto]],tbProdutos[Cod_Produto],tbProdutos[Custo Unitário],0)</f>
        <v/>
      </c>
      <c r="J78">
        <f>_xlfn.XLOOKUP(tbLoja[[#This Row],[ID_Vendedor]],tbVendedores[ID_Vendedor],tbVendedores[Vendedor],"Não cadastrado")</f>
        <v/>
      </c>
      <c r="K78" s="4">
        <f>tbLoja[[#This Row],[Quantidade]]*tbLoja[[#This Row],[Preço Unitário]]</f>
        <v/>
      </c>
      <c r="L78" s="4">
        <f>tbLoja[[#This Row],[Faturamento]]-tbLoja[[#This Row],[Quantidade]]*tbLoja[[#This Row],[Custo Unitário]]</f>
        <v/>
      </c>
      <c r="M78">
        <f>MONTH(tbLoja[[#This Row],[Data]])</f>
        <v/>
      </c>
    </row>
    <row r="79">
      <c r="A79" t="inlineStr">
        <is>
          <t>L0078</t>
        </is>
      </c>
      <c r="B79" s="9" t="n">
        <v>46051</v>
      </c>
      <c r="C79" t="inlineStr">
        <is>
          <t>V03</t>
        </is>
      </c>
      <c r="D79" t="inlineStr">
        <is>
          <t>P005</t>
        </is>
      </c>
      <c r="E79" t="n">
        <v>1</v>
      </c>
      <c r="F79" s="4" t="n">
        <v>349</v>
      </c>
      <c r="G79">
        <f>_xlfn.XLOOKUP(tbLoja[[#This Row],[Cod_Produto]],tbProdutos[Cod_Produto],tbProdutos[Produto],"Não cadastrado")</f>
        <v/>
      </c>
      <c r="H79">
        <f>_xlfn.XLOOKUP(tbLoja[[#This Row],[Cod_Produto]],tbProdutos[Cod_Produto],tbProdutos[Categoria],"Não cadastrado")</f>
        <v/>
      </c>
      <c r="I79" s="4">
        <f>_xlfn.XLOOKUP(tbLoja[[#This Row],[Cod_Produto]],tbProdutos[Cod_Produto],tbProdutos[Custo Unitário],0)</f>
        <v/>
      </c>
      <c r="J79">
        <f>_xlfn.XLOOKUP(tbLoja[[#This Row],[ID_Vendedor]],tbVendedores[ID_Vendedor],tbVendedores[Vendedor],"Não cadastrado")</f>
        <v/>
      </c>
      <c r="K79" s="4">
        <f>tbLoja[[#This Row],[Quantidade]]*tbLoja[[#This Row],[Preço Unitário]]</f>
        <v/>
      </c>
      <c r="L79" s="4">
        <f>tbLoja[[#This Row],[Faturamento]]-tbLoja[[#This Row],[Quantidade]]*tbLoja[[#This Row],[Custo Unitário]]</f>
        <v/>
      </c>
      <c r="M79">
        <f>MONTH(tbLoja[[#This Row],[Data]])</f>
        <v/>
      </c>
    </row>
    <row r="80">
      <c r="A80" t="inlineStr">
        <is>
          <t>L0079</t>
        </is>
      </c>
      <c r="B80" s="9" t="n">
        <v>46051</v>
      </c>
      <c r="C80" t="inlineStr">
        <is>
          <t>V01</t>
        </is>
      </c>
      <c r="D80" t="inlineStr">
        <is>
          <t>P005</t>
        </is>
      </c>
      <c r="E80" t="n">
        <v>1</v>
      </c>
      <c r="F80" s="4" t="n">
        <v>349</v>
      </c>
      <c r="G80">
        <f>_xlfn.XLOOKUP(tbLoja[[#This Row],[Cod_Produto]],tbProdutos[Cod_Produto],tbProdutos[Produto],"Não cadastrado")</f>
        <v/>
      </c>
      <c r="H80">
        <f>_xlfn.XLOOKUP(tbLoja[[#This Row],[Cod_Produto]],tbProdutos[Cod_Produto],tbProdutos[Categoria],"Não cadastrado")</f>
        <v/>
      </c>
      <c r="I80" s="4">
        <f>_xlfn.XLOOKUP(tbLoja[[#This Row],[Cod_Produto]],tbProdutos[Cod_Produto],tbProdutos[Custo Unitário],0)</f>
        <v/>
      </c>
      <c r="J80">
        <f>_xlfn.XLOOKUP(tbLoja[[#This Row],[ID_Vendedor]],tbVendedores[ID_Vendedor],tbVendedores[Vendedor],"Não cadastrado")</f>
        <v/>
      </c>
      <c r="K80" s="4">
        <f>tbLoja[[#This Row],[Quantidade]]*tbLoja[[#This Row],[Preço Unitário]]</f>
        <v/>
      </c>
      <c r="L80" s="4">
        <f>tbLoja[[#This Row],[Faturamento]]-tbLoja[[#This Row],[Quantidade]]*tbLoja[[#This Row],[Custo Unitário]]</f>
        <v/>
      </c>
      <c r="M80">
        <f>MONTH(tbLoja[[#This Row],[Data]])</f>
        <v/>
      </c>
    </row>
    <row r="81">
      <c r="A81" t="inlineStr">
        <is>
          <t>L0080</t>
        </is>
      </c>
      <c r="B81" s="9" t="n">
        <v>46051</v>
      </c>
      <c r="C81" t="inlineStr">
        <is>
          <t>V01</t>
        </is>
      </c>
      <c r="D81" t="inlineStr">
        <is>
          <t>P005</t>
        </is>
      </c>
      <c r="E81" t="n">
        <v>1</v>
      </c>
      <c r="F81" s="4" t="n">
        <v>349</v>
      </c>
      <c r="G81">
        <f>_xlfn.XLOOKUP(tbLoja[[#This Row],[Cod_Produto]],tbProdutos[Cod_Produto],tbProdutos[Produto],"Não cadastrado")</f>
        <v/>
      </c>
      <c r="H81">
        <f>_xlfn.XLOOKUP(tbLoja[[#This Row],[Cod_Produto]],tbProdutos[Cod_Produto],tbProdutos[Categoria],"Não cadastrado")</f>
        <v/>
      </c>
      <c r="I81" s="4">
        <f>_xlfn.XLOOKUP(tbLoja[[#This Row],[Cod_Produto]],tbProdutos[Cod_Produto],tbProdutos[Custo Unitário],0)</f>
        <v/>
      </c>
      <c r="J81">
        <f>_xlfn.XLOOKUP(tbLoja[[#This Row],[ID_Vendedor]],tbVendedores[ID_Vendedor],tbVendedores[Vendedor],"Não cadastrado")</f>
        <v/>
      </c>
      <c r="K81" s="4">
        <f>tbLoja[[#This Row],[Quantidade]]*tbLoja[[#This Row],[Preço Unitário]]</f>
        <v/>
      </c>
      <c r="L81" s="4">
        <f>tbLoja[[#This Row],[Faturamento]]-tbLoja[[#This Row],[Quantidade]]*tbLoja[[#This Row],[Custo Unitário]]</f>
        <v/>
      </c>
      <c r="M81">
        <f>MONTH(tbLoja[[#This Row],[Data]])</f>
        <v/>
      </c>
    </row>
    <row r="82">
      <c r="A82" t="inlineStr">
        <is>
          <t>L0081</t>
        </is>
      </c>
      <c r="B82" s="9" t="n">
        <v>46051</v>
      </c>
      <c r="C82" t="inlineStr">
        <is>
          <t>V03</t>
        </is>
      </c>
      <c r="D82" t="inlineStr">
        <is>
          <t>P006</t>
        </is>
      </c>
      <c r="E82" t="n">
        <v>1</v>
      </c>
      <c r="F82" s="4" t="n">
        <v>119</v>
      </c>
      <c r="G82">
        <f>_xlfn.XLOOKUP(tbLoja[[#This Row],[Cod_Produto]],tbProdutos[Cod_Produto],tbProdutos[Produto],"Não cadastrado")</f>
        <v/>
      </c>
      <c r="H82">
        <f>_xlfn.XLOOKUP(tbLoja[[#This Row],[Cod_Produto]],tbProdutos[Cod_Produto],tbProdutos[Categoria],"Não cadastrado")</f>
        <v/>
      </c>
      <c r="I82" s="4">
        <f>_xlfn.XLOOKUP(tbLoja[[#This Row],[Cod_Produto]],tbProdutos[Cod_Produto],tbProdutos[Custo Unitário],0)</f>
        <v/>
      </c>
      <c r="J82">
        <f>_xlfn.XLOOKUP(tbLoja[[#This Row],[ID_Vendedor]],tbVendedores[ID_Vendedor],tbVendedores[Vendedor],"Não cadastrado")</f>
        <v/>
      </c>
      <c r="K82" s="4">
        <f>tbLoja[[#This Row],[Quantidade]]*tbLoja[[#This Row],[Preço Unitário]]</f>
        <v/>
      </c>
      <c r="L82" s="4">
        <f>tbLoja[[#This Row],[Faturamento]]-tbLoja[[#This Row],[Quantidade]]*tbLoja[[#This Row],[Custo Unitário]]</f>
        <v/>
      </c>
      <c r="M82">
        <f>MONTH(tbLoja[[#This Row],[Data]])</f>
        <v/>
      </c>
    </row>
    <row r="83">
      <c r="A83" t="inlineStr">
        <is>
          <t>L0082</t>
        </is>
      </c>
      <c r="B83" s="9" t="n">
        <v>46052</v>
      </c>
      <c r="C83" t="inlineStr">
        <is>
          <t>V03</t>
        </is>
      </c>
      <c r="D83" t="inlineStr">
        <is>
          <t>P009</t>
        </is>
      </c>
      <c r="E83" t="n">
        <v>2</v>
      </c>
      <c r="F83" s="4" t="n">
        <v>499</v>
      </c>
      <c r="G83">
        <f>_xlfn.XLOOKUP(tbLoja[[#This Row],[Cod_Produto]],tbProdutos[Cod_Produto],tbProdutos[Produto],"Não cadastrado")</f>
        <v/>
      </c>
      <c r="H83">
        <f>_xlfn.XLOOKUP(tbLoja[[#This Row],[Cod_Produto]],tbProdutos[Cod_Produto],tbProdutos[Categoria],"Não cadastrado")</f>
        <v/>
      </c>
      <c r="I83" s="4">
        <f>_xlfn.XLOOKUP(tbLoja[[#This Row],[Cod_Produto]],tbProdutos[Cod_Produto],tbProdutos[Custo Unitário],0)</f>
        <v/>
      </c>
      <c r="J83">
        <f>_xlfn.XLOOKUP(tbLoja[[#This Row],[ID_Vendedor]],tbVendedores[ID_Vendedor],tbVendedores[Vendedor],"Não cadastrado")</f>
        <v/>
      </c>
      <c r="K83" s="4">
        <f>tbLoja[[#This Row],[Quantidade]]*tbLoja[[#This Row],[Preço Unitário]]</f>
        <v/>
      </c>
      <c r="L83" s="4">
        <f>tbLoja[[#This Row],[Faturamento]]-tbLoja[[#This Row],[Quantidade]]*tbLoja[[#This Row],[Custo Unitário]]</f>
        <v/>
      </c>
      <c r="M83">
        <f>MONTH(tbLoja[[#This Row],[Data]])</f>
        <v/>
      </c>
    </row>
    <row r="84">
      <c r="A84" t="inlineStr">
        <is>
          <t>L0083</t>
        </is>
      </c>
      <c r="B84" s="9" t="n">
        <v>46052</v>
      </c>
      <c r="C84" t="inlineStr">
        <is>
          <t>V04</t>
        </is>
      </c>
      <c r="D84" t="inlineStr">
        <is>
          <t>P007</t>
        </is>
      </c>
      <c r="E84" t="n">
        <v>2</v>
      </c>
      <c r="F84" s="4" t="n">
        <v>399</v>
      </c>
      <c r="G84">
        <f>_xlfn.XLOOKUP(tbLoja[[#This Row],[Cod_Produto]],tbProdutos[Cod_Produto],tbProdutos[Produto],"Não cadastrado")</f>
        <v/>
      </c>
      <c r="H84">
        <f>_xlfn.XLOOKUP(tbLoja[[#This Row],[Cod_Produto]],tbProdutos[Cod_Produto],tbProdutos[Categoria],"Não cadastrado")</f>
        <v/>
      </c>
      <c r="I84" s="4">
        <f>_xlfn.XLOOKUP(tbLoja[[#This Row],[Cod_Produto]],tbProdutos[Cod_Produto],tbProdutos[Custo Unitário],0)</f>
        <v/>
      </c>
      <c r="J84">
        <f>_xlfn.XLOOKUP(tbLoja[[#This Row],[ID_Vendedor]],tbVendedores[ID_Vendedor],tbVendedores[Vendedor],"Não cadastrado")</f>
        <v/>
      </c>
      <c r="K84" s="4">
        <f>tbLoja[[#This Row],[Quantidade]]*tbLoja[[#This Row],[Preço Unitário]]</f>
        <v/>
      </c>
      <c r="L84" s="4">
        <f>tbLoja[[#This Row],[Faturamento]]-tbLoja[[#This Row],[Quantidade]]*tbLoja[[#This Row],[Custo Unitário]]</f>
        <v/>
      </c>
      <c r="M84">
        <f>MONTH(tbLoja[[#This Row],[Data]])</f>
        <v/>
      </c>
    </row>
    <row r="85">
      <c r="A85" t="inlineStr">
        <is>
          <t>L0084</t>
        </is>
      </c>
      <c r="B85" s="9" t="n">
        <v>46052</v>
      </c>
      <c r="C85" t="inlineStr">
        <is>
          <t>V05</t>
        </is>
      </c>
      <c r="D85" t="inlineStr">
        <is>
          <t>P006</t>
        </is>
      </c>
      <c r="E85" t="n">
        <v>1</v>
      </c>
      <c r="F85" s="4" t="n">
        <v>119</v>
      </c>
      <c r="G85">
        <f>_xlfn.XLOOKUP(tbLoja[[#This Row],[Cod_Produto]],tbProdutos[Cod_Produto],tbProdutos[Produto],"Não cadastrado")</f>
        <v/>
      </c>
      <c r="H85">
        <f>_xlfn.XLOOKUP(tbLoja[[#This Row],[Cod_Produto]],tbProdutos[Cod_Produto],tbProdutos[Categoria],"Não cadastrado")</f>
        <v/>
      </c>
      <c r="I85" s="4">
        <f>_xlfn.XLOOKUP(tbLoja[[#This Row],[Cod_Produto]],tbProdutos[Cod_Produto],tbProdutos[Custo Unitário],0)</f>
        <v/>
      </c>
      <c r="J85">
        <f>_xlfn.XLOOKUP(tbLoja[[#This Row],[ID_Vendedor]],tbVendedores[ID_Vendedor],tbVendedores[Vendedor],"Não cadastrado")</f>
        <v/>
      </c>
      <c r="K85" s="4">
        <f>tbLoja[[#This Row],[Quantidade]]*tbLoja[[#This Row],[Preço Unitário]]</f>
        <v/>
      </c>
      <c r="L85" s="4">
        <f>tbLoja[[#This Row],[Faturamento]]-tbLoja[[#This Row],[Quantidade]]*tbLoja[[#This Row],[Custo Unitário]]</f>
        <v/>
      </c>
      <c r="M85">
        <f>MONTH(tbLoja[[#This Row],[Data]])</f>
        <v/>
      </c>
    </row>
    <row r="86">
      <c r="A86" t="inlineStr">
        <is>
          <t>L0085</t>
        </is>
      </c>
      <c r="B86" s="9" t="n">
        <v>46052</v>
      </c>
      <c r="C86" t="inlineStr">
        <is>
          <t>V02</t>
        </is>
      </c>
      <c r="D86" t="inlineStr">
        <is>
          <t>P002</t>
        </is>
      </c>
      <c r="E86" t="n">
        <v>1</v>
      </c>
      <c r="F86" s="4" t="n">
        <v>3299</v>
      </c>
      <c r="G86">
        <f>_xlfn.XLOOKUP(tbLoja[[#This Row],[Cod_Produto]],tbProdutos[Cod_Produto],tbProdutos[Produto],"Não cadastrado")</f>
        <v/>
      </c>
      <c r="H86">
        <f>_xlfn.XLOOKUP(tbLoja[[#This Row],[Cod_Produto]],tbProdutos[Cod_Produto],tbProdutos[Categoria],"Não cadastrado")</f>
        <v/>
      </c>
      <c r="I86" s="4">
        <f>_xlfn.XLOOKUP(tbLoja[[#This Row],[Cod_Produto]],tbProdutos[Cod_Produto],tbProdutos[Custo Unitário],0)</f>
        <v/>
      </c>
      <c r="J86">
        <f>_xlfn.XLOOKUP(tbLoja[[#This Row],[ID_Vendedor]],tbVendedores[ID_Vendedor],tbVendedores[Vendedor],"Não cadastrado")</f>
        <v/>
      </c>
      <c r="K86" s="4">
        <f>tbLoja[[#This Row],[Quantidade]]*tbLoja[[#This Row],[Preço Unitário]]</f>
        <v/>
      </c>
      <c r="L86" s="4">
        <f>tbLoja[[#This Row],[Faturamento]]-tbLoja[[#This Row],[Quantidade]]*tbLoja[[#This Row],[Custo Unitário]]</f>
        <v/>
      </c>
      <c r="M86">
        <f>MONTH(tbLoja[[#This Row],[Data]])</f>
        <v/>
      </c>
    </row>
    <row r="87">
      <c r="A87" t="inlineStr">
        <is>
          <t>L0086</t>
        </is>
      </c>
      <c r="B87" s="9" t="n">
        <v>46052</v>
      </c>
      <c r="C87" t="inlineStr">
        <is>
          <t>V04</t>
        </is>
      </c>
      <c r="D87" t="inlineStr">
        <is>
          <t>P008</t>
        </is>
      </c>
      <c r="E87" t="n">
        <v>1</v>
      </c>
      <c r="F87" s="4" t="n">
        <v>259</v>
      </c>
      <c r="G87">
        <f>_xlfn.XLOOKUP(tbLoja[[#This Row],[Cod_Produto]],tbProdutos[Cod_Produto],tbProdutos[Produto],"Não cadastrado")</f>
        <v/>
      </c>
      <c r="H87">
        <f>_xlfn.XLOOKUP(tbLoja[[#This Row],[Cod_Produto]],tbProdutos[Cod_Produto],tbProdutos[Categoria],"Não cadastrado")</f>
        <v/>
      </c>
      <c r="I87" s="4">
        <f>_xlfn.XLOOKUP(tbLoja[[#This Row],[Cod_Produto]],tbProdutos[Cod_Produto],tbProdutos[Custo Unitário],0)</f>
        <v/>
      </c>
      <c r="J87">
        <f>_xlfn.XLOOKUP(tbLoja[[#This Row],[ID_Vendedor]],tbVendedores[ID_Vendedor],tbVendedores[Vendedor],"Não cadastrado")</f>
        <v/>
      </c>
      <c r="K87" s="4">
        <f>tbLoja[[#This Row],[Quantidade]]*tbLoja[[#This Row],[Preço Unitário]]</f>
        <v/>
      </c>
      <c r="L87" s="4">
        <f>tbLoja[[#This Row],[Faturamento]]-tbLoja[[#This Row],[Quantidade]]*tbLoja[[#This Row],[Custo Unitário]]</f>
        <v/>
      </c>
      <c r="M87">
        <f>MONTH(tbLoja[[#This Row],[Data]])</f>
        <v/>
      </c>
    </row>
    <row r="88">
      <c r="A88" t="inlineStr">
        <is>
          <t>L0087</t>
        </is>
      </c>
      <c r="B88" s="9" t="n">
        <v>46052</v>
      </c>
      <c r="C88" t="inlineStr">
        <is>
          <t>V02</t>
        </is>
      </c>
      <c r="D88" t="inlineStr">
        <is>
          <t>P007</t>
        </is>
      </c>
      <c r="E88" t="n">
        <v>4</v>
      </c>
      <c r="F88" s="4" t="n">
        <v>399</v>
      </c>
      <c r="G88">
        <f>_xlfn.XLOOKUP(tbLoja[[#This Row],[Cod_Produto]],tbProdutos[Cod_Produto],tbProdutos[Produto],"Não cadastrado")</f>
        <v/>
      </c>
      <c r="H88">
        <f>_xlfn.XLOOKUP(tbLoja[[#This Row],[Cod_Produto]],tbProdutos[Cod_Produto],tbProdutos[Categoria],"Não cadastrado")</f>
        <v/>
      </c>
      <c r="I88" s="4">
        <f>_xlfn.XLOOKUP(tbLoja[[#This Row],[Cod_Produto]],tbProdutos[Cod_Produto],tbProdutos[Custo Unitário],0)</f>
        <v/>
      </c>
      <c r="J88">
        <f>_xlfn.XLOOKUP(tbLoja[[#This Row],[ID_Vendedor]],tbVendedores[ID_Vendedor],tbVendedores[Vendedor],"Não cadastrado")</f>
        <v/>
      </c>
      <c r="K88" s="4">
        <f>tbLoja[[#This Row],[Quantidade]]*tbLoja[[#This Row],[Preço Unitário]]</f>
        <v/>
      </c>
      <c r="L88" s="4">
        <f>tbLoja[[#This Row],[Faturamento]]-tbLoja[[#This Row],[Quantidade]]*tbLoja[[#This Row],[Custo Unitário]]</f>
        <v/>
      </c>
      <c r="M88">
        <f>MONTH(tbLoja[[#This Row],[Data]])</f>
        <v/>
      </c>
    </row>
    <row r="89">
      <c r="A89" t="inlineStr">
        <is>
          <t>L0088</t>
        </is>
      </c>
      <c r="B89" s="9" t="n">
        <v>46053</v>
      </c>
      <c r="C89" t="inlineStr">
        <is>
          <t>V04</t>
        </is>
      </c>
      <c r="D89" t="inlineStr">
        <is>
          <t>P007</t>
        </is>
      </c>
      <c r="E89" t="n">
        <v>2</v>
      </c>
      <c r="F89" s="4" t="n">
        <v>399</v>
      </c>
      <c r="G89">
        <f>_xlfn.XLOOKUP(tbLoja[[#This Row],[Cod_Produto]],tbProdutos[Cod_Produto],tbProdutos[Produto],"Não cadastrado")</f>
        <v/>
      </c>
      <c r="H89">
        <f>_xlfn.XLOOKUP(tbLoja[[#This Row],[Cod_Produto]],tbProdutos[Cod_Produto],tbProdutos[Categoria],"Não cadastrado")</f>
        <v/>
      </c>
      <c r="I89" s="4">
        <f>_xlfn.XLOOKUP(tbLoja[[#This Row],[Cod_Produto]],tbProdutos[Cod_Produto],tbProdutos[Custo Unitário],0)</f>
        <v/>
      </c>
      <c r="J89">
        <f>_xlfn.XLOOKUP(tbLoja[[#This Row],[ID_Vendedor]],tbVendedores[ID_Vendedor],tbVendedores[Vendedor],"Não cadastrado")</f>
        <v/>
      </c>
      <c r="K89" s="4">
        <f>tbLoja[[#This Row],[Quantidade]]*tbLoja[[#This Row],[Preço Unitário]]</f>
        <v/>
      </c>
      <c r="L89" s="4">
        <f>tbLoja[[#This Row],[Faturamento]]-tbLoja[[#This Row],[Quantidade]]*tbLoja[[#This Row],[Custo Unitário]]</f>
        <v/>
      </c>
      <c r="M89">
        <f>MONTH(tbLoja[[#This Row],[Data]])</f>
        <v/>
      </c>
    </row>
    <row r="90">
      <c r="A90" t="inlineStr">
        <is>
          <t>L0089</t>
        </is>
      </c>
      <c r="B90" s="9" t="n">
        <v>46053</v>
      </c>
      <c r="C90" t="inlineStr">
        <is>
          <t>V04</t>
        </is>
      </c>
      <c r="D90" t="inlineStr">
        <is>
          <t>P001</t>
        </is>
      </c>
      <c r="E90" t="n">
        <v>2</v>
      </c>
      <c r="F90" s="4" t="n">
        <v>5899</v>
      </c>
      <c r="G90">
        <f>_xlfn.XLOOKUP(tbLoja[[#This Row],[Cod_Produto]],tbProdutos[Cod_Produto],tbProdutos[Produto],"Não cadastrado")</f>
        <v/>
      </c>
      <c r="H90">
        <f>_xlfn.XLOOKUP(tbLoja[[#This Row],[Cod_Produto]],tbProdutos[Cod_Produto],tbProdutos[Categoria],"Não cadastrado")</f>
        <v/>
      </c>
      <c r="I90" s="4">
        <f>_xlfn.XLOOKUP(tbLoja[[#This Row],[Cod_Produto]],tbProdutos[Cod_Produto],tbProdutos[Custo Unitário],0)</f>
        <v/>
      </c>
      <c r="J90">
        <f>_xlfn.XLOOKUP(tbLoja[[#This Row],[ID_Vendedor]],tbVendedores[ID_Vendedor],tbVendedores[Vendedor],"Não cadastrado")</f>
        <v/>
      </c>
      <c r="K90" s="4">
        <f>tbLoja[[#This Row],[Quantidade]]*tbLoja[[#This Row],[Preço Unitário]]</f>
        <v/>
      </c>
      <c r="L90" s="4">
        <f>tbLoja[[#This Row],[Faturamento]]-tbLoja[[#This Row],[Quantidade]]*tbLoja[[#This Row],[Custo Unitário]]</f>
        <v/>
      </c>
      <c r="M90">
        <f>MONTH(tbLoja[[#This Row],[Data]])</f>
        <v/>
      </c>
    </row>
    <row r="91">
      <c r="A91" t="inlineStr">
        <is>
          <t>L0090</t>
        </is>
      </c>
      <c r="B91" s="9" t="n">
        <v>46053</v>
      </c>
      <c r="C91" t="inlineStr">
        <is>
          <t>V05</t>
        </is>
      </c>
      <c r="D91" t="inlineStr">
        <is>
          <t>P006</t>
        </is>
      </c>
      <c r="E91" t="n">
        <v>4</v>
      </c>
      <c r="F91" s="4" t="n">
        <v>119</v>
      </c>
      <c r="G91">
        <f>_xlfn.XLOOKUP(tbLoja[[#This Row],[Cod_Produto]],tbProdutos[Cod_Produto],tbProdutos[Produto],"Não cadastrado")</f>
        <v/>
      </c>
      <c r="H91">
        <f>_xlfn.XLOOKUP(tbLoja[[#This Row],[Cod_Produto]],tbProdutos[Cod_Produto],tbProdutos[Categoria],"Não cadastrado")</f>
        <v/>
      </c>
      <c r="I91" s="4">
        <f>_xlfn.XLOOKUP(tbLoja[[#This Row],[Cod_Produto]],tbProdutos[Cod_Produto],tbProdutos[Custo Unitário],0)</f>
        <v/>
      </c>
      <c r="J91">
        <f>_xlfn.XLOOKUP(tbLoja[[#This Row],[ID_Vendedor]],tbVendedores[ID_Vendedor],tbVendedores[Vendedor],"Não cadastrado")</f>
        <v/>
      </c>
      <c r="K91" s="4">
        <f>tbLoja[[#This Row],[Quantidade]]*tbLoja[[#This Row],[Preço Unitário]]</f>
        <v/>
      </c>
      <c r="L91" s="4">
        <f>tbLoja[[#This Row],[Faturamento]]-tbLoja[[#This Row],[Quantidade]]*tbLoja[[#This Row],[Custo Unitário]]</f>
        <v/>
      </c>
      <c r="M91">
        <f>MONTH(tbLoja[[#This Row],[Data]])</f>
        <v/>
      </c>
    </row>
    <row r="92">
      <c r="A92" t="inlineStr">
        <is>
          <t>L0091</t>
        </is>
      </c>
      <c r="B92" s="9" t="n">
        <v>46053</v>
      </c>
      <c r="C92" t="inlineStr">
        <is>
          <t>V05</t>
        </is>
      </c>
      <c r="D92" t="inlineStr">
        <is>
          <t>P009</t>
        </is>
      </c>
      <c r="E92" t="n">
        <v>5</v>
      </c>
      <c r="F92" s="4" t="n">
        <v>499</v>
      </c>
      <c r="G92">
        <f>_xlfn.XLOOKUP(tbLoja[[#This Row],[Cod_Produto]],tbProdutos[Cod_Produto],tbProdutos[Produto],"Não cadastrado")</f>
        <v/>
      </c>
      <c r="H92">
        <f>_xlfn.XLOOKUP(tbLoja[[#This Row],[Cod_Produto]],tbProdutos[Cod_Produto],tbProdutos[Categoria],"Não cadastrado")</f>
        <v/>
      </c>
      <c r="I92" s="4">
        <f>_xlfn.XLOOKUP(tbLoja[[#This Row],[Cod_Produto]],tbProdutos[Cod_Produto],tbProdutos[Custo Unitário],0)</f>
        <v/>
      </c>
      <c r="J92">
        <f>_xlfn.XLOOKUP(tbLoja[[#This Row],[ID_Vendedor]],tbVendedores[ID_Vendedor],tbVendedores[Vendedor],"Não cadastrado")</f>
        <v/>
      </c>
      <c r="K92" s="4">
        <f>tbLoja[[#This Row],[Quantidade]]*tbLoja[[#This Row],[Preço Unitário]]</f>
        <v/>
      </c>
      <c r="L92" s="4">
        <f>tbLoja[[#This Row],[Faturamento]]-tbLoja[[#This Row],[Quantidade]]*tbLoja[[#This Row],[Custo Unitário]]</f>
        <v/>
      </c>
      <c r="M92">
        <f>MONTH(tbLoja[[#This Row],[Data]])</f>
        <v/>
      </c>
    </row>
    <row r="93">
      <c r="A93" t="inlineStr">
        <is>
          <t>L0092</t>
        </is>
      </c>
      <c r="B93" s="9" t="n">
        <v>46053</v>
      </c>
      <c r="C93" t="inlineStr">
        <is>
          <t>V06</t>
        </is>
      </c>
      <c r="D93" t="inlineStr">
        <is>
          <t>P005</t>
        </is>
      </c>
      <c r="E93" t="n">
        <v>2</v>
      </c>
      <c r="F93" s="4" t="n">
        <v>349</v>
      </c>
      <c r="G93">
        <f>_xlfn.XLOOKUP(tbLoja[[#This Row],[Cod_Produto]],tbProdutos[Cod_Produto],tbProdutos[Produto],"Não cadastrado")</f>
        <v/>
      </c>
      <c r="H93">
        <f>_xlfn.XLOOKUP(tbLoja[[#This Row],[Cod_Produto]],tbProdutos[Cod_Produto],tbProdutos[Categoria],"Não cadastrado")</f>
        <v/>
      </c>
      <c r="I93" s="4">
        <f>_xlfn.XLOOKUP(tbLoja[[#This Row],[Cod_Produto]],tbProdutos[Cod_Produto],tbProdutos[Custo Unitário],0)</f>
        <v/>
      </c>
      <c r="J93">
        <f>_xlfn.XLOOKUP(tbLoja[[#This Row],[ID_Vendedor]],tbVendedores[ID_Vendedor],tbVendedores[Vendedor],"Não cadastrado")</f>
        <v/>
      </c>
      <c r="K93" s="4">
        <f>tbLoja[[#This Row],[Quantidade]]*tbLoja[[#This Row],[Preço Unitário]]</f>
        <v/>
      </c>
      <c r="L93" s="4">
        <f>tbLoja[[#This Row],[Faturamento]]-tbLoja[[#This Row],[Quantidade]]*tbLoja[[#This Row],[Custo Unitário]]</f>
        <v/>
      </c>
      <c r="M93">
        <f>MONTH(tbLoja[[#This Row],[Data]])</f>
        <v/>
      </c>
    </row>
    <row r="94">
      <c r="A94" t="inlineStr">
        <is>
          <t>L0093</t>
        </is>
      </c>
      <c r="B94" s="9" t="n">
        <v>46053</v>
      </c>
      <c r="C94" t="inlineStr">
        <is>
          <t>V06</t>
        </is>
      </c>
      <c r="D94" t="inlineStr">
        <is>
          <t>P002</t>
        </is>
      </c>
      <c r="E94" t="n">
        <v>1</v>
      </c>
      <c r="F94" s="4" t="n">
        <v>3299</v>
      </c>
      <c r="G94">
        <f>_xlfn.XLOOKUP(tbLoja[[#This Row],[Cod_Produto]],tbProdutos[Cod_Produto],tbProdutos[Produto],"Não cadastrado")</f>
        <v/>
      </c>
      <c r="H94">
        <f>_xlfn.XLOOKUP(tbLoja[[#This Row],[Cod_Produto]],tbProdutos[Cod_Produto],tbProdutos[Categoria],"Não cadastrado")</f>
        <v/>
      </c>
      <c r="I94" s="4">
        <f>_xlfn.XLOOKUP(tbLoja[[#This Row],[Cod_Produto]],tbProdutos[Cod_Produto],tbProdutos[Custo Unitário],0)</f>
        <v/>
      </c>
      <c r="J94">
        <f>_xlfn.XLOOKUP(tbLoja[[#This Row],[ID_Vendedor]],tbVendedores[ID_Vendedor],tbVendedores[Vendedor],"Não cadastrado")</f>
        <v/>
      </c>
      <c r="K94" s="4">
        <f>tbLoja[[#This Row],[Quantidade]]*tbLoja[[#This Row],[Preço Unitário]]</f>
        <v/>
      </c>
      <c r="L94" s="4">
        <f>tbLoja[[#This Row],[Faturamento]]-tbLoja[[#This Row],[Quantidade]]*tbLoja[[#This Row],[Custo Unitário]]</f>
        <v/>
      </c>
      <c r="M94">
        <f>MONTH(tbLoja[[#This Row],[Data]])</f>
        <v/>
      </c>
    </row>
    <row r="95">
      <c r="A95" t="inlineStr">
        <is>
          <t>L0094</t>
        </is>
      </c>
      <c r="B95" s="9" t="n">
        <v>46053</v>
      </c>
      <c r="C95" t="inlineStr">
        <is>
          <t>V04</t>
        </is>
      </c>
      <c r="D95" t="inlineStr">
        <is>
          <t>P007</t>
        </is>
      </c>
      <c r="E95" t="n">
        <v>1</v>
      </c>
      <c r="F95" s="4" t="n">
        <v>399</v>
      </c>
      <c r="G95">
        <f>_xlfn.XLOOKUP(tbLoja[[#This Row],[Cod_Produto]],tbProdutos[Cod_Produto],tbProdutos[Produto],"Não cadastrado")</f>
        <v/>
      </c>
      <c r="H95">
        <f>_xlfn.XLOOKUP(tbLoja[[#This Row],[Cod_Produto]],tbProdutos[Cod_Produto],tbProdutos[Categoria],"Não cadastrado")</f>
        <v/>
      </c>
      <c r="I95" s="4">
        <f>_xlfn.XLOOKUP(tbLoja[[#This Row],[Cod_Produto]],tbProdutos[Cod_Produto],tbProdutos[Custo Unitário],0)</f>
        <v/>
      </c>
      <c r="J95">
        <f>_xlfn.XLOOKUP(tbLoja[[#This Row],[ID_Vendedor]],tbVendedores[ID_Vendedor],tbVendedores[Vendedor],"Não cadastrado")</f>
        <v/>
      </c>
      <c r="K95" s="4">
        <f>tbLoja[[#This Row],[Quantidade]]*tbLoja[[#This Row],[Preço Unitário]]</f>
        <v/>
      </c>
      <c r="L95" s="4">
        <f>tbLoja[[#This Row],[Faturamento]]-tbLoja[[#This Row],[Quantidade]]*tbLoja[[#This Row],[Custo Unitário]]</f>
        <v/>
      </c>
      <c r="M95">
        <f>MONTH(tbLoja[[#This Row],[Data]])</f>
        <v/>
      </c>
    </row>
    <row r="96">
      <c r="A96" t="inlineStr">
        <is>
          <t>L0095</t>
        </is>
      </c>
      <c r="B96" s="9" t="n">
        <v>46053</v>
      </c>
      <c r="C96" t="inlineStr">
        <is>
          <t>V04</t>
        </is>
      </c>
      <c r="D96" t="inlineStr">
        <is>
          <t>P007</t>
        </is>
      </c>
      <c r="E96" t="n">
        <v>1</v>
      </c>
      <c r="F96" s="4" t="n">
        <v>399</v>
      </c>
      <c r="G96">
        <f>_xlfn.XLOOKUP(tbLoja[[#This Row],[Cod_Produto]],tbProdutos[Cod_Produto],tbProdutos[Produto],"Não cadastrado")</f>
        <v/>
      </c>
      <c r="H96">
        <f>_xlfn.XLOOKUP(tbLoja[[#This Row],[Cod_Produto]],tbProdutos[Cod_Produto],tbProdutos[Categoria],"Não cadastrado")</f>
        <v/>
      </c>
      <c r="I96" s="4">
        <f>_xlfn.XLOOKUP(tbLoja[[#This Row],[Cod_Produto]],tbProdutos[Cod_Produto],tbProdutos[Custo Unitário],0)</f>
        <v/>
      </c>
      <c r="J96">
        <f>_xlfn.XLOOKUP(tbLoja[[#This Row],[ID_Vendedor]],tbVendedores[ID_Vendedor],tbVendedores[Vendedor],"Não cadastrado")</f>
        <v/>
      </c>
      <c r="K96" s="4">
        <f>tbLoja[[#This Row],[Quantidade]]*tbLoja[[#This Row],[Preço Unitário]]</f>
        <v/>
      </c>
      <c r="L96" s="4">
        <f>tbLoja[[#This Row],[Faturamento]]-tbLoja[[#This Row],[Quantidade]]*tbLoja[[#This Row],[Custo Unitário]]</f>
        <v/>
      </c>
      <c r="M96">
        <f>MONTH(tbLoja[[#This Row],[Data]])</f>
        <v/>
      </c>
    </row>
    <row r="97">
      <c r="A97" t="inlineStr">
        <is>
          <t>L0096</t>
        </is>
      </c>
      <c r="B97" s="9" t="n">
        <v>46053</v>
      </c>
      <c r="C97" t="inlineStr">
        <is>
          <t>V02</t>
        </is>
      </c>
      <c r="D97" t="inlineStr">
        <is>
          <t>P003</t>
        </is>
      </c>
      <c r="E97" t="n">
        <v>1</v>
      </c>
      <c r="F97" s="4" t="n">
        <v>1599</v>
      </c>
      <c r="G97">
        <f>_xlfn.XLOOKUP(tbLoja[[#This Row],[Cod_Produto]],tbProdutos[Cod_Produto],tbProdutos[Produto],"Não cadastrado")</f>
        <v/>
      </c>
      <c r="H97">
        <f>_xlfn.XLOOKUP(tbLoja[[#This Row],[Cod_Produto]],tbProdutos[Cod_Produto],tbProdutos[Categoria],"Não cadastrado")</f>
        <v/>
      </c>
      <c r="I97" s="4">
        <f>_xlfn.XLOOKUP(tbLoja[[#This Row],[Cod_Produto]],tbProdutos[Cod_Produto],tbProdutos[Custo Unitário],0)</f>
        <v/>
      </c>
      <c r="J97">
        <f>_xlfn.XLOOKUP(tbLoja[[#This Row],[ID_Vendedor]],tbVendedores[ID_Vendedor],tbVendedores[Vendedor],"Não cadastrado")</f>
        <v/>
      </c>
      <c r="K97" s="4">
        <f>tbLoja[[#This Row],[Quantidade]]*tbLoja[[#This Row],[Preço Unitário]]</f>
        <v/>
      </c>
      <c r="L97" s="4">
        <f>tbLoja[[#This Row],[Faturamento]]-tbLoja[[#This Row],[Quantidade]]*tbLoja[[#This Row],[Custo Unitário]]</f>
        <v/>
      </c>
      <c r="M97">
        <f>MONTH(tbLoja[[#This Row],[Data]])</f>
        <v/>
      </c>
    </row>
    <row r="98">
      <c r="A98" t="inlineStr">
        <is>
          <t>L0097</t>
        </is>
      </c>
      <c r="B98" s="9" t="n">
        <v>46053</v>
      </c>
      <c r="C98" t="inlineStr">
        <is>
          <t>V06</t>
        </is>
      </c>
      <c r="D98" t="inlineStr">
        <is>
          <t>P006</t>
        </is>
      </c>
      <c r="E98" t="n">
        <v>1</v>
      </c>
      <c r="F98" s="4" t="n">
        <v>119</v>
      </c>
      <c r="G98">
        <f>_xlfn.XLOOKUP(tbLoja[[#This Row],[Cod_Produto]],tbProdutos[Cod_Produto],tbProdutos[Produto],"Não cadastrado")</f>
        <v/>
      </c>
      <c r="H98">
        <f>_xlfn.XLOOKUP(tbLoja[[#This Row],[Cod_Produto]],tbProdutos[Cod_Produto],tbProdutos[Categoria],"Não cadastrado")</f>
        <v/>
      </c>
      <c r="I98" s="4">
        <f>_xlfn.XLOOKUP(tbLoja[[#This Row],[Cod_Produto]],tbProdutos[Cod_Produto],tbProdutos[Custo Unitário],0)</f>
        <v/>
      </c>
      <c r="J98">
        <f>_xlfn.XLOOKUP(tbLoja[[#This Row],[ID_Vendedor]],tbVendedores[ID_Vendedor],tbVendedores[Vendedor],"Não cadastrado")</f>
        <v/>
      </c>
      <c r="K98" s="4">
        <f>tbLoja[[#This Row],[Quantidade]]*tbLoja[[#This Row],[Preço Unitário]]</f>
        <v/>
      </c>
      <c r="L98" s="4">
        <f>tbLoja[[#This Row],[Faturamento]]-tbLoja[[#This Row],[Quantidade]]*tbLoja[[#This Row],[Custo Unitário]]</f>
        <v/>
      </c>
      <c r="M98">
        <f>MONTH(tbLoja[[#This Row],[Data]])</f>
        <v/>
      </c>
    </row>
    <row r="99">
      <c r="A99" t="inlineStr">
        <is>
          <t>L0098</t>
        </is>
      </c>
      <c r="B99" s="9" t="n">
        <v>46053</v>
      </c>
      <c r="C99" t="inlineStr">
        <is>
          <t>V01</t>
        </is>
      </c>
      <c r="D99" t="inlineStr">
        <is>
          <t>P006</t>
        </is>
      </c>
      <c r="E99" t="n">
        <v>2</v>
      </c>
      <c r="F99" s="4" t="n">
        <v>119</v>
      </c>
      <c r="G99">
        <f>_xlfn.XLOOKUP(tbLoja[[#This Row],[Cod_Produto]],tbProdutos[Cod_Produto],tbProdutos[Produto],"Não cadastrado")</f>
        <v/>
      </c>
      <c r="H99">
        <f>_xlfn.XLOOKUP(tbLoja[[#This Row],[Cod_Produto]],tbProdutos[Cod_Produto],tbProdutos[Categoria],"Não cadastrado")</f>
        <v/>
      </c>
      <c r="I99" s="4">
        <f>_xlfn.XLOOKUP(tbLoja[[#This Row],[Cod_Produto]],tbProdutos[Cod_Produto],tbProdutos[Custo Unitário],0)</f>
        <v/>
      </c>
      <c r="J99">
        <f>_xlfn.XLOOKUP(tbLoja[[#This Row],[ID_Vendedor]],tbVendedores[ID_Vendedor],tbVendedores[Vendedor],"Não cadastrado")</f>
        <v/>
      </c>
      <c r="K99" s="4">
        <f>tbLoja[[#This Row],[Quantidade]]*tbLoja[[#This Row],[Preço Unitário]]</f>
        <v/>
      </c>
      <c r="L99" s="4">
        <f>tbLoja[[#This Row],[Faturamento]]-tbLoja[[#This Row],[Quantidade]]*tbLoja[[#This Row],[Custo Unitário]]</f>
        <v/>
      </c>
      <c r="M99">
        <f>MONTH(tbLoja[[#This Row],[Data]])</f>
        <v/>
      </c>
    </row>
    <row r="100">
      <c r="A100" t="inlineStr">
        <is>
          <t>L0099</t>
        </is>
      </c>
      <c r="B100" s="9" t="n">
        <v>46054</v>
      </c>
      <c r="C100" t="inlineStr">
        <is>
          <t>V03</t>
        </is>
      </c>
      <c r="D100" t="inlineStr">
        <is>
          <t>P005</t>
        </is>
      </c>
      <c r="E100" t="n">
        <v>3</v>
      </c>
      <c r="F100" s="4" t="n">
        <v>349</v>
      </c>
      <c r="G100">
        <f>_xlfn.XLOOKUP(tbLoja[[#This Row],[Cod_Produto]],tbProdutos[Cod_Produto],tbProdutos[Produto],"Não cadastrado")</f>
        <v/>
      </c>
      <c r="H100">
        <f>_xlfn.XLOOKUP(tbLoja[[#This Row],[Cod_Produto]],tbProdutos[Cod_Produto],tbProdutos[Categoria],"Não cadastrado")</f>
        <v/>
      </c>
      <c r="I100" s="4">
        <f>_xlfn.XLOOKUP(tbLoja[[#This Row],[Cod_Produto]],tbProdutos[Cod_Produto],tbProdutos[Custo Unitário],0)</f>
        <v/>
      </c>
      <c r="J100">
        <f>_xlfn.XLOOKUP(tbLoja[[#This Row],[ID_Vendedor]],tbVendedores[ID_Vendedor],tbVendedores[Vendedor],"Não cadastrado")</f>
        <v/>
      </c>
      <c r="K100" s="4">
        <f>tbLoja[[#This Row],[Quantidade]]*tbLoja[[#This Row],[Preço Unitário]]</f>
        <v/>
      </c>
      <c r="L100" s="4">
        <f>tbLoja[[#This Row],[Faturamento]]-tbLoja[[#This Row],[Quantidade]]*tbLoja[[#This Row],[Custo Unitário]]</f>
        <v/>
      </c>
      <c r="M100">
        <f>MONTH(tbLoja[[#This Row],[Data]])</f>
        <v/>
      </c>
    </row>
    <row r="101">
      <c r="A101" t="inlineStr">
        <is>
          <t>L0100</t>
        </is>
      </c>
      <c r="B101" s="9" t="n">
        <v>46054</v>
      </c>
      <c r="C101" t="inlineStr">
        <is>
          <t>V01</t>
        </is>
      </c>
      <c r="D101" t="inlineStr">
        <is>
          <t>P006</t>
        </is>
      </c>
      <c r="E101" t="n">
        <v>2</v>
      </c>
      <c r="F101" s="4" t="n">
        <v>119</v>
      </c>
      <c r="G101">
        <f>_xlfn.XLOOKUP(tbLoja[[#This Row],[Cod_Produto]],tbProdutos[Cod_Produto],tbProdutos[Produto],"Não cadastrado")</f>
        <v/>
      </c>
      <c r="H101">
        <f>_xlfn.XLOOKUP(tbLoja[[#This Row],[Cod_Produto]],tbProdutos[Cod_Produto],tbProdutos[Categoria],"Não cadastrado")</f>
        <v/>
      </c>
      <c r="I101" s="4">
        <f>_xlfn.XLOOKUP(tbLoja[[#This Row],[Cod_Produto]],tbProdutos[Cod_Produto],tbProdutos[Custo Unitário],0)</f>
        <v/>
      </c>
      <c r="J101">
        <f>_xlfn.XLOOKUP(tbLoja[[#This Row],[ID_Vendedor]],tbVendedores[ID_Vendedor],tbVendedores[Vendedor],"Não cadastrado")</f>
        <v/>
      </c>
      <c r="K101" s="4">
        <f>tbLoja[[#This Row],[Quantidade]]*tbLoja[[#This Row],[Preço Unitário]]</f>
        <v/>
      </c>
      <c r="L101" s="4">
        <f>tbLoja[[#This Row],[Faturamento]]-tbLoja[[#This Row],[Quantidade]]*tbLoja[[#This Row],[Custo Unitário]]</f>
        <v/>
      </c>
      <c r="M101">
        <f>MONTH(tbLoja[[#This Row],[Data]])</f>
        <v/>
      </c>
    </row>
    <row r="102">
      <c r="A102" t="inlineStr">
        <is>
          <t>L0101</t>
        </is>
      </c>
      <c r="B102" s="9" t="n">
        <v>46055</v>
      </c>
      <c r="C102" t="inlineStr">
        <is>
          <t>V02</t>
        </is>
      </c>
      <c r="D102" t="inlineStr">
        <is>
          <t>P010</t>
        </is>
      </c>
      <c r="E102" t="n">
        <v>2</v>
      </c>
      <c r="F102" s="4" t="n">
        <v>1299</v>
      </c>
      <c r="G102">
        <f>_xlfn.XLOOKUP(tbLoja[[#This Row],[Cod_Produto]],tbProdutos[Cod_Produto],tbProdutos[Produto],"Não cadastrado")</f>
        <v/>
      </c>
      <c r="H102">
        <f>_xlfn.XLOOKUP(tbLoja[[#This Row],[Cod_Produto]],tbProdutos[Cod_Produto],tbProdutos[Categoria],"Não cadastrado")</f>
        <v/>
      </c>
      <c r="I102" s="4">
        <f>_xlfn.XLOOKUP(tbLoja[[#This Row],[Cod_Produto]],tbProdutos[Cod_Produto],tbProdutos[Custo Unitário],0)</f>
        <v/>
      </c>
      <c r="J102">
        <f>_xlfn.XLOOKUP(tbLoja[[#This Row],[ID_Vendedor]],tbVendedores[ID_Vendedor],tbVendedores[Vendedor],"Não cadastrado")</f>
        <v/>
      </c>
      <c r="K102" s="4">
        <f>tbLoja[[#This Row],[Quantidade]]*tbLoja[[#This Row],[Preço Unitário]]</f>
        <v/>
      </c>
      <c r="L102" s="4">
        <f>tbLoja[[#This Row],[Faturamento]]-tbLoja[[#This Row],[Quantidade]]*tbLoja[[#This Row],[Custo Unitário]]</f>
        <v/>
      </c>
      <c r="M102">
        <f>MONTH(tbLoja[[#This Row],[Data]])</f>
        <v/>
      </c>
    </row>
    <row r="103">
      <c r="A103" t="inlineStr">
        <is>
          <t>L0102</t>
        </is>
      </c>
      <c r="B103" s="9" t="n">
        <v>46055</v>
      </c>
      <c r="C103" t="inlineStr">
        <is>
          <t>V03</t>
        </is>
      </c>
      <c r="D103" t="inlineStr">
        <is>
          <t>P002</t>
        </is>
      </c>
      <c r="E103" t="n">
        <v>2</v>
      </c>
      <c r="F103" s="4" t="n">
        <v>3299</v>
      </c>
      <c r="G103">
        <f>_xlfn.XLOOKUP(tbLoja[[#This Row],[Cod_Produto]],tbProdutos[Cod_Produto],tbProdutos[Produto],"Não cadastrado")</f>
        <v/>
      </c>
      <c r="H103">
        <f>_xlfn.XLOOKUP(tbLoja[[#This Row],[Cod_Produto]],tbProdutos[Cod_Produto],tbProdutos[Categoria],"Não cadastrado")</f>
        <v/>
      </c>
      <c r="I103" s="4">
        <f>_xlfn.XLOOKUP(tbLoja[[#This Row],[Cod_Produto]],tbProdutos[Cod_Produto],tbProdutos[Custo Unitário],0)</f>
        <v/>
      </c>
      <c r="J103">
        <f>_xlfn.XLOOKUP(tbLoja[[#This Row],[ID_Vendedor]],tbVendedores[ID_Vendedor],tbVendedores[Vendedor],"Não cadastrado")</f>
        <v/>
      </c>
      <c r="K103" s="4">
        <f>tbLoja[[#This Row],[Quantidade]]*tbLoja[[#This Row],[Preço Unitário]]</f>
        <v/>
      </c>
      <c r="L103" s="4">
        <f>tbLoja[[#This Row],[Faturamento]]-tbLoja[[#This Row],[Quantidade]]*tbLoja[[#This Row],[Custo Unitário]]</f>
        <v/>
      </c>
      <c r="M103">
        <f>MONTH(tbLoja[[#This Row],[Data]])</f>
        <v/>
      </c>
    </row>
    <row r="104">
      <c r="A104" t="inlineStr">
        <is>
          <t>L0103</t>
        </is>
      </c>
      <c r="B104" s="9" t="n">
        <v>46055</v>
      </c>
      <c r="C104" t="inlineStr">
        <is>
          <t>V01</t>
        </is>
      </c>
      <c r="D104" t="inlineStr">
        <is>
          <t>P009</t>
        </is>
      </c>
      <c r="E104" t="n">
        <v>5</v>
      </c>
      <c r="F104" s="4" t="n">
        <v>499</v>
      </c>
      <c r="G104">
        <f>_xlfn.XLOOKUP(tbLoja[[#This Row],[Cod_Produto]],tbProdutos[Cod_Produto],tbProdutos[Produto],"Não cadastrado")</f>
        <v/>
      </c>
      <c r="H104">
        <f>_xlfn.XLOOKUP(tbLoja[[#This Row],[Cod_Produto]],tbProdutos[Cod_Produto],tbProdutos[Categoria],"Não cadastrado")</f>
        <v/>
      </c>
      <c r="I104" s="4">
        <f>_xlfn.XLOOKUP(tbLoja[[#This Row],[Cod_Produto]],tbProdutos[Cod_Produto],tbProdutos[Custo Unitário],0)</f>
        <v/>
      </c>
      <c r="J104">
        <f>_xlfn.XLOOKUP(tbLoja[[#This Row],[ID_Vendedor]],tbVendedores[ID_Vendedor],tbVendedores[Vendedor],"Não cadastrado")</f>
        <v/>
      </c>
      <c r="K104" s="4">
        <f>tbLoja[[#This Row],[Quantidade]]*tbLoja[[#This Row],[Preço Unitário]]</f>
        <v/>
      </c>
      <c r="L104" s="4">
        <f>tbLoja[[#This Row],[Faturamento]]-tbLoja[[#This Row],[Quantidade]]*tbLoja[[#This Row],[Custo Unitário]]</f>
        <v/>
      </c>
      <c r="M104">
        <f>MONTH(tbLoja[[#This Row],[Data]])</f>
        <v/>
      </c>
    </row>
    <row r="105">
      <c r="A105" t="inlineStr">
        <is>
          <t>L0104</t>
        </is>
      </c>
      <c r="B105" s="9" t="n">
        <v>46055</v>
      </c>
      <c r="C105" t="inlineStr">
        <is>
          <t>V05</t>
        </is>
      </c>
      <c r="D105" t="inlineStr">
        <is>
          <t>P005</t>
        </is>
      </c>
      <c r="E105" t="n">
        <v>3</v>
      </c>
      <c r="F105" s="4" t="n">
        <v>349</v>
      </c>
      <c r="G105">
        <f>_xlfn.XLOOKUP(tbLoja[[#This Row],[Cod_Produto]],tbProdutos[Cod_Produto],tbProdutos[Produto],"Não cadastrado")</f>
        <v/>
      </c>
      <c r="H105">
        <f>_xlfn.XLOOKUP(tbLoja[[#This Row],[Cod_Produto]],tbProdutos[Cod_Produto],tbProdutos[Categoria],"Não cadastrado")</f>
        <v/>
      </c>
      <c r="I105" s="4">
        <f>_xlfn.XLOOKUP(tbLoja[[#This Row],[Cod_Produto]],tbProdutos[Cod_Produto],tbProdutos[Custo Unitário],0)</f>
        <v/>
      </c>
      <c r="J105">
        <f>_xlfn.XLOOKUP(tbLoja[[#This Row],[ID_Vendedor]],tbVendedores[ID_Vendedor],tbVendedores[Vendedor],"Não cadastrado")</f>
        <v/>
      </c>
      <c r="K105" s="4">
        <f>tbLoja[[#This Row],[Quantidade]]*tbLoja[[#This Row],[Preço Unitário]]</f>
        <v/>
      </c>
      <c r="L105" s="4">
        <f>tbLoja[[#This Row],[Faturamento]]-tbLoja[[#This Row],[Quantidade]]*tbLoja[[#This Row],[Custo Unitário]]</f>
        <v/>
      </c>
      <c r="M105">
        <f>MONTH(tbLoja[[#This Row],[Data]])</f>
        <v/>
      </c>
    </row>
    <row r="106">
      <c r="A106" t="inlineStr">
        <is>
          <t>L0105</t>
        </is>
      </c>
      <c r="B106" s="9" t="n">
        <v>46055</v>
      </c>
      <c r="C106" t="inlineStr">
        <is>
          <t>V01</t>
        </is>
      </c>
      <c r="D106" t="inlineStr">
        <is>
          <t>P005</t>
        </is>
      </c>
      <c r="E106" t="n">
        <v>1</v>
      </c>
      <c r="F106" s="4" t="n">
        <v>349</v>
      </c>
      <c r="G106">
        <f>_xlfn.XLOOKUP(tbLoja[[#This Row],[Cod_Produto]],tbProdutos[Cod_Produto],tbProdutos[Produto],"Não cadastrado")</f>
        <v/>
      </c>
      <c r="H106">
        <f>_xlfn.XLOOKUP(tbLoja[[#This Row],[Cod_Produto]],tbProdutos[Cod_Produto],tbProdutos[Categoria],"Não cadastrado")</f>
        <v/>
      </c>
      <c r="I106" s="4">
        <f>_xlfn.XLOOKUP(tbLoja[[#This Row],[Cod_Produto]],tbProdutos[Cod_Produto],tbProdutos[Custo Unitário],0)</f>
        <v/>
      </c>
      <c r="J106">
        <f>_xlfn.XLOOKUP(tbLoja[[#This Row],[ID_Vendedor]],tbVendedores[ID_Vendedor],tbVendedores[Vendedor],"Não cadastrado")</f>
        <v/>
      </c>
      <c r="K106" s="4">
        <f>tbLoja[[#This Row],[Quantidade]]*tbLoja[[#This Row],[Preço Unitário]]</f>
        <v/>
      </c>
      <c r="L106" s="4">
        <f>tbLoja[[#This Row],[Faturamento]]-tbLoja[[#This Row],[Quantidade]]*tbLoja[[#This Row],[Custo Unitário]]</f>
        <v/>
      </c>
      <c r="M106">
        <f>MONTH(tbLoja[[#This Row],[Data]])</f>
        <v/>
      </c>
    </row>
    <row r="107">
      <c r="A107" t="inlineStr">
        <is>
          <t>L0106</t>
        </is>
      </c>
      <c r="B107" s="9" t="n">
        <v>46055</v>
      </c>
      <c r="C107" t="inlineStr">
        <is>
          <t>V05</t>
        </is>
      </c>
      <c r="D107" t="inlineStr">
        <is>
          <t>P007</t>
        </is>
      </c>
      <c r="E107" t="n">
        <v>4</v>
      </c>
      <c r="F107" s="4" t="n">
        <v>399</v>
      </c>
      <c r="G107">
        <f>_xlfn.XLOOKUP(tbLoja[[#This Row],[Cod_Produto]],tbProdutos[Cod_Produto],tbProdutos[Produto],"Não cadastrado")</f>
        <v/>
      </c>
      <c r="H107">
        <f>_xlfn.XLOOKUP(tbLoja[[#This Row],[Cod_Produto]],tbProdutos[Cod_Produto],tbProdutos[Categoria],"Não cadastrado")</f>
        <v/>
      </c>
      <c r="I107" s="4">
        <f>_xlfn.XLOOKUP(tbLoja[[#This Row],[Cod_Produto]],tbProdutos[Cod_Produto],tbProdutos[Custo Unitário],0)</f>
        <v/>
      </c>
      <c r="J107">
        <f>_xlfn.XLOOKUP(tbLoja[[#This Row],[ID_Vendedor]],tbVendedores[ID_Vendedor],tbVendedores[Vendedor],"Não cadastrado")</f>
        <v/>
      </c>
      <c r="K107" s="4">
        <f>tbLoja[[#This Row],[Quantidade]]*tbLoja[[#This Row],[Preço Unitário]]</f>
        <v/>
      </c>
      <c r="L107" s="4">
        <f>tbLoja[[#This Row],[Faturamento]]-tbLoja[[#This Row],[Quantidade]]*tbLoja[[#This Row],[Custo Unitário]]</f>
        <v/>
      </c>
      <c r="M107">
        <f>MONTH(tbLoja[[#This Row],[Data]])</f>
        <v/>
      </c>
    </row>
    <row r="108">
      <c r="A108" t="inlineStr">
        <is>
          <t>L0107</t>
        </is>
      </c>
      <c r="B108" s="9" t="n">
        <v>46056</v>
      </c>
      <c r="C108" t="inlineStr">
        <is>
          <t>V06</t>
        </is>
      </c>
      <c r="D108" t="inlineStr">
        <is>
          <t>P006</t>
        </is>
      </c>
      <c r="E108" t="n">
        <v>2</v>
      </c>
      <c r="F108" s="4" t="n">
        <v>119</v>
      </c>
      <c r="G108">
        <f>_xlfn.XLOOKUP(tbLoja[[#This Row],[Cod_Produto]],tbProdutos[Cod_Produto],tbProdutos[Produto],"Não cadastrado")</f>
        <v/>
      </c>
      <c r="H108">
        <f>_xlfn.XLOOKUP(tbLoja[[#This Row],[Cod_Produto]],tbProdutos[Cod_Produto],tbProdutos[Categoria],"Não cadastrado")</f>
        <v/>
      </c>
      <c r="I108" s="4">
        <f>_xlfn.XLOOKUP(tbLoja[[#This Row],[Cod_Produto]],tbProdutos[Cod_Produto],tbProdutos[Custo Unitário],0)</f>
        <v/>
      </c>
      <c r="J108">
        <f>_xlfn.XLOOKUP(tbLoja[[#This Row],[ID_Vendedor]],tbVendedores[ID_Vendedor],tbVendedores[Vendedor],"Não cadastrado")</f>
        <v/>
      </c>
      <c r="K108" s="4">
        <f>tbLoja[[#This Row],[Quantidade]]*tbLoja[[#This Row],[Preço Unitário]]</f>
        <v/>
      </c>
      <c r="L108" s="4">
        <f>tbLoja[[#This Row],[Faturamento]]-tbLoja[[#This Row],[Quantidade]]*tbLoja[[#This Row],[Custo Unitário]]</f>
        <v/>
      </c>
      <c r="M108">
        <f>MONTH(tbLoja[[#This Row],[Data]])</f>
        <v/>
      </c>
    </row>
    <row r="109">
      <c r="A109" t="inlineStr">
        <is>
          <t>L0108</t>
        </is>
      </c>
      <c r="B109" s="9" t="n">
        <v>46056</v>
      </c>
      <c r="C109" t="inlineStr">
        <is>
          <t>V03</t>
        </is>
      </c>
      <c r="D109" t="inlineStr">
        <is>
          <t>P008</t>
        </is>
      </c>
      <c r="E109" t="n">
        <v>2</v>
      </c>
      <c r="F109" s="4" t="n">
        <v>259</v>
      </c>
      <c r="G109">
        <f>_xlfn.XLOOKUP(tbLoja[[#This Row],[Cod_Produto]],tbProdutos[Cod_Produto],tbProdutos[Produto],"Não cadastrado")</f>
        <v/>
      </c>
      <c r="H109">
        <f>_xlfn.XLOOKUP(tbLoja[[#This Row],[Cod_Produto]],tbProdutos[Cod_Produto],tbProdutos[Categoria],"Não cadastrado")</f>
        <v/>
      </c>
      <c r="I109" s="4">
        <f>_xlfn.XLOOKUP(tbLoja[[#This Row],[Cod_Produto]],tbProdutos[Cod_Produto],tbProdutos[Custo Unitário],0)</f>
        <v/>
      </c>
      <c r="J109">
        <f>_xlfn.XLOOKUP(tbLoja[[#This Row],[ID_Vendedor]],tbVendedores[ID_Vendedor],tbVendedores[Vendedor],"Não cadastrado")</f>
        <v/>
      </c>
      <c r="K109" s="4">
        <f>tbLoja[[#This Row],[Quantidade]]*tbLoja[[#This Row],[Preço Unitário]]</f>
        <v/>
      </c>
      <c r="L109" s="4">
        <f>tbLoja[[#This Row],[Faturamento]]-tbLoja[[#This Row],[Quantidade]]*tbLoja[[#This Row],[Custo Unitário]]</f>
        <v/>
      </c>
      <c r="M109">
        <f>MONTH(tbLoja[[#This Row],[Data]])</f>
        <v/>
      </c>
    </row>
    <row r="110">
      <c r="A110" t="inlineStr">
        <is>
          <t>L0109</t>
        </is>
      </c>
      <c r="B110" s="9" t="n">
        <v>46057</v>
      </c>
      <c r="C110" t="inlineStr">
        <is>
          <t>V03</t>
        </is>
      </c>
      <c r="D110" t="inlineStr">
        <is>
          <t>P003</t>
        </is>
      </c>
      <c r="E110" t="n">
        <v>1</v>
      </c>
      <c r="F110" s="4" t="n">
        <v>1599</v>
      </c>
      <c r="G110">
        <f>_xlfn.XLOOKUP(tbLoja[[#This Row],[Cod_Produto]],tbProdutos[Cod_Produto],tbProdutos[Produto],"Não cadastrado")</f>
        <v/>
      </c>
      <c r="H110">
        <f>_xlfn.XLOOKUP(tbLoja[[#This Row],[Cod_Produto]],tbProdutos[Cod_Produto],tbProdutos[Categoria],"Não cadastrado")</f>
        <v/>
      </c>
      <c r="I110" s="4">
        <f>_xlfn.XLOOKUP(tbLoja[[#This Row],[Cod_Produto]],tbProdutos[Cod_Produto],tbProdutos[Custo Unitário],0)</f>
        <v/>
      </c>
      <c r="J110">
        <f>_xlfn.XLOOKUP(tbLoja[[#This Row],[ID_Vendedor]],tbVendedores[ID_Vendedor],tbVendedores[Vendedor],"Não cadastrado")</f>
        <v/>
      </c>
      <c r="K110" s="4">
        <f>tbLoja[[#This Row],[Quantidade]]*tbLoja[[#This Row],[Preço Unitário]]</f>
        <v/>
      </c>
      <c r="L110" s="4">
        <f>tbLoja[[#This Row],[Faturamento]]-tbLoja[[#This Row],[Quantidade]]*tbLoja[[#This Row],[Custo Unitário]]</f>
        <v/>
      </c>
      <c r="M110">
        <f>MONTH(tbLoja[[#This Row],[Data]])</f>
        <v/>
      </c>
    </row>
    <row r="111">
      <c r="A111" t="inlineStr">
        <is>
          <t>L0110</t>
        </is>
      </c>
      <c r="B111" s="9" t="n">
        <v>46057</v>
      </c>
      <c r="C111" t="inlineStr">
        <is>
          <t>V02</t>
        </is>
      </c>
      <c r="D111" t="inlineStr">
        <is>
          <t>P002</t>
        </is>
      </c>
      <c r="E111" t="n">
        <v>2</v>
      </c>
      <c r="F111" s="4" t="n">
        <v>3299</v>
      </c>
      <c r="G111">
        <f>_xlfn.XLOOKUP(tbLoja[[#This Row],[Cod_Produto]],tbProdutos[Cod_Produto],tbProdutos[Produto],"Não cadastrado")</f>
        <v/>
      </c>
      <c r="H111">
        <f>_xlfn.XLOOKUP(tbLoja[[#This Row],[Cod_Produto]],tbProdutos[Cod_Produto],tbProdutos[Categoria],"Não cadastrado")</f>
        <v/>
      </c>
      <c r="I111" s="4">
        <f>_xlfn.XLOOKUP(tbLoja[[#This Row],[Cod_Produto]],tbProdutos[Cod_Produto],tbProdutos[Custo Unitário],0)</f>
        <v/>
      </c>
      <c r="J111">
        <f>_xlfn.XLOOKUP(tbLoja[[#This Row],[ID_Vendedor]],tbVendedores[ID_Vendedor],tbVendedores[Vendedor],"Não cadastrado")</f>
        <v/>
      </c>
      <c r="K111" s="4">
        <f>tbLoja[[#This Row],[Quantidade]]*tbLoja[[#This Row],[Preço Unitário]]</f>
        <v/>
      </c>
      <c r="L111" s="4">
        <f>tbLoja[[#This Row],[Faturamento]]-tbLoja[[#This Row],[Quantidade]]*tbLoja[[#This Row],[Custo Unitário]]</f>
        <v/>
      </c>
      <c r="M111">
        <f>MONTH(tbLoja[[#This Row],[Data]])</f>
        <v/>
      </c>
    </row>
    <row r="112">
      <c r="A112" t="inlineStr">
        <is>
          <t>L0111</t>
        </is>
      </c>
      <c r="B112" s="9" t="n">
        <v>46057</v>
      </c>
      <c r="C112" t="inlineStr">
        <is>
          <t>V01</t>
        </is>
      </c>
      <c r="D112" t="inlineStr">
        <is>
          <t>P005</t>
        </is>
      </c>
      <c r="E112" t="n">
        <v>2</v>
      </c>
      <c r="F112" s="4" t="n">
        <v>349</v>
      </c>
      <c r="G112">
        <f>_xlfn.XLOOKUP(tbLoja[[#This Row],[Cod_Produto]],tbProdutos[Cod_Produto],tbProdutos[Produto],"Não cadastrado")</f>
        <v/>
      </c>
      <c r="H112">
        <f>_xlfn.XLOOKUP(tbLoja[[#This Row],[Cod_Produto]],tbProdutos[Cod_Produto],tbProdutos[Categoria],"Não cadastrado")</f>
        <v/>
      </c>
      <c r="I112" s="4">
        <f>_xlfn.XLOOKUP(tbLoja[[#This Row],[Cod_Produto]],tbProdutos[Cod_Produto],tbProdutos[Custo Unitário],0)</f>
        <v/>
      </c>
      <c r="J112">
        <f>_xlfn.XLOOKUP(tbLoja[[#This Row],[ID_Vendedor]],tbVendedores[ID_Vendedor],tbVendedores[Vendedor],"Não cadastrado")</f>
        <v/>
      </c>
      <c r="K112" s="4">
        <f>tbLoja[[#This Row],[Quantidade]]*tbLoja[[#This Row],[Preço Unitário]]</f>
        <v/>
      </c>
      <c r="L112" s="4">
        <f>tbLoja[[#This Row],[Faturamento]]-tbLoja[[#This Row],[Quantidade]]*tbLoja[[#This Row],[Custo Unitário]]</f>
        <v/>
      </c>
      <c r="M112">
        <f>MONTH(tbLoja[[#This Row],[Data]])</f>
        <v/>
      </c>
    </row>
    <row r="113">
      <c r="A113" t="inlineStr">
        <is>
          <t>L0112</t>
        </is>
      </c>
      <c r="B113" s="9" t="n">
        <v>46057</v>
      </c>
      <c r="C113" t="inlineStr">
        <is>
          <t>V05</t>
        </is>
      </c>
      <c r="D113" t="inlineStr">
        <is>
          <t>P004</t>
        </is>
      </c>
      <c r="E113" t="n">
        <v>3</v>
      </c>
      <c r="F113" s="4" t="n">
        <v>999</v>
      </c>
      <c r="G113">
        <f>_xlfn.XLOOKUP(tbLoja[[#This Row],[Cod_Produto]],tbProdutos[Cod_Produto],tbProdutos[Produto],"Não cadastrado")</f>
        <v/>
      </c>
      <c r="H113">
        <f>_xlfn.XLOOKUP(tbLoja[[#This Row],[Cod_Produto]],tbProdutos[Cod_Produto],tbProdutos[Categoria],"Não cadastrado")</f>
        <v/>
      </c>
      <c r="I113" s="4">
        <f>_xlfn.XLOOKUP(tbLoja[[#This Row],[Cod_Produto]],tbProdutos[Cod_Produto],tbProdutos[Custo Unitário],0)</f>
        <v/>
      </c>
      <c r="J113">
        <f>_xlfn.XLOOKUP(tbLoja[[#This Row],[ID_Vendedor]],tbVendedores[ID_Vendedor],tbVendedores[Vendedor],"Não cadastrado")</f>
        <v/>
      </c>
      <c r="K113" s="4">
        <f>tbLoja[[#This Row],[Quantidade]]*tbLoja[[#This Row],[Preço Unitário]]</f>
        <v/>
      </c>
      <c r="L113" s="4">
        <f>tbLoja[[#This Row],[Faturamento]]-tbLoja[[#This Row],[Quantidade]]*tbLoja[[#This Row],[Custo Unitário]]</f>
        <v/>
      </c>
      <c r="M113">
        <f>MONTH(tbLoja[[#This Row],[Data]])</f>
        <v/>
      </c>
    </row>
    <row r="114">
      <c r="A114" t="inlineStr">
        <is>
          <t>L0113</t>
        </is>
      </c>
      <c r="B114" s="9" t="n">
        <v>46058</v>
      </c>
      <c r="C114" t="inlineStr">
        <is>
          <t>V03</t>
        </is>
      </c>
      <c r="D114" t="inlineStr">
        <is>
          <t>P005</t>
        </is>
      </c>
      <c r="E114" t="n">
        <v>5</v>
      </c>
      <c r="F114" s="4" t="n">
        <v>349</v>
      </c>
      <c r="G114">
        <f>_xlfn.XLOOKUP(tbLoja[[#This Row],[Cod_Produto]],tbProdutos[Cod_Produto],tbProdutos[Produto],"Não cadastrado")</f>
        <v/>
      </c>
      <c r="H114">
        <f>_xlfn.XLOOKUP(tbLoja[[#This Row],[Cod_Produto]],tbProdutos[Cod_Produto],tbProdutos[Categoria],"Não cadastrado")</f>
        <v/>
      </c>
      <c r="I114" s="4">
        <f>_xlfn.XLOOKUP(tbLoja[[#This Row],[Cod_Produto]],tbProdutos[Cod_Produto],tbProdutos[Custo Unitário],0)</f>
        <v/>
      </c>
      <c r="J114">
        <f>_xlfn.XLOOKUP(tbLoja[[#This Row],[ID_Vendedor]],tbVendedores[ID_Vendedor],tbVendedores[Vendedor],"Não cadastrado")</f>
        <v/>
      </c>
      <c r="K114" s="4">
        <f>tbLoja[[#This Row],[Quantidade]]*tbLoja[[#This Row],[Preço Unitário]]</f>
        <v/>
      </c>
      <c r="L114" s="4">
        <f>tbLoja[[#This Row],[Faturamento]]-tbLoja[[#This Row],[Quantidade]]*tbLoja[[#This Row],[Custo Unitário]]</f>
        <v/>
      </c>
      <c r="M114">
        <f>MONTH(tbLoja[[#This Row],[Data]])</f>
        <v/>
      </c>
    </row>
    <row r="115">
      <c r="A115" t="inlineStr">
        <is>
          <t>L0114</t>
        </is>
      </c>
      <c r="B115" s="9" t="n">
        <v>46058</v>
      </c>
      <c r="C115" t="inlineStr">
        <is>
          <t>V02</t>
        </is>
      </c>
      <c r="D115" t="inlineStr">
        <is>
          <t>P005</t>
        </is>
      </c>
      <c r="E115" t="n">
        <v>3</v>
      </c>
      <c r="F115" s="4" t="n">
        <v>349</v>
      </c>
      <c r="G115">
        <f>_xlfn.XLOOKUP(tbLoja[[#This Row],[Cod_Produto]],tbProdutos[Cod_Produto],tbProdutos[Produto],"Não cadastrado")</f>
        <v/>
      </c>
      <c r="H115">
        <f>_xlfn.XLOOKUP(tbLoja[[#This Row],[Cod_Produto]],tbProdutos[Cod_Produto],tbProdutos[Categoria],"Não cadastrado")</f>
        <v/>
      </c>
      <c r="I115" s="4">
        <f>_xlfn.XLOOKUP(tbLoja[[#This Row],[Cod_Produto]],tbProdutos[Cod_Produto],tbProdutos[Custo Unitário],0)</f>
        <v/>
      </c>
      <c r="J115">
        <f>_xlfn.XLOOKUP(tbLoja[[#This Row],[ID_Vendedor]],tbVendedores[ID_Vendedor],tbVendedores[Vendedor],"Não cadastrado")</f>
        <v/>
      </c>
      <c r="K115" s="4">
        <f>tbLoja[[#This Row],[Quantidade]]*tbLoja[[#This Row],[Preço Unitário]]</f>
        <v/>
      </c>
      <c r="L115" s="4">
        <f>tbLoja[[#This Row],[Faturamento]]-tbLoja[[#This Row],[Quantidade]]*tbLoja[[#This Row],[Custo Unitário]]</f>
        <v/>
      </c>
      <c r="M115">
        <f>MONTH(tbLoja[[#This Row],[Data]])</f>
        <v/>
      </c>
    </row>
    <row r="116">
      <c r="A116" t="inlineStr">
        <is>
          <t>L0115</t>
        </is>
      </c>
      <c r="B116" s="9" t="n">
        <v>46058</v>
      </c>
      <c r="C116" t="inlineStr">
        <is>
          <t>V02</t>
        </is>
      </c>
      <c r="D116" t="inlineStr">
        <is>
          <t>P001</t>
        </is>
      </c>
      <c r="E116" t="n">
        <v>1</v>
      </c>
      <c r="F116" s="4" t="n">
        <v>5899</v>
      </c>
      <c r="G116">
        <f>_xlfn.XLOOKUP(tbLoja[[#This Row],[Cod_Produto]],tbProdutos[Cod_Produto],tbProdutos[Produto],"Não cadastrado")</f>
        <v/>
      </c>
      <c r="H116">
        <f>_xlfn.XLOOKUP(tbLoja[[#This Row],[Cod_Produto]],tbProdutos[Cod_Produto],tbProdutos[Categoria],"Não cadastrado")</f>
        <v/>
      </c>
      <c r="I116" s="4">
        <f>_xlfn.XLOOKUP(tbLoja[[#This Row],[Cod_Produto]],tbProdutos[Cod_Produto],tbProdutos[Custo Unitário],0)</f>
        <v/>
      </c>
      <c r="J116">
        <f>_xlfn.XLOOKUP(tbLoja[[#This Row],[ID_Vendedor]],tbVendedores[ID_Vendedor],tbVendedores[Vendedor],"Não cadastrado")</f>
        <v/>
      </c>
      <c r="K116" s="4">
        <f>tbLoja[[#This Row],[Quantidade]]*tbLoja[[#This Row],[Preço Unitário]]</f>
        <v/>
      </c>
      <c r="L116" s="4">
        <f>tbLoja[[#This Row],[Faturamento]]-tbLoja[[#This Row],[Quantidade]]*tbLoja[[#This Row],[Custo Unitário]]</f>
        <v/>
      </c>
      <c r="M116">
        <f>MONTH(tbLoja[[#This Row],[Data]])</f>
        <v/>
      </c>
    </row>
    <row r="117">
      <c r="A117" t="inlineStr">
        <is>
          <t>L0116</t>
        </is>
      </c>
      <c r="B117" s="9" t="n">
        <v>46059</v>
      </c>
      <c r="C117" t="inlineStr">
        <is>
          <t>V01</t>
        </is>
      </c>
      <c r="D117" t="inlineStr">
        <is>
          <t>P008</t>
        </is>
      </c>
      <c r="E117" t="n">
        <v>3</v>
      </c>
      <c r="F117" s="4" t="n">
        <v>259</v>
      </c>
      <c r="G117">
        <f>_xlfn.XLOOKUP(tbLoja[[#This Row],[Cod_Produto]],tbProdutos[Cod_Produto],tbProdutos[Produto],"Não cadastrado")</f>
        <v/>
      </c>
      <c r="H117">
        <f>_xlfn.XLOOKUP(tbLoja[[#This Row],[Cod_Produto]],tbProdutos[Cod_Produto],tbProdutos[Categoria],"Não cadastrado")</f>
        <v/>
      </c>
      <c r="I117" s="4">
        <f>_xlfn.XLOOKUP(tbLoja[[#This Row],[Cod_Produto]],tbProdutos[Cod_Produto],tbProdutos[Custo Unitário],0)</f>
        <v/>
      </c>
      <c r="J117">
        <f>_xlfn.XLOOKUP(tbLoja[[#This Row],[ID_Vendedor]],tbVendedores[ID_Vendedor],tbVendedores[Vendedor],"Não cadastrado")</f>
        <v/>
      </c>
      <c r="K117" s="4">
        <f>tbLoja[[#This Row],[Quantidade]]*tbLoja[[#This Row],[Preço Unitário]]</f>
        <v/>
      </c>
      <c r="L117" s="4">
        <f>tbLoja[[#This Row],[Faturamento]]-tbLoja[[#This Row],[Quantidade]]*tbLoja[[#This Row],[Custo Unitário]]</f>
        <v/>
      </c>
      <c r="M117">
        <f>MONTH(tbLoja[[#This Row],[Data]])</f>
        <v/>
      </c>
    </row>
    <row r="118">
      <c r="A118" t="inlineStr">
        <is>
          <t>L0117</t>
        </is>
      </c>
      <c r="B118" s="9" t="n">
        <v>46059</v>
      </c>
      <c r="C118" t="inlineStr">
        <is>
          <t>V03</t>
        </is>
      </c>
      <c r="D118" t="inlineStr">
        <is>
          <t>P004</t>
        </is>
      </c>
      <c r="E118" t="n">
        <v>4</v>
      </c>
      <c r="F118" s="4" t="n">
        <v>999</v>
      </c>
      <c r="G118">
        <f>_xlfn.XLOOKUP(tbLoja[[#This Row],[Cod_Produto]],tbProdutos[Cod_Produto],tbProdutos[Produto],"Não cadastrado")</f>
        <v/>
      </c>
      <c r="H118">
        <f>_xlfn.XLOOKUP(tbLoja[[#This Row],[Cod_Produto]],tbProdutos[Cod_Produto],tbProdutos[Categoria],"Não cadastrado")</f>
        <v/>
      </c>
      <c r="I118" s="4">
        <f>_xlfn.XLOOKUP(tbLoja[[#This Row],[Cod_Produto]],tbProdutos[Cod_Produto],tbProdutos[Custo Unitário],0)</f>
        <v/>
      </c>
      <c r="J118">
        <f>_xlfn.XLOOKUP(tbLoja[[#This Row],[ID_Vendedor]],tbVendedores[ID_Vendedor],tbVendedores[Vendedor],"Não cadastrado")</f>
        <v/>
      </c>
      <c r="K118" s="4">
        <f>tbLoja[[#This Row],[Quantidade]]*tbLoja[[#This Row],[Preço Unitário]]</f>
        <v/>
      </c>
      <c r="L118" s="4">
        <f>tbLoja[[#This Row],[Faturamento]]-tbLoja[[#This Row],[Quantidade]]*tbLoja[[#This Row],[Custo Unitário]]</f>
        <v/>
      </c>
      <c r="M118">
        <f>MONTH(tbLoja[[#This Row],[Data]])</f>
        <v/>
      </c>
    </row>
    <row r="119">
      <c r="A119" t="inlineStr">
        <is>
          <t>L0118</t>
        </is>
      </c>
      <c r="B119" s="9" t="n">
        <v>46059</v>
      </c>
      <c r="C119" t="inlineStr">
        <is>
          <t>V03</t>
        </is>
      </c>
      <c r="D119" t="inlineStr">
        <is>
          <t>P004</t>
        </is>
      </c>
      <c r="E119" t="n">
        <v>2</v>
      </c>
      <c r="F119" s="4" t="n">
        <v>999</v>
      </c>
      <c r="G119">
        <f>_xlfn.XLOOKUP(tbLoja[[#This Row],[Cod_Produto]],tbProdutos[Cod_Produto],tbProdutos[Produto],"Não cadastrado")</f>
        <v/>
      </c>
      <c r="H119">
        <f>_xlfn.XLOOKUP(tbLoja[[#This Row],[Cod_Produto]],tbProdutos[Cod_Produto],tbProdutos[Categoria],"Não cadastrado")</f>
        <v/>
      </c>
      <c r="I119" s="4">
        <f>_xlfn.XLOOKUP(tbLoja[[#This Row],[Cod_Produto]],tbProdutos[Cod_Produto],tbProdutos[Custo Unitário],0)</f>
        <v/>
      </c>
      <c r="J119">
        <f>_xlfn.XLOOKUP(tbLoja[[#This Row],[ID_Vendedor]],tbVendedores[ID_Vendedor],tbVendedores[Vendedor],"Não cadastrado")</f>
        <v/>
      </c>
      <c r="K119" s="4">
        <f>tbLoja[[#This Row],[Quantidade]]*tbLoja[[#This Row],[Preço Unitário]]</f>
        <v/>
      </c>
      <c r="L119" s="4">
        <f>tbLoja[[#This Row],[Faturamento]]-tbLoja[[#This Row],[Quantidade]]*tbLoja[[#This Row],[Custo Unitário]]</f>
        <v/>
      </c>
      <c r="M119">
        <f>MONTH(tbLoja[[#This Row],[Data]])</f>
        <v/>
      </c>
    </row>
    <row r="120">
      <c r="A120" t="inlineStr">
        <is>
          <t>L0119</t>
        </is>
      </c>
      <c r="B120" s="9" t="n">
        <v>46059</v>
      </c>
      <c r="C120" t="inlineStr">
        <is>
          <t>V01</t>
        </is>
      </c>
      <c r="D120" t="inlineStr">
        <is>
          <t>P003</t>
        </is>
      </c>
      <c r="E120" t="n">
        <v>1</v>
      </c>
      <c r="F120" s="4" t="n">
        <v>1599</v>
      </c>
      <c r="G120">
        <f>_xlfn.XLOOKUP(tbLoja[[#This Row],[Cod_Produto]],tbProdutos[Cod_Produto],tbProdutos[Produto],"Não cadastrado")</f>
        <v/>
      </c>
      <c r="H120">
        <f>_xlfn.XLOOKUP(tbLoja[[#This Row],[Cod_Produto]],tbProdutos[Cod_Produto],tbProdutos[Categoria],"Não cadastrado")</f>
        <v/>
      </c>
      <c r="I120" s="4">
        <f>_xlfn.XLOOKUP(tbLoja[[#This Row],[Cod_Produto]],tbProdutos[Cod_Produto],tbProdutos[Custo Unitário],0)</f>
        <v/>
      </c>
      <c r="J120">
        <f>_xlfn.XLOOKUP(tbLoja[[#This Row],[ID_Vendedor]],tbVendedores[ID_Vendedor],tbVendedores[Vendedor],"Não cadastrado")</f>
        <v/>
      </c>
      <c r="K120" s="4">
        <f>tbLoja[[#This Row],[Quantidade]]*tbLoja[[#This Row],[Preço Unitário]]</f>
        <v/>
      </c>
      <c r="L120" s="4">
        <f>tbLoja[[#This Row],[Faturamento]]-tbLoja[[#This Row],[Quantidade]]*tbLoja[[#This Row],[Custo Unitário]]</f>
        <v/>
      </c>
      <c r="M120">
        <f>MONTH(tbLoja[[#This Row],[Data]])</f>
        <v/>
      </c>
    </row>
    <row r="121">
      <c r="A121" t="inlineStr">
        <is>
          <t>L0120</t>
        </is>
      </c>
      <c r="B121" s="9" t="n">
        <v>46060</v>
      </c>
      <c r="C121" t="inlineStr">
        <is>
          <t>V03</t>
        </is>
      </c>
      <c r="D121" t="inlineStr">
        <is>
          <t>P009</t>
        </is>
      </c>
      <c r="E121" t="n">
        <v>4</v>
      </c>
      <c r="F121" s="4" t="n">
        <v>499</v>
      </c>
      <c r="G121">
        <f>_xlfn.XLOOKUP(tbLoja[[#This Row],[Cod_Produto]],tbProdutos[Cod_Produto],tbProdutos[Produto],"Não cadastrado")</f>
        <v/>
      </c>
      <c r="H121">
        <f>_xlfn.XLOOKUP(tbLoja[[#This Row],[Cod_Produto]],tbProdutos[Cod_Produto],tbProdutos[Categoria],"Não cadastrado")</f>
        <v/>
      </c>
      <c r="I121" s="4">
        <f>_xlfn.XLOOKUP(tbLoja[[#This Row],[Cod_Produto]],tbProdutos[Cod_Produto],tbProdutos[Custo Unitário],0)</f>
        <v/>
      </c>
      <c r="J121">
        <f>_xlfn.XLOOKUP(tbLoja[[#This Row],[ID_Vendedor]],tbVendedores[ID_Vendedor],tbVendedores[Vendedor],"Não cadastrado")</f>
        <v/>
      </c>
      <c r="K121" s="4">
        <f>tbLoja[[#This Row],[Quantidade]]*tbLoja[[#This Row],[Preço Unitário]]</f>
        <v/>
      </c>
      <c r="L121" s="4">
        <f>tbLoja[[#This Row],[Faturamento]]-tbLoja[[#This Row],[Quantidade]]*tbLoja[[#This Row],[Custo Unitário]]</f>
        <v/>
      </c>
      <c r="M121">
        <f>MONTH(tbLoja[[#This Row],[Data]])</f>
        <v/>
      </c>
    </row>
    <row r="122">
      <c r="A122" t="inlineStr">
        <is>
          <t>L0121</t>
        </is>
      </c>
      <c r="B122" s="9" t="n">
        <v>46060</v>
      </c>
      <c r="C122" t="inlineStr">
        <is>
          <t>V03</t>
        </is>
      </c>
      <c r="D122" t="inlineStr">
        <is>
          <t>P004</t>
        </is>
      </c>
      <c r="E122" t="n">
        <v>2</v>
      </c>
      <c r="F122" s="4" t="n">
        <v>999</v>
      </c>
      <c r="G122">
        <f>_xlfn.XLOOKUP(tbLoja[[#This Row],[Cod_Produto]],tbProdutos[Cod_Produto],tbProdutos[Produto],"Não cadastrado")</f>
        <v/>
      </c>
      <c r="H122">
        <f>_xlfn.XLOOKUP(tbLoja[[#This Row],[Cod_Produto]],tbProdutos[Cod_Produto],tbProdutos[Categoria],"Não cadastrado")</f>
        <v/>
      </c>
      <c r="I122" s="4">
        <f>_xlfn.XLOOKUP(tbLoja[[#This Row],[Cod_Produto]],tbProdutos[Cod_Produto],tbProdutos[Custo Unitário],0)</f>
        <v/>
      </c>
      <c r="J122">
        <f>_xlfn.XLOOKUP(tbLoja[[#This Row],[ID_Vendedor]],tbVendedores[ID_Vendedor],tbVendedores[Vendedor],"Não cadastrado")</f>
        <v/>
      </c>
      <c r="K122" s="4">
        <f>tbLoja[[#This Row],[Quantidade]]*tbLoja[[#This Row],[Preço Unitário]]</f>
        <v/>
      </c>
      <c r="L122" s="4">
        <f>tbLoja[[#This Row],[Faturamento]]-tbLoja[[#This Row],[Quantidade]]*tbLoja[[#This Row],[Custo Unitário]]</f>
        <v/>
      </c>
      <c r="M122">
        <f>MONTH(tbLoja[[#This Row],[Data]])</f>
        <v/>
      </c>
    </row>
    <row r="123">
      <c r="A123" t="inlineStr">
        <is>
          <t>L0122</t>
        </is>
      </c>
      <c r="B123" s="9" t="n">
        <v>46060</v>
      </c>
      <c r="C123" t="inlineStr">
        <is>
          <t>V02</t>
        </is>
      </c>
      <c r="D123" t="inlineStr">
        <is>
          <t>P002</t>
        </is>
      </c>
      <c r="E123" t="n">
        <v>1</v>
      </c>
      <c r="F123" s="4" t="n">
        <v>3299</v>
      </c>
      <c r="G123">
        <f>_xlfn.XLOOKUP(tbLoja[[#This Row],[Cod_Produto]],tbProdutos[Cod_Produto],tbProdutos[Produto],"Não cadastrado")</f>
        <v/>
      </c>
      <c r="H123">
        <f>_xlfn.XLOOKUP(tbLoja[[#This Row],[Cod_Produto]],tbProdutos[Cod_Produto],tbProdutos[Categoria],"Não cadastrado")</f>
        <v/>
      </c>
      <c r="I123" s="4">
        <f>_xlfn.XLOOKUP(tbLoja[[#This Row],[Cod_Produto]],tbProdutos[Cod_Produto],tbProdutos[Custo Unitário],0)</f>
        <v/>
      </c>
      <c r="J123">
        <f>_xlfn.XLOOKUP(tbLoja[[#This Row],[ID_Vendedor]],tbVendedores[ID_Vendedor],tbVendedores[Vendedor],"Não cadastrado")</f>
        <v/>
      </c>
      <c r="K123" s="4">
        <f>tbLoja[[#This Row],[Quantidade]]*tbLoja[[#This Row],[Preço Unitário]]</f>
        <v/>
      </c>
      <c r="L123" s="4">
        <f>tbLoja[[#This Row],[Faturamento]]-tbLoja[[#This Row],[Quantidade]]*tbLoja[[#This Row],[Custo Unitário]]</f>
        <v/>
      </c>
      <c r="M123">
        <f>MONTH(tbLoja[[#This Row],[Data]])</f>
        <v/>
      </c>
    </row>
    <row r="124">
      <c r="A124" t="inlineStr">
        <is>
          <t>L0123</t>
        </is>
      </c>
      <c r="B124" s="9" t="n">
        <v>46060</v>
      </c>
      <c r="C124" t="inlineStr">
        <is>
          <t>V04</t>
        </is>
      </c>
      <c r="D124" t="inlineStr">
        <is>
          <t>P005</t>
        </is>
      </c>
      <c r="E124" t="n">
        <v>2</v>
      </c>
      <c r="F124" s="4" t="n">
        <v>349</v>
      </c>
      <c r="G124">
        <f>_xlfn.XLOOKUP(tbLoja[[#This Row],[Cod_Produto]],tbProdutos[Cod_Produto],tbProdutos[Produto],"Não cadastrado")</f>
        <v/>
      </c>
      <c r="H124">
        <f>_xlfn.XLOOKUP(tbLoja[[#This Row],[Cod_Produto]],tbProdutos[Cod_Produto],tbProdutos[Categoria],"Não cadastrado")</f>
        <v/>
      </c>
      <c r="I124" s="4">
        <f>_xlfn.XLOOKUP(tbLoja[[#This Row],[Cod_Produto]],tbProdutos[Cod_Produto],tbProdutos[Custo Unitário],0)</f>
        <v/>
      </c>
      <c r="J124">
        <f>_xlfn.XLOOKUP(tbLoja[[#This Row],[ID_Vendedor]],tbVendedores[ID_Vendedor],tbVendedores[Vendedor],"Não cadastrado")</f>
        <v/>
      </c>
      <c r="K124" s="4">
        <f>tbLoja[[#This Row],[Quantidade]]*tbLoja[[#This Row],[Preço Unitário]]</f>
        <v/>
      </c>
      <c r="L124" s="4">
        <f>tbLoja[[#This Row],[Faturamento]]-tbLoja[[#This Row],[Quantidade]]*tbLoja[[#This Row],[Custo Unitário]]</f>
        <v/>
      </c>
      <c r="M124">
        <f>MONTH(tbLoja[[#This Row],[Data]])</f>
        <v/>
      </c>
    </row>
    <row r="125">
      <c r="A125" t="inlineStr">
        <is>
          <t>L0124</t>
        </is>
      </c>
      <c r="B125" s="9" t="n">
        <v>46060</v>
      </c>
      <c r="C125" t="inlineStr">
        <is>
          <t>V03</t>
        </is>
      </c>
      <c r="D125" t="inlineStr">
        <is>
          <t>P006</t>
        </is>
      </c>
      <c r="E125" t="n">
        <v>4</v>
      </c>
      <c r="F125" s="4" t="n">
        <v>119</v>
      </c>
      <c r="G125">
        <f>_xlfn.XLOOKUP(tbLoja[[#This Row],[Cod_Produto]],tbProdutos[Cod_Produto],tbProdutos[Produto],"Não cadastrado")</f>
        <v/>
      </c>
      <c r="H125">
        <f>_xlfn.XLOOKUP(tbLoja[[#This Row],[Cod_Produto]],tbProdutos[Cod_Produto],tbProdutos[Categoria],"Não cadastrado")</f>
        <v/>
      </c>
      <c r="I125" s="4">
        <f>_xlfn.XLOOKUP(tbLoja[[#This Row],[Cod_Produto]],tbProdutos[Cod_Produto],tbProdutos[Custo Unitário],0)</f>
        <v/>
      </c>
      <c r="J125">
        <f>_xlfn.XLOOKUP(tbLoja[[#This Row],[ID_Vendedor]],tbVendedores[ID_Vendedor],tbVendedores[Vendedor],"Não cadastrado")</f>
        <v/>
      </c>
      <c r="K125" s="4">
        <f>tbLoja[[#This Row],[Quantidade]]*tbLoja[[#This Row],[Preço Unitário]]</f>
        <v/>
      </c>
      <c r="L125" s="4">
        <f>tbLoja[[#This Row],[Faturamento]]-tbLoja[[#This Row],[Quantidade]]*tbLoja[[#This Row],[Custo Unitário]]</f>
        <v/>
      </c>
      <c r="M125">
        <f>MONTH(tbLoja[[#This Row],[Data]])</f>
        <v/>
      </c>
    </row>
    <row r="126">
      <c r="A126" t="inlineStr">
        <is>
          <t>L0125</t>
        </is>
      </c>
      <c r="B126" s="9" t="n">
        <v>46060</v>
      </c>
      <c r="C126" t="inlineStr">
        <is>
          <t>V01</t>
        </is>
      </c>
      <c r="D126" t="inlineStr">
        <is>
          <t>P009</t>
        </is>
      </c>
      <c r="E126" t="n">
        <v>1</v>
      </c>
      <c r="F126" s="4" t="n">
        <v>499</v>
      </c>
      <c r="G126">
        <f>_xlfn.XLOOKUP(tbLoja[[#This Row],[Cod_Produto]],tbProdutos[Cod_Produto],tbProdutos[Produto],"Não cadastrado")</f>
        <v/>
      </c>
      <c r="H126">
        <f>_xlfn.XLOOKUP(tbLoja[[#This Row],[Cod_Produto]],tbProdutos[Cod_Produto],tbProdutos[Categoria],"Não cadastrado")</f>
        <v/>
      </c>
      <c r="I126" s="4">
        <f>_xlfn.XLOOKUP(tbLoja[[#This Row],[Cod_Produto]],tbProdutos[Cod_Produto],tbProdutos[Custo Unitário],0)</f>
        <v/>
      </c>
      <c r="J126">
        <f>_xlfn.XLOOKUP(tbLoja[[#This Row],[ID_Vendedor]],tbVendedores[ID_Vendedor],tbVendedores[Vendedor],"Não cadastrado")</f>
        <v/>
      </c>
      <c r="K126" s="4">
        <f>tbLoja[[#This Row],[Quantidade]]*tbLoja[[#This Row],[Preço Unitário]]</f>
        <v/>
      </c>
      <c r="L126" s="4">
        <f>tbLoja[[#This Row],[Faturamento]]-tbLoja[[#This Row],[Quantidade]]*tbLoja[[#This Row],[Custo Unitário]]</f>
        <v/>
      </c>
      <c r="M126">
        <f>MONTH(tbLoja[[#This Row],[Data]])</f>
        <v/>
      </c>
    </row>
    <row r="127">
      <c r="A127" t="inlineStr">
        <is>
          <t>L0126</t>
        </is>
      </c>
      <c r="B127" s="9" t="n">
        <v>46061</v>
      </c>
      <c r="C127" t="inlineStr">
        <is>
          <t>V01</t>
        </is>
      </c>
      <c r="D127" t="inlineStr">
        <is>
          <t>P005</t>
        </is>
      </c>
      <c r="E127" t="n">
        <v>2</v>
      </c>
      <c r="F127" s="4" t="n">
        <v>349</v>
      </c>
      <c r="G127">
        <f>_xlfn.XLOOKUP(tbLoja[[#This Row],[Cod_Produto]],tbProdutos[Cod_Produto],tbProdutos[Produto],"Não cadastrado")</f>
        <v/>
      </c>
      <c r="H127">
        <f>_xlfn.XLOOKUP(tbLoja[[#This Row],[Cod_Produto]],tbProdutos[Cod_Produto],tbProdutos[Categoria],"Não cadastrado")</f>
        <v/>
      </c>
      <c r="I127" s="4">
        <f>_xlfn.XLOOKUP(tbLoja[[#This Row],[Cod_Produto]],tbProdutos[Cod_Produto],tbProdutos[Custo Unitário],0)</f>
        <v/>
      </c>
      <c r="J127">
        <f>_xlfn.XLOOKUP(tbLoja[[#This Row],[ID_Vendedor]],tbVendedores[ID_Vendedor],tbVendedores[Vendedor],"Não cadastrado")</f>
        <v/>
      </c>
      <c r="K127" s="4">
        <f>tbLoja[[#This Row],[Quantidade]]*tbLoja[[#This Row],[Preço Unitário]]</f>
        <v/>
      </c>
      <c r="L127" s="4">
        <f>tbLoja[[#This Row],[Faturamento]]-tbLoja[[#This Row],[Quantidade]]*tbLoja[[#This Row],[Custo Unitário]]</f>
        <v/>
      </c>
      <c r="M127">
        <f>MONTH(tbLoja[[#This Row],[Data]])</f>
        <v/>
      </c>
    </row>
    <row r="128">
      <c r="A128" t="inlineStr">
        <is>
          <t>L0127</t>
        </is>
      </c>
      <c r="B128" s="9" t="n">
        <v>46061</v>
      </c>
      <c r="C128" t="inlineStr">
        <is>
          <t>V02</t>
        </is>
      </c>
      <c r="D128" t="inlineStr">
        <is>
          <t>P007</t>
        </is>
      </c>
      <c r="E128" t="n">
        <v>1</v>
      </c>
      <c r="F128" s="4" t="n">
        <v>399</v>
      </c>
      <c r="G128">
        <f>_xlfn.XLOOKUP(tbLoja[[#This Row],[Cod_Produto]],tbProdutos[Cod_Produto],tbProdutos[Produto],"Não cadastrado")</f>
        <v/>
      </c>
      <c r="H128">
        <f>_xlfn.XLOOKUP(tbLoja[[#This Row],[Cod_Produto]],tbProdutos[Cod_Produto],tbProdutos[Categoria],"Não cadastrado")</f>
        <v/>
      </c>
      <c r="I128" s="4">
        <f>_xlfn.XLOOKUP(tbLoja[[#This Row],[Cod_Produto]],tbProdutos[Cod_Produto],tbProdutos[Custo Unitário],0)</f>
        <v/>
      </c>
      <c r="J128">
        <f>_xlfn.XLOOKUP(tbLoja[[#This Row],[ID_Vendedor]],tbVendedores[ID_Vendedor],tbVendedores[Vendedor],"Não cadastrado")</f>
        <v/>
      </c>
      <c r="K128" s="4">
        <f>tbLoja[[#This Row],[Quantidade]]*tbLoja[[#This Row],[Preço Unitário]]</f>
        <v/>
      </c>
      <c r="L128" s="4">
        <f>tbLoja[[#This Row],[Faturamento]]-tbLoja[[#This Row],[Quantidade]]*tbLoja[[#This Row],[Custo Unitário]]</f>
        <v/>
      </c>
      <c r="M128">
        <f>MONTH(tbLoja[[#This Row],[Data]])</f>
        <v/>
      </c>
    </row>
    <row r="129">
      <c r="A129" t="inlineStr">
        <is>
          <t>L0128</t>
        </is>
      </c>
      <c r="B129" s="9" t="n">
        <v>46061</v>
      </c>
      <c r="C129" t="inlineStr">
        <is>
          <t>V06</t>
        </is>
      </c>
      <c r="D129" t="inlineStr">
        <is>
          <t>P006</t>
        </is>
      </c>
      <c r="E129" t="n">
        <v>3</v>
      </c>
      <c r="F129" s="4" t="n">
        <v>119</v>
      </c>
      <c r="G129">
        <f>_xlfn.XLOOKUP(tbLoja[[#This Row],[Cod_Produto]],tbProdutos[Cod_Produto],tbProdutos[Produto],"Não cadastrado")</f>
        <v/>
      </c>
      <c r="H129">
        <f>_xlfn.XLOOKUP(tbLoja[[#This Row],[Cod_Produto]],tbProdutos[Cod_Produto],tbProdutos[Categoria],"Não cadastrado")</f>
        <v/>
      </c>
      <c r="I129" s="4">
        <f>_xlfn.XLOOKUP(tbLoja[[#This Row],[Cod_Produto]],tbProdutos[Cod_Produto],tbProdutos[Custo Unitário],0)</f>
        <v/>
      </c>
      <c r="J129">
        <f>_xlfn.XLOOKUP(tbLoja[[#This Row],[ID_Vendedor]],tbVendedores[ID_Vendedor],tbVendedores[Vendedor],"Não cadastrado")</f>
        <v/>
      </c>
      <c r="K129" s="4">
        <f>tbLoja[[#This Row],[Quantidade]]*tbLoja[[#This Row],[Preço Unitário]]</f>
        <v/>
      </c>
      <c r="L129" s="4">
        <f>tbLoja[[#This Row],[Faturamento]]-tbLoja[[#This Row],[Quantidade]]*tbLoja[[#This Row],[Custo Unitário]]</f>
        <v/>
      </c>
      <c r="M129">
        <f>MONTH(tbLoja[[#This Row],[Data]])</f>
        <v/>
      </c>
    </row>
    <row r="130">
      <c r="A130" t="inlineStr">
        <is>
          <t>L0129</t>
        </is>
      </c>
      <c r="B130" s="9" t="n">
        <v>46061</v>
      </c>
      <c r="C130" t="inlineStr">
        <is>
          <t>V05</t>
        </is>
      </c>
      <c r="D130" t="inlineStr">
        <is>
          <t>P009</t>
        </is>
      </c>
      <c r="E130" t="n">
        <v>4</v>
      </c>
      <c r="F130" s="4" t="n">
        <v>499</v>
      </c>
      <c r="G130">
        <f>_xlfn.XLOOKUP(tbLoja[[#This Row],[Cod_Produto]],tbProdutos[Cod_Produto],tbProdutos[Produto],"Não cadastrado")</f>
        <v/>
      </c>
      <c r="H130">
        <f>_xlfn.XLOOKUP(tbLoja[[#This Row],[Cod_Produto]],tbProdutos[Cod_Produto],tbProdutos[Categoria],"Não cadastrado")</f>
        <v/>
      </c>
      <c r="I130" s="4">
        <f>_xlfn.XLOOKUP(tbLoja[[#This Row],[Cod_Produto]],tbProdutos[Cod_Produto],tbProdutos[Custo Unitário],0)</f>
        <v/>
      </c>
      <c r="J130">
        <f>_xlfn.XLOOKUP(tbLoja[[#This Row],[ID_Vendedor]],tbVendedores[ID_Vendedor],tbVendedores[Vendedor],"Não cadastrado")</f>
        <v/>
      </c>
      <c r="K130" s="4">
        <f>tbLoja[[#This Row],[Quantidade]]*tbLoja[[#This Row],[Preço Unitário]]</f>
        <v/>
      </c>
      <c r="L130" s="4">
        <f>tbLoja[[#This Row],[Faturamento]]-tbLoja[[#This Row],[Quantidade]]*tbLoja[[#This Row],[Custo Unitário]]</f>
        <v/>
      </c>
      <c r="M130">
        <f>MONTH(tbLoja[[#This Row],[Data]])</f>
        <v/>
      </c>
    </row>
    <row r="131">
      <c r="A131" t="inlineStr">
        <is>
          <t>L0130</t>
        </is>
      </c>
      <c r="B131" s="9" t="n">
        <v>46061</v>
      </c>
      <c r="C131" t="inlineStr">
        <is>
          <t>V02</t>
        </is>
      </c>
      <c r="D131" t="inlineStr">
        <is>
          <t>P009</t>
        </is>
      </c>
      <c r="E131" t="n">
        <v>1</v>
      </c>
      <c r="F131" s="4" t="n">
        <v>499</v>
      </c>
      <c r="G131">
        <f>_xlfn.XLOOKUP(tbLoja[[#This Row],[Cod_Produto]],tbProdutos[Cod_Produto],tbProdutos[Produto],"Não cadastrado")</f>
        <v/>
      </c>
      <c r="H131">
        <f>_xlfn.XLOOKUP(tbLoja[[#This Row],[Cod_Produto]],tbProdutos[Cod_Produto],tbProdutos[Categoria],"Não cadastrado")</f>
        <v/>
      </c>
      <c r="I131" s="4">
        <f>_xlfn.XLOOKUP(tbLoja[[#This Row],[Cod_Produto]],tbProdutos[Cod_Produto],tbProdutos[Custo Unitário],0)</f>
        <v/>
      </c>
      <c r="J131">
        <f>_xlfn.XLOOKUP(tbLoja[[#This Row],[ID_Vendedor]],tbVendedores[ID_Vendedor],tbVendedores[Vendedor],"Não cadastrado")</f>
        <v/>
      </c>
      <c r="K131" s="4">
        <f>tbLoja[[#This Row],[Quantidade]]*tbLoja[[#This Row],[Preço Unitário]]</f>
        <v/>
      </c>
      <c r="L131" s="4">
        <f>tbLoja[[#This Row],[Faturamento]]-tbLoja[[#This Row],[Quantidade]]*tbLoja[[#This Row],[Custo Unitário]]</f>
        <v/>
      </c>
      <c r="M131">
        <f>MONTH(tbLoja[[#This Row],[Data]])</f>
        <v/>
      </c>
    </row>
    <row r="132">
      <c r="A132" t="inlineStr">
        <is>
          <t>L0131</t>
        </is>
      </c>
      <c r="B132" s="9" t="n">
        <v>46061</v>
      </c>
      <c r="C132" t="inlineStr">
        <is>
          <t>V03</t>
        </is>
      </c>
      <c r="D132" t="inlineStr">
        <is>
          <t>P009</t>
        </is>
      </c>
      <c r="E132" t="n">
        <v>3</v>
      </c>
      <c r="F132" s="4" t="n">
        <v>499</v>
      </c>
      <c r="G132">
        <f>_xlfn.XLOOKUP(tbLoja[[#This Row],[Cod_Produto]],tbProdutos[Cod_Produto],tbProdutos[Produto],"Não cadastrado")</f>
        <v/>
      </c>
      <c r="H132">
        <f>_xlfn.XLOOKUP(tbLoja[[#This Row],[Cod_Produto]],tbProdutos[Cod_Produto],tbProdutos[Categoria],"Não cadastrado")</f>
        <v/>
      </c>
      <c r="I132" s="4">
        <f>_xlfn.XLOOKUP(tbLoja[[#This Row],[Cod_Produto]],tbProdutos[Cod_Produto],tbProdutos[Custo Unitário],0)</f>
        <v/>
      </c>
      <c r="J132">
        <f>_xlfn.XLOOKUP(tbLoja[[#This Row],[ID_Vendedor]],tbVendedores[ID_Vendedor],tbVendedores[Vendedor],"Não cadastrado")</f>
        <v/>
      </c>
      <c r="K132" s="4">
        <f>tbLoja[[#This Row],[Quantidade]]*tbLoja[[#This Row],[Preço Unitário]]</f>
        <v/>
      </c>
      <c r="L132" s="4">
        <f>tbLoja[[#This Row],[Faturamento]]-tbLoja[[#This Row],[Quantidade]]*tbLoja[[#This Row],[Custo Unitário]]</f>
        <v/>
      </c>
      <c r="M132">
        <f>MONTH(tbLoja[[#This Row],[Data]])</f>
        <v/>
      </c>
    </row>
    <row r="133">
      <c r="A133" t="inlineStr">
        <is>
          <t>L0132</t>
        </is>
      </c>
      <c r="B133" s="9" t="n">
        <v>46062</v>
      </c>
      <c r="C133" t="inlineStr">
        <is>
          <t>V04</t>
        </is>
      </c>
      <c r="D133" t="inlineStr">
        <is>
          <t>P002</t>
        </is>
      </c>
      <c r="E133" t="n">
        <v>1</v>
      </c>
      <c r="F133" s="4" t="n">
        <v>3299</v>
      </c>
      <c r="G133">
        <f>_xlfn.XLOOKUP(tbLoja[[#This Row],[Cod_Produto]],tbProdutos[Cod_Produto],tbProdutos[Produto],"Não cadastrado")</f>
        <v/>
      </c>
      <c r="H133">
        <f>_xlfn.XLOOKUP(tbLoja[[#This Row],[Cod_Produto]],tbProdutos[Cod_Produto],tbProdutos[Categoria],"Não cadastrado")</f>
        <v/>
      </c>
      <c r="I133" s="4">
        <f>_xlfn.XLOOKUP(tbLoja[[#This Row],[Cod_Produto]],tbProdutos[Cod_Produto],tbProdutos[Custo Unitário],0)</f>
        <v/>
      </c>
      <c r="J133">
        <f>_xlfn.XLOOKUP(tbLoja[[#This Row],[ID_Vendedor]],tbVendedores[ID_Vendedor],tbVendedores[Vendedor],"Não cadastrado")</f>
        <v/>
      </c>
      <c r="K133" s="4">
        <f>tbLoja[[#This Row],[Quantidade]]*tbLoja[[#This Row],[Preço Unitário]]</f>
        <v/>
      </c>
      <c r="L133" s="4">
        <f>tbLoja[[#This Row],[Faturamento]]-tbLoja[[#This Row],[Quantidade]]*tbLoja[[#This Row],[Custo Unitário]]</f>
        <v/>
      </c>
      <c r="M133">
        <f>MONTH(tbLoja[[#This Row],[Data]])</f>
        <v/>
      </c>
    </row>
    <row r="134">
      <c r="A134" t="inlineStr">
        <is>
          <t>L0133</t>
        </is>
      </c>
      <c r="B134" s="9" t="n">
        <v>46062</v>
      </c>
      <c r="C134" t="inlineStr">
        <is>
          <t>V02</t>
        </is>
      </c>
      <c r="D134" t="inlineStr">
        <is>
          <t>P001</t>
        </is>
      </c>
      <c r="E134" t="n">
        <v>2</v>
      </c>
      <c r="F134" s="4" t="n">
        <v>5899</v>
      </c>
      <c r="G134">
        <f>_xlfn.XLOOKUP(tbLoja[[#This Row],[Cod_Produto]],tbProdutos[Cod_Produto],tbProdutos[Produto],"Não cadastrado")</f>
        <v/>
      </c>
      <c r="H134">
        <f>_xlfn.XLOOKUP(tbLoja[[#This Row],[Cod_Produto]],tbProdutos[Cod_Produto],tbProdutos[Categoria],"Não cadastrado")</f>
        <v/>
      </c>
      <c r="I134" s="4">
        <f>_xlfn.XLOOKUP(tbLoja[[#This Row],[Cod_Produto]],tbProdutos[Cod_Produto],tbProdutos[Custo Unitário],0)</f>
        <v/>
      </c>
      <c r="J134">
        <f>_xlfn.XLOOKUP(tbLoja[[#This Row],[ID_Vendedor]],tbVendedores[ID_Vendedor],tbVendedores[Vendedor],"Não cadastrado")</f>
        <v/>
      </c>
      <c r="K134" s="4">
        <f>tbLoja[[#This Row],[Quantidade]]*tbLoja[[#This Row],[Preço Unitário]]</f>
        <v/>
      </c>
      <c r="L134" s="4">
        <f>tbLoja[[#This Row],[Faturamento]]-tbLoja[[#This Row],[Quantidade]]*tbLoja[[#This Row],[Custo Unitário]]</f>
        <v/>
      </c>
      <c r="M134">
        <f>MONTH(tbLoja[[#This Row],[Data]])</f>
        <v/>
      </c>
    </row>
    <row r="135">
      <c r="A135" t="inlineStr">
        <is>
          <t>L0134</t>
        </is>
      </c>
      <c r="B135" s="9" t="n">
        <v>46062</v>
      </c>
      <c r="C135" t="inlineStr">
        <is>
          <t>V02</t>
        </is>
      </c>
      <c r="D135" t="inlineStr">
        <is>
          <t>P007</t>
        </is>
      </c>
      <c r="E135" t="n">
        <v>2</v>
      </c>
      <c r="F135" s="4" t="n">
        <v>399</v>
      </c>
      <c r="G135">
        <f>_xlfn.XLOOKUP(tbLoja[[#This Row],[Cod_Produto]],tbProdutos[Cod_Produto],tbProdutos[Produto],"Não cadastrado")</f>
        <v/>
      </c>
      <c r="H135">
        <f>_xlfn.XLOOKUP(tbLoja[[#This Row],[Cod_Produto]],tbProdutos[Cod_Produto],tbProdutos[Categoria],"Não cadastrado")</f>
        <v/>
      </c>
      <c r="I135" s="4">
        <f>_xlfn.XLOOKUP(tbLoja[[#This Row],[Cod_Produto]],tbProdutos[Cod_Produto],tbProdutos[Custo Unitário],0)</f>
        <v/>
      </c>
      <c r="J135">
        <f>_xlfn.XLOOKUP(tbLoja[[#This Row],[ID_Vendedor]],tbVendedores[ID_Vendedor],tbVendedores[Vendedor],"Não cadastrado")</f>
        <v/>
      </c>
      <c r="K135" s="4">
        <f>tbLoja[[#This Row],[Quantidade]]*tbLoja[[#This Row],[Preço Unitário]]</f>
        <v/>
      </c>
      <c r="L135" s="4">
        <f>tbLoja[[#This Row],[Faturamento]]-tbLoja[[#This Row],[Quantidade]]*tbLoja[[#This Row],[Custo Unitário]]</f>
        <v/>
      </c>
      <c r="M135">
        <f>MONTH(tbLoja[[#This Row],[Data]])</f>
        <v/>
      </c>
    </row>
    <row r="136">
      <c r="A136" t="inlineStr">
        <is>
          <t>L0135</t>
        </is>
      </c>
      <c r="B136" s="9" t="n">
        <v>46062</v>
      </c>
      <c r="C136" t="inlineStr">
        <is>
          <t>V02</t>
        </is>
      </c>
      <c r="D136" t="inlineStr">
        <is>
          <t>P008</t>
        </is>
      </c>
      <c r="E136" t="n">
        <v>3</v>
      </c>
      <c r="F136" s="4" t="n">
        <v>259</v>
      </c>
      <c r="G136">
        <f>_xlfn.XLOOKUP(tbLoja[[#This Row],[Cod_Produto]],tbProdutos[Cod_Produto],tbProdutos[Produto],"Não cadastrado")</f>
        <v/>
      </c>
      <c r="H136">
        <f>_xlfn.XLOOKUP(tbLoja[[#This Row],[Cod_Produto]],tbProdutos[Cod_Produto],tbProdutos[Categoria],"Não cadastrado")</f>
        <v/>
      </c>
      <c r="I136" s="4">
        <f>_xlfn.XLOOKUP(tbLoja[[#This Row],[Cod_Produto]],tbProdutos[Cod_Produto],tbProdutos[Custo Unitário],0)</f>
        <v/>
      </c>
      <c r="J136">
        <f>_xlfn.XLOOKUP(tbLoja[[#This Row],[ID_Vendedor]],tbVendedores[ID_Vendedor],tbVendedores[Vendedor],"Não cadastrado")</f>
        <v/>
      </c>
      <c r="K136" s="4">
        <f>tbLoja[[#This Row],[Quantidade]]*tbLoja[[#This Row],[Preço Unitário]]</f>
        <v/>
      </c>
      <c r="L136" s="4">
        <f>tbLoja[[#This Row],[Faturamento]]-tbLoja[[#This Row],[Quantidade]]*tbLoja[[#This Row],[Custo Unitário]]</f>
        <v/>
      </c>
      <c r="M136">
        <f>MONTH(tbLoja[[#This Row],[Data]])</f>
        <v/>
      </c>
    </row>
    <row r="137">
      <c r="A137" t="inlineStr">
        <is>
          <t>L0136</t>
        </is>
      </c>
      <c r="B137" s="9" t="n">
        <v>46062</v>
      </c>
      <c r="C137" t="inlineStr">
        <is>
          <t>V02</t>
        </is>
      </c>
      <c r="D137" t="inlineStr">
        <is>
          <t>P001</t>
        </is>
      </c>
      <c r="E137" t="n">
        <v>1</v>
      </c>
      <c r="F137" s="4" t="n">
        <v>5899</v>
      </c>
      <c r="G137">
        <f>_xlfn.XLOOKUP(tbLoja[[#This Row],[Cod_Produto]],tbProdutos[Cod_Produto],tbProdutos[Produto],"Não cadastrado")</f>
        <v/>
      </c>
      <c r="H137">
        <f>_xlfn.XLOOKUP(tbLoja[[#This Row],[Cod_Produto]],tbProdutos[Cod_Produto],tbProdutos[Categoria],"Não cadastrado")</f>
        <v/>
      </c>
      <c r="I137" s="4">
        <f>_xlfn.XLOOKUP(tbLoja[[#This Row],[Cod_Produto]],tbProdutos[Cod_Produto],tbProdutos[Custo Unitário],0)</f>
        <v/>
      </c>
      <c r="J137">
        <f>_xlfn.XLOOKUP(tbLoja[[#This Row],[ID_Vendedor]],tbVendedores[ID_Vendedor],tbVendedores[Vendedor],"Não cadastrado")</f>
        <v/>
      </c>
      <c r="K137" s="4">
        <f>tbLoja[[#This Row],[Quantidade]]*tbLoja[[#This Row],[Preço Unitário]]</f>
        <v/>
      </c>
      <c r="L137" s="4">
        <f>tbLoja[[#This Row],[Faturamento]]-tbLoja[[#This Row],[Quantidade]]*tbLoja[[#This Row],[Custo Unitário]]</f>
        <v/>
      </c>
      <c r="M137">
        <f>MONTH(tbLoja[[#This Row],[Data]])</f>
        <v/>
      </c>
    </row>
    <row r="138">
      <c r="A138" t="inlineStr">
        <is>
          <t>L0137</t>
        </is>
      </c>
      <c r="B138" s="9" t="n">
        <v>46062</v>
      </c>
      <c r="C138" t="inlineStr">
        <is>
          <t>V04</t>
        </is>
      </c>
      <c r="D138" t="inlineStr">
        <is>
          <t>P005</t>
        </is>
      </c>
      <c r="E138" t="n">
        <v>2</v>
      </c>
      <c r="F138" s="4" t="n">
        <v>349</v>
      </c>
      <c r="G138">
        <f>_xlfn.XLOOKUP(tbLoja[[#This Row],[Cod_Produto]],tbProdutos[Cod_Produto],tbProdutos[Produto],"Não cadastrado")</f>
        <v/>
      </c>
      <c r="H138">
        <f>_xlfn.XLOOKUP(tbLoja[[#This Row],[Cod_Produto]],tbProdutos[Cod_Produto],tbProdutos[Categoria],"Não cadastrado")</f>
        <v/>
      </c>
      <c r="I138" s="4">
        <f>_xlfn.XLOOKUP(tbLoja[[#This Row],[Cod_Produto]],tbProdutos[Cod_Produto],tbProdutos[Custo Unitário],0)</f>
        <v/>
      </c>
      <c r="J138">
        <f>_xlfn.XLOOKUP(tbLoja[[#This Row],[ID_Vendedor]],tbVendedores[ID_Vendedor],tbVendedores[Vendedor],"Não cadastrado")</f>
        <v/>
      </c>
      <c r="K138" s="4">
        <f>tbLoja[[#This Row],[Quantidade]]*tbLoja[[#This Row],[Preço Unitário]]</f>
        <v/>
      </c>
      <c r="L138" s="4">
        <f>tbLoja[[#This Row],[Faturamento]]-tbLoja[[#This Row],[Quantidade]]*tbLoja[[#This Row],[Custo Unitário]]</f>
        <v/>
      </c>
      <c r="M138">
        <f>MONTH(tbLoja[[#This Row],[Data]])</f>
        <v/>
      </c>
    </row>
    <row r="139">
      <c r="A139" t="inlineStr">
        <is>
          <t>L0138</t>
        </is>
      </c>
      <c r="B139" s="9" t="n">
        <v>46063</v>
      </c>
      <c r="C139" t="inlineStr">
        <is>
          <t>V01</t>
        </is>
      </c>
      <c r="D139" t="inlineStr">
        <is>
          <t>P003</t>
        </is>
      </c>
      <c r="E139" t="n">
        <v>1</v>
      </c>
      <c r="F139" s="4" t="n">
        <v>1599</v>
      </c>
      <c r="G139">
        <f>_xlfn.XLOOKUP(tbLoja[[#This Row],[Cod_Produto]],tbProdutos[Cod_Produto],tbProdutos[Produto],"Não cadastrado")</f>
        <v/>
      </c>
      <c r="H139">
        <f>_xlfn.XLOOKUP(tbLoja[[#This Row],[Cod_Produto]],tbProdutos[Cod_Produto],tbProdutos[Categoria],"Não cadastrado")</f>
        <v/>
      </c>
      <c r="I139" s="4">
        <f>_xlfn.XLOOKUP(tbLoja[[#This Row],[Cod_Produto]],tbProdutos[Cod_Produto],tbProdutos[Custo Unitário],0)</f>
        <v/>
      </c>
      <c r="J139">
        <f>_xlfn.XLOOKUP(tbLoja[[#This Row],[ID_Vendedor]],tbVendedores[ID_Vendedor],tbVendedores[Vendedor],"Não cadastrado")</f>
        <v/>
      </c>
      <c r="K139" s="4">
        <f>tbLoja[[#This Row],[Quantidade]]*tbLoja[[#This Row],[Preço Unitário]]</f>
        <v/>
      </c>
      <c r="L139" s="4">
        <f>tbLoja[[#This Row],[Faturamento]]-tbLoja[[#This Row],[Quantidade]]*tbLoja[[#This Row],[Custo Unitário]]</f>
        <v/>
      </c>
      <c r="M139">
        <f>MONTH(tbLoja[[#This Row],[Data]])</f>
        <v/>
      </c>
    </row>
    <row r="140">
      <c r="A140" t="inlineStr">
        <is>
          <t>L0139</t>
        </is>
      </c>
      <c r="B140" s="9" t="n">
        <v>46063</v>
      </c>
      <c r="C140" t="inlineStr">
        <is>
          <t>V03</t>
        </is>
      </c>
      <c r="D140" t="inlineStr">
        <is>
          <t>P003</t>
        </is>
      </c>
      <c r="E140" t="n">
        <v>2</v>
      </c>
      <c r="F140" s="4" t="n">
        <v>1599</v>
      </c>
      <c r="G140">
        <f>_xlfn.XLOOKUP(tbLoja[[#This Row],[Cod_Produto]],tbProdutos[Cod_Produto],tbProdutos[Produto],"Não cadastrado")</f>
        <v/>
      </c>
      <c r="H140">
        <f>_xlfn.XLOOKUP(tbLoja[[#This Row],[Cod_Produto]],tbProdutos[Cod_Produto],tbProdutos[Categoria],"Não cadastrado")</f>
        <v/>
      </c>
      <c r="I140" s="4">
        <f>_xlfn.XLOOKUP(tbLoja[[#This Row],[Cod_Produto]],tbProdutos[Cod_Produto],tbProdutos[Custo Unitário],0)</f>
        <v/>
      </c>
      <c r="J140">
        <f>_xlfn.XLOOKUP(tbLoja[[#This Row],[ID_Vendedor]],tbVendedores[ID_Vendedor],tbVendedores[Vendedor],"Não cadastrado")</f>
        <v/>
      </c>
      <c r="K140" s="4">
        <f>tbLoja[[#This Row],[Quantidade]]*tbLoja[[#This Row],[Preço Unitário]]</f>
        <v/>
      </c>
      <c r="L140" s="4">
        <f>tbLoja[[#This Row],[Faturamento]]-tbLoja[[#This Row],[Quantidade]]*tbLoja[[#This Row],[Custo Unitário]]</f>
        <v/>
      </c>
      <c r="M140">
        <f>MONTH(tbLoja[[#This Row],[Data]])</f>
        <v/>
      </c>
    </row>
    <row r="141">
      <c r="A141" t="inlineStr">
        <is>
          <t>L0140</t>
        </is>
      </c>
      <c r="B141" s="9" t="n">
        <v>46063</v>
      </c>
      <c r="C141" t="inlineStr">
        <is>
          <t>V04</t>
        </is>
      </c>
      <c r="D141" t="inlineStr">
        <is>
          <t>P009</t>
        </is>
      </c>
      <c r="E141" t="n">
        <v>1</v>
      </c>
      <c r="F141" s="4" t="n">
        <v>499</v>
      </c>
      <c r="G141">
        <f>_xlfn.XLOOKUP(tbLoja[[#This Row],[Cod_Produto]],tbProdutos[Cod_Produto],tbProdutos[Produto],"Não cadastrado")</f>
        <v/>
      </c>
      <c r="H141">
        <f>_xlfn.XLOOKUP(tbLoja[[#This Row],[Cod_Produto]],tbProdutos[Cod_Produto],tbProdutos[Categoria],"Não cadastrado")</f>
        <v/>
      </c>
      <c r="I141" s="4">
        <f>_xlfn.XLOOKUP(tbLoja[[#This Row],[Cod_Produto]],tbProdutos[Cod_Produto],tbProdutos[Custo Unitário],0)</f>
        <v/>
      </c>
      <c r="J141">
        <f>_xlfn.XLOOKUP(tbLoja[[#This Row],[ID_Vendedor]],tbVendedores[ID_Vendedor],tbVendedores[Vendedor],"Não cadastrado")</f>
        <v/>
      </c>
      <c r="K141" s="4">
        <f>tbLoja[[#This Row],[Quantidade]]*tbLoja[[#This Row],[Preço Unitário]]</f>
        <v/>
      </c>
      <c r="L141" s="4">
        <f>tbLoja[[#This Row],[Faturamento]]-tbLoja[[#This Row],[Quantidade]]*tbLoja[[#This Row],[Custo Unitário]]</f>
        <v/>
      </c>
      <c r="M141">
        <f>MONTH(tbLoja[[#This Row],[Data]])</f>
        <v/>
      </c>
    </row>
    <row r="142">
      <c r="A142" t="inlineStr">
        <is>
          <t>L0141</t>
        </is>
      </c>
      <c r="B142" s="9" t="n">
        <v>46063</v>
      </c>
      <c r="C142" t="inlineStr">
        <is>
          <t>V05</t>
        </is>
      </c>
      <c r="D142" t="inlineStr">
        <is>
          <t>P006</t>
        </is>
      </c>
      <c r="E142" t="n">
        <v>3</v>
      </c>
      <c r="F142" s="4" t="n">
        <v>119</v>
      </c>
      <c r="G142">
        <f>_xlfn.XLOOKUP(tbLoja[[#This Row],[Cod_Produto]],tbProdutos[Cod_Produto],tbProdutos[Produto],"Não cadastrado")</f>
        <v/>
      </c>
      <c r="H142">
        <f>_xlfn.XLOOKUP(tbLoja[[#This Row],[Cod_Produto]],tbProdutos[Cod_Produto],tbProdutos[Categoria],"Não cadastrado")</f>
        <v/>
      </c>
      <c r="I142" s="4">
        <f>_xlfn.XLOOKUP(tbLoja[[#This Row],[Cod_Produto]],tbProdutos[Cod_Produto],tbProdutos[Custo Unitário],0)</f>
        <v/>
      </c>
      <c r="J142">
        <f>_xlfn.XLOOKUP(tbLoja[[#This Row],[ID_Vendedor]],tbVendedores[ID_Vendedor],tbVendedores[Vendedor],"Não cadastrado")</f>
        <v/>
      </c>
      <c r="K142" s="4">
        <f>tbLoja[[#This Row],[Quantidade]]*tbLoja[[#This Row],[Preço Unitário]]</f>
        <v/>
      </c>
      <c r="L142" s="4">
        <f>tbLoja[[#This Row],[Faturamento]]-tbLoja[[#This Row],[Quantidade]]*tbLoja[[#This Row],[Custo Unitário]]</f>
        <v/>
      </c>
      <c r="M142">
        <f>MONTH(tbLoja[[#This Row],[Data]])</f>
        <v/>
      </c>
    </row>
    <row r="143">
      <c r="A143" t="inlineStr">
        <is>
          <t>L0142</t>
        </is>
      </c>
      <c r="B143" s="9" t="n">
        <v>46064</v>
      </c>
      <c r="C143" t="inlineStr">
        <is>
          <t>V03</t>
        </is>
      </c>
      <c r="D143" t="inlineStr">
        <is>
          <t>P006</t>
        </is>
      </c>
      <c r="E143" t="n">
        <v>5</v>
      </c>
      <c r="F143" s="4" t="n">
        <v>119</v>
      </c>
      <c r="G143">
        <f>_xlfn.XLOOKUP(tbLoja[[#This Row],[Cod_Produto]],tbProdutos[Cod_Produto],tbProdutos[Produto],"Não cadastrado")</f>
        <v/>
      </c>
      <c r="H143">
        <f>_xlfn.XLOOKUP(tbLoja[[#This Row],[Cod_Produto]],tbProdutos[Cod_Produto],tbProdutos[Categoria],"Não cadastrado")</f>
        <v/>
      </c>
      <c r="I143" s="4">
        <f>_xlfn.XLOOKUP(tbLoja[[#This Row],[Cod_Produto]],tbProdutos[Cod_Produto],tbProdutos[Custo Unitário],0)</f>
        <v/>
      </c>
      <c r="J143">
        <f>_xlfn.XLOOKUP(tbLoja[[#This Row],[ID_Vendedor]],tbVendedores[ID_Vendedor],tbVendedores[Vendedor],"Não cadastrado")</f>
        <v/>
      </c>
      <c r="K143" s="4">
        <f>tbLoja[[#This Row],[Quantidade]]*tbLoja[[#This Row],[Preço Unitário]]</f>
        <v/>
      </c>
      <c r="L143" s="4">
        <f>tbLoja[[#This Row],[Faturamento]]-tbLoja[[#This Row],[Quantidade]]*tbLoja[[#This Row],[Custo Unitário]]</f>
        <v/>
      </c>
      <c r="M143">
        <f>MONTH(tbLoja[[#This Row],[Data]])</f>
        <v/>
      </c>
    </row>
    <row r="144">
      <c r="A144" t="inlineStr">
        <is>
          <t>L0143</t>
        </is>
      </c>
      <c r="B144" s="9" t="n">
        <v>46064</v>
      </c>
      <c r="C144" t="inlineStr">
        <is>
          <t>V01</t>
        </is>
      </c>
      <c r="D144" t="inlineStr">
        <is>
          <t>P007</t>
        </is>
      </c>
      <c r="E144" t="n">
        <v>5</v>
      </c>
      <c r="F144" s="4" t="n">
        <v>399</v>
      </c>
      <c r="G144">
        <f>_xlfn.XLOOKUP(tbLoja[[#This Row],[Cod_Produto]],tbProdutos[Cod_Produto],tbProdutos[Produto],"Não cadastrado")</f>
        <v/>
      </c>
      <c r="H144">
        <f>_xlfn.XLOOKUP(tbLoja[[#This Row],[Cod_Produto]],tbProdutos[Cod_Produto],tbProdutos[Categoria],"Não cadastrado")</f>
        <v/>
      </c>
      <c r="I144" s="4">
        <f>_xlfn.XLOOKUP(tbLoja[[#This Row],[Cod_Produto]],tbProdutos[Cod_Produto],tbProdutos[Custo Unitário],0)</f>
        <v/>
      </c>
      <c r="J144">
        <f>_xlfn.XLOOKUP(tbLoja[[#This Row],[ID_Vendedor]],tbVendedores[ID_Vendedor],tbVendedores[Vendedor],"Não cadastrado")</f>
        <v/>
      </c>
      <c r="K144" s="4">
        <f>tbLoja[[#This Row],[Quantidade]]*tbLoja[[#This Row],[Preço Unitário]]</f>
        <v/>
      </c>
      <c r="L144" s="4">
        <f>tbLoja[[#This Row],[Faturamento]]-tbLoja[[#This Row],[Quantidade]]*tbLoja[[#This Row],[Custo Unitário]]</f>
        <v/>
      </c>
      <c r="M144">
        <f>MONTH(tbLoja[[#This Row],[Data]])</f>
        <v/>
      </c>
    </row>
    <row r="145">
      <c r="A145" t="inlineStr">
        <is>
          <t>L0144</t>
        </is>
      </c>
      <c r="B145" s="9" t="n">
        <v>46066</v>
      </c>
      <c r="C145" t="inlineStr">
        <is>
          <t>V01</t>
        </is>
      </c>
      <c r="D145" t="inlineStr">
        <is>
          <t>P007</t>
        </is>
      </c>
      <c r="E145" t="n">
        <v>1</v>
      </c>
      <c r="F145" s="4" t="n">
        <v>399</v>
      </c>
      <c r="G145">
        <f>_xlfn.XLOOKUP(tbLoja[[#This Row],[Cod_Produto]],tbProdutos[Cod_Produto],tbProdutos[Produto],"Não cadastrado")</f>
        <v/>
      </c>
      <c r="H145">
        <f>_xlfn.XLOOKUP(tbLoja[[#This Row],[Cod_Produto]],tbProdutos[Cod_Produto],tbProdutos[Categoria],"Não cadastrado")</f>
        <v/>
      </c>
      <c r="I145" s="4">
        <f>_xlfn.XLOOKUP(tbLoja[[#This Row],[Cod_Produto]],tbProdutos[Cod_Produto],tbProdutos[Custo Unitário],0)</f>
        <v/>
      </c>
      <c r="J145">
        <f>_xlfn.XLOOKUP(tbLoja[[#This Row],[ID_Vendedor]],tbVendedores[ID_Vendedor],tbVendedores[Vendedor],"Não cadastrado")</f>
        <v/>
      </c>
      <c r="K145" s="4">
        <f>tbLoja[[#This Row],[Quantidade]]*tbLoja[[#This Row],[Preço Unitário]]</f>
        <v/>
      </c>
      <c r="L145" s="4">
        <f>tbLoja[[#This Row],[Faturamento]]-tbLoja[[#This Row],[Quantidade]]*tbLoja[[#This Row],[Custo Unitário]]</f>
        <v/>
      </c>
      <c r="M145">
        <f>MONTH(tbLoja[[#This Row],[Data]])</f>
        <v/>
      </c>
    </row>
    <row r="146">
      <c r="A146" t="inlineStr">
        <is>
          <t>L0145</t>
        </is>
      </c>
      <c r="B146" s="9" t="n">
        <v>46066</v>
      </c>
      <c r="C146" t="inlineStr">
        <is>
          <t>V01</t>
        </is>
      </c>
      <c r="D146" t="inlineStr">
        <is>
          <t>P007</t>
        </is>
      </c>
      <c r="E146" t="n">
        <v>1</v>
      </c>
      <c r="F146" s="4" t="n">
        <v>399</v>
      </c>
      <c r="G146">
        <f>_xlfn.XLOOKUP(tbLoja[[#This Row],[Cod_Produto]],tbProdutos[Cod_Produto],tbProdutos[Produto],"Não cadastrado")</f>
        <v/>
      </c>
      <c r="H146">
        <f>_xlfn.XLOOKUP(tbLoja[[#This Row],[Cod_Produto]],tbProdutos[Cod_Produto],tbProdutos[Categoria],"Não cadastrado")</f>
        <v/>
      </c>
      <c r="I146" s="4">
        <f>_xlfn.XLOOKUP(tbLoja[[#This Row],[Cod_Produto]],tbProdutos[Cod_Produto],tbProdutos[Custo Unitário],0)</f>
        <v/>
      </c>
      <c r="J146">
        <f>_xlfn.XLOOKUP(tbLoja[[#This Row],[ID_Vendedor]],tbVendedores[ID_Vendedor],tbVendedores[Vendedor],"Não cadastrado")</f>
        <v/>
      </c>
      <c r="K146" s="4">
        <f>tbLoja[[#This Row],[Quantidade]]*tbLoja[[#This Row],[Preço Unitário]]</f>
        <v/>
      </c>
      <c r="L146" s="4">
        <f>tbLoja[[#This Row],[Faturamento]]-tbLoja[[#This Row],[Quantidade]]*tbLoja[[#This Row],[Custo Unitário]]</f>
        <v/>
      </c>
      <c r="M146">
        <f>MONTH(tbLoja[[#This Row],[Data]])</f>
        <v/>
      </c>
    </row>
    <row r="147">
      <c r="A147" t="inlineStr">
        <is>
          <t>L0146</t>
        </is>
      </c>
      <c r="B147" s="9" t="n">
        <v>46066</v>
      </c>
      <c r="C147" t="inlineStr">
        <is>
          <t>V02</t>
        </is>
      </c>
      <c r="D147" t="inlineStr">
        <is>
          <t>P007</t>
        </is>
      </c>
      <c r="E147" t="n">
        <v>2</v>
      </c>
      <c r="F147" s="4" t="n">
        <v>399</v>
      </c>
      <c r="G147">
        <f>_xlfn.XLOOKUP(tbLoja[[#This Row],[Cod_Produto]],tbProdutos[Cod_Produto],tbProdutos[Produto],"Não cadastrado")</f>
        <v/>
      </c>
      <c r="H147">
        <f>_xlfn.XLOOKUP(tbLoja[[#This Row],[Cod_Produto]],tbProdutos[Cod_Produto],tbProdutos[Categoria],"Não cadastrado")</f>
        <v/>
      </c>
      <c r="I147" s="4">
        <f>_xlfn.XLOOKUP(tbLoja[[#This Row],[Cod_Produto]],tbProdutos[Cod_Produto],tbProdutos[Custo Unitário],0)</f>
        <v/>
      </c>
      <c r="J147">
        <f>_xlfn.XLOOKUP(tbLoja[[#This Row],[ID_Vendedor]],tbVendedores[ID_Vendedor],tbVendedores[Vendedor],"Não cadastrado")</f>
        <v/>
      </c>
      <c r="K147" s="4">
        <f>tbLoja[[#This Row],[Quantidade]]*tbLoja[[#This Row],[Preço Unitário]]</f>
        <v/>
      </c>
      <c r="L147" s="4">
        <f>tbLoja[[#This Row],[Faturamento]]-tbLoja[[#This Row],[Quantidade]]*tbLoja[[#This Row],[Custo Unitário]]</f>
        <v/>
      </c>
      <c r="M147">
        <f>MONTH(tbLoja[[#This Row],[Data]])</f>
        <v/>
      </c>
    </row>
    <row r="148">
      <c r="A148" t="inlineStr">
        <is>
          <t>L0147</t>
        </is>
      </c>
      <c r="B148" s="9" t="n">
        <v>46066</v>
      </c>
      <c r="C148" t="inlineStr">
        <is>
          <t>V02</t>
        </is>
      </c>
      <c r="D148" t="inlineStr">
        <is>
          <t>P002</t>
        </is>
      </c>
      <c r="E148" t="n">
        <v>1</v>
      </c>
      <c r="F148" s="4" t="n">
        <v>3299</v>
      </c>
      <c r="G148">
        <f>_xlfn.XLOOKUP(tbLoja[[#This Row],[Cod_Produto]],tbProdutos[Cod_Produto],tbProdutos[Produto],"Não cadastrado")</f>
        <v/>
      </c>
      <c r="H148">
        <f>_xlfn.XLOOKUP(tbLoja[[#This Row],[Cod_Produto]],tbProdutos[Cod_Produto],tbProdutos[Categoria],"Não cadastrado")</f>
        <v/>
      </c>
      <c r="I148" s="4">
        <f>_xlfn.XLOOKUP(tbLoja[[#This Row],[Cod_Produto]],tbProdutos[Cod_Produto],tbProdutos[Custo Unitário],0)</f>
        <v/>
      </c>
      <c r="J148">
        <f>_xlfn.XLOOKUP(tbLoja[[#This Row],[ID_Vendedor]],tbVendedores[ID_Vendedor],tbVendedores[Vendedor],"Não cadastrado")</f>
        <v/>
      </c>
      <c r="K148" s="4">
        <f>tbLoja[[#This Row],[Quantidade]]*tbLoja[[#This Row],[Preço Unitário]]</f>
        <v/>
      </c>
      <c r="L148" s="4">
        <f>tbLoja[[#This Row],[Faturamento]]-tbLoja[[#This Row],[Quantidade]]*tbLoja[[#This Row],[Custo Unitário]]</f>
        <v/>
      </c>
      <c r="M148">
        <f>MONTH(tbLoja[[#This Row],[Data]])</f>
        <v/>
      </c>
    </row>
    <row r="149">
      <c r="A149" t="inlineStr">
        <is>
          <t>L0148</t>
        </is>
      </c>
      <c r="B149" s="9" t="n">
        <v>46067</v>
      </c>
      <c r="C149" t="inlineStr">
        <is>
          <t>V05</t>
        </is>
      </c>
      <c r="D149" t="inlineStr">
        <is>
          <t>P006</t>
        </is>
      </c>
      <c r="E149" t="n">
        <v>4</v>
      </c>
      <c r="F149" s="4" t="n">
        <v>119</v>
      </c>
      <c r="G149">
        <f>_xlfn.XLOOKUP(tbLoja[[#This Row],[Cod_Produto]],tbProdutos[Cod_Produto],tbProdutos[Produto],"Não cadastrado")</f>
        <v/>
      </c>
      <c r="H149">
        <f>_xlfn.XLOOKUP(tbLoja[[#This Row],[Cod_Produto]],tbProdutos[Cod_Produto],tbProdutos[Categoria],"Não cadastrado")</f>
        <v/>
      </c>
      <c r="I149" s="4">
        <f>_xlfn.XLOOKUP(tbLoja[[#This Row],[Cod_Produto]],tbProdutos[Cod_Produto],tbProdutos[Custo Unitário],0)</f>
        <v/>
      </c>
      <c r="J149">
        <f>_xlfn.XLOOKUP(tbLoja[[#This Row],[ID_Vendedor]],tbVendedores[ID_Vendedor],tbVendedores[Vendedor],"Não cadastrado")</f>
        <v/>
      </c>
      <c r="K149" s="4">
        <f>tbLoja[[#This Row],[Quantidade]]*tbLoja[[#This Row],[Preço Unitário]]</f>
        <v/>
      </c>
      <c r="L149" s="4">
        <f>tbLoja[[#This Row],[Faturamento]]-tbLoja[[#This Row],[Quantidade]]*tbLoja[[#This Row],[Custo Unitário]]</f>
        <v/>
      </c>
      <c r="M149">
        <f>MONTH(tbLoja[[#This Row],[Data]])</f>
        <v/>
      </c>
    </row>
    <row r="150">
      <c r="A150" t="inlineStr">
        <is>
          <t>L0149</t>
        </is>
      </c>
      <c r="B150" s="9" t="n">
        <v>46067</v>
      </c>
      <c r="C150" t="inlineStr">
        <is>
          <t>V04</t>
        </is>
      </c>
      <c r="D150" t="inlineStr">
        <is>
          <t>P005</t>
        </is>
      </c>
      <c r="E150" t="n">
        <v>4</v>
      </c>
      <c r="F150" s="4" t="n">
        <v>349</v>
      </c>
      <c r="G150">
        <f>_xlfn.XLOOKUP(tbLoja[[#This Row],[Cod_Produto]],tbProdutos[Cod_Produto],tbProdutos[Produto],"Não cadastrado")</f>
        <v/>
      </c>
      <c r="H150">
        <f>_xlfn.XLOOKUP(tbLoja[[#This Row],[Cod_Produto]],tbProdutos[Cod_Produto],tbProdutos[Categoria],"Não cadastrado")</f>
        <v/>
      </c>
      <c r="I150" s="4">
        <f>_xlfn.XLOOKUP(tbLoja[[#This Row],[Cod_Produto]],tbProdutos[Cod_Produto],tbProdutos[Custo Unitário],0)</f>
        <v/>
      </c>
      <c r="J150">
        <f>_xlfn.XLOOKUP(tbLoja[[#This Row],[ID_Vendedor]],tbVendedores[ID_Vendedor],tbVendedores[Vendedor],"Não cadastrado")</f>
        <v/>
      </c>
      <c r="K150" s="4">
        <f>tbLoja[[#This Row],[Quantidade]]*tbLoja[[#This Row],[Preço Unitário]]</f>
        <v/>
      </c>
      <c r="L150" s="4">
        <f>tbLoja[[#This Row],[Faturamento]]-tbLoja[[#This Row],[Quantidade]]*tbLoja[[#This Row],[Custo Unitário]]</f>
        <v/>
      </c>
      <c r="M150">
        <f>MONTH(tbLoja[[#This Row],[Data]])</f>
        <v/>
      </c>
    </row>
    <row r="151">
      <c r="A151" t="inlineStr">
        <is>
          <t>L0150</t>
        </is>
      </c>
      <c r="B151" s="9" t="n">
        <v>46067</v>
      </c>
      <c r="C151" t="inlineStr">
        <is>
          <t>V01</t>
        </is>
      </c>
      <c r="D151" t="inlineStr">
        <is>
          <t>P007</t>
        </is>
      </c>
      <c r="E151" t="n">
        <v>1</v>
      </c>
      <c r="F151" s="4" t="n">
        <v>399</v>
      </c>
      <c r="G151">
        <f>_xlfn.XLOOKUP(tbLoja[[#This Row],[Cod_Produto]],tbProdutos[Cod_Produto],tbProdutos[Produto],"Não cadastrado")</f>
        <v/>
      </c>
      <c r="H151">
        <f>_xlfn.XLOOKUP(tbLoja[[#This Row],[Cod_Produto]],tbProdutos[Cod_Produto],tbProdutos[Categoria],"Não cadastrado")</f>
        <v/>
      </c>
      <c r="I151" s="4">
        <f>_xlfn.XLOOKUP(tbLoja[[#This Row],[Cod_Produto]],tbProdutos[Cod_Produto],tbProdutos[Custo Unitário],0)</f>
        <v/>
      </c>
      <c r="J151">
        <f>_xlfn.XLOOKUP(tbLoja[[#This Row],[ID_Vendedor]],tbVendedores[ID_Vendedor],tbVendedores[Vendedor],"Não cadastrado")</f>
        <v/>
      </c>
      <c r="K151" s="4">
        <f>tbLoja[[#This Row],[Quantidade]]*tbLoja[[#This Row],[Preço Unitário]]</f>
        <v/>
      </c>
      <c r="L151" s="4">
        <f>tbLoja[[#This Row],[Faturamento]]-tbLoja[[#This Row],[Quantidade]]*tbLoja[[#This Row],[Custo Unitário]]</f>
        <v/>
      </c>
      <c r="M151">
        <f>MONTH(tbLoja[[#This Row],[Data]])</f>
        <v/>
      </c>
    </row>
    <row r="152">
      <c r="A152" t="inlineStr">
        <is>
          <t>L0151</t>
        </is>
      </c>
      <c r="B152" s="9" t="n">
        <v>46068</v>
      </c>
      <c r="C152" t="inlineStr">
        <is>
          <t>V02</t>
        </is>
      </c>
      <c r="D152" t="inlineStr">
        <is>
          <t>P010</t>
        </is>
      </c>
      <c r="E152" t="n">
        <v>1</v>
      </c>
      <c r="F152" s="4" t="n">
        <v>1299</v>
      </c>
      <c r="G152">
        <f>_xlfn.XLOOKUP(tbLoja[[#This Row],[Cod_Produto]],tbProdutos[Cod_Produto],tbProdutos[Produto],"Não cadastrado")</f>
        <v/>
      </c>
      <c r="H152">
        <f>_xlfn.XLOOKUP(tbLoja[[#This Row],[Cod_Produto]],tbProdutos[Cod_Produto],tbProdutos[Categoria],"Não cadastrado")</f>
        <v/>
      </c>
      <c r="I152" s="4">
        <f>_xlfn.XLOOKUP(tbLoja[[#This Row],[Cod_Produto]],tbProdutos[Cod_Produto],tbProdutos[Custo Unitário],0)</f>
        <v/>
      </c>
      <c r="J152">
        <f>_xlfn.XLOOKUP(tbLoja[[#This Row],[ID_Vendedor]],tbVendedores[ID_Vendedor],tbVendedores[Vendedor],"Não cadastrado")</f>
        <v/>
      </c>
      <c r="K152" s="4">
        <f>tbLoja[[#This Row],[Quantidade]]*tbLoja[[#This Row],[Preço Unitário]]</f>
        <v/>
      </c>
      <c r="L152" s="4">
        <f>tbLoja[[#This Row],[Faturamento]]-tbLoja[[#This Row],[Quantidade]]*tbLoja[[#This Row],[Custo Unitário]]</f>
        <v/>
      </c>
      <c r="M152">
        <f>MONTH(tbLoja[[#This Row],[Data]])</f>
        <v/>
      </c>
    </row>
    <row r="153">
      <c r="A153" t="inlineStr">
        <is>
          <t>L0152</t>
        </is>
      </c>
      <c r="B153" s="9" t="n">
        <v>46068</v>
      </c>
      <c r="C153" t="inlineStr">
        <is>
          <t>V04</t>
        </is>
      </c>
      <c r="D153" t="inlineStr">
        <is>
          <t>P007</t>
        </is>
      </c>
      <c r="E153" t="n">
        <v>1</v>
      </c>
      <c r="F153" s="4" t="n">
        <v>399</v>
      </c>
      <c r="G153">
        <f>_xlfn.XLOOKUP(tbLoja[[#This Row],[Cod_Produto]],tbProdutos[Cod_Produto],tbProdutos[Produto],"Não cadastrado")</f>
        <v/>
      </c>
      <c r="H153">
        <f>_xlfn.XLOOKUP(tbLoja[[#This Row],[Cod_Produto]],tbProdutos[Cod_Produto],tbProdutos[Categoria],"Não cadastrado")</f>
        <v/>
      </c>
      <c r="I153" s="4">
        <f>_xlfn.XLOOKUP(tbLoja[[#This Row],[Cod_Produto]],tbProdutos[Cod_Produto],tbProdutos[Custo Unitário],0)</f>
        <v/>
      </c>
      <c r="J153">
        <f>_xlfn.XLOOKUP(tbLoja[[#This Row],[ID_Vendedor]],tbVendedores[ID_Vendedor],tbVendedores[Vendedor],"Não cadastrado")</f>
        <v/>
      </c>
      <c r="K153" s="4">
        <f>tbLoja[[#This Row],[Quantidade]]*tbLoja[[#This Row],[Preço Unitário]]</f>
        <v/>
      </c>
      <c r="L153" s="4">
        <f>tbLoja[[#This Row],[Faturamento]]-tbLoja[[#This Row],[Quantidade]]*tbLoja[[#This Row],[Custo Unitário]]</f>
        <v/>
      </c>
      <c r="M153">
        <f>MONTH(tbLoja[[#This Row],[Data]])</f>
        <v/>
      </c>
    </row>
    <row r="154">
      <c r="A154" t="inlineStr">
        <is>
          <t>L0153</t>
        </is>
      </c>
      <c r="B154" s="9" t="n">
        <v>46069</v>
      </c>
      <c r="C154" t="inlineStr">
        <is>
          <t>V02</t>
        </is>
      </c>
      <c r="D154" t="inlineStr">
        <is>
          <t>P005</t>
        </is>
      </c>
      <c r="E154" t="n">
        <v>1</v>
      </c>
      <c r="F154" s="4" t="n">
        <v>349</v>
      </c>
      <c r="G154">
        <f>_xlfn.XLOOKUP(tbLoja[[#This Row],[Cod_Produto]],tbProdutos[Cod_Produto],tbProdutos[Produto],"Não cadastrado")</f>
        <v/>
      </c>
      <c r="H154">
        <f>_xlfn.XLOOKUP(tbLoja[[#This Row],[Cod_Produto]],tbProdutos[Cod_Produto],tbProdutos[Categoria],"Não cadastrado")</f>
        <v/>
      </c>
      <c r="I154" s="4">
        <f>_xlfn.XLOOKUP(tbLoja[[#This Row],[Cod_Produto]],tbProdutos[Cod_Produto],tbProdutos[Custo Unitário],0)</f>
        <v/>
      </c>
      <c r="J154">
        <f>_xlfn.XLOOKUP(tbLoja[[#This Row],[ID_Vendedor]],tbVendedores[ID_Vendedor],tbVendedores[Vendedor],"Não cadastrado")</f>
        <v/>
      </c>
      <c r="K154" s="4">
        <f>tbLoja[[#This Row],[Quantidade]]*tbLoja[[#This Row],[Preço Unitário]]</f>
        <v/>
      </c>
      <c r="L154" s="4">
        <f>tbLoja[[#This Row],[Faturamento]]-tbLoja[[#This Row],[Quantidade]]*tbLoja[[#This Row],[Custo Unitário]]</f>
        <v/>
      </c>
      <c r="M154">
        <f>MONTH(tbLoja[[#This Row],[Data]])</f>
        <v/>
      </c>
    </row>
    <row r="155">
      <c r="A155" t="inlineStr">
        <is>
          <t>L0154</t>
        </is>
      </c>
      <c r="B155" s="9" t="n">
        <v>46069</v>
      </c>
      <c r="C155" t="inlineStr">
        <is>
          <t>V05</t>
        </is>
      </c>
      <c r="D155" t="inlineStr">
        <is>
          <t>P002</t>
        </is>
      </c>
      <c r="E155" t="n">
        <v>1</v>
      </c>
      <c r="F155" s="4" t="n">
        <v>3299</v>
      </c>
      <c r="G155">
        <f>_xlfn.XLOOKUP(tbLoja[[#This Row],[Cod_Produto]],tbProdutos[Cod_Produto],tbProdutos[Produto],"Não cadastrado")</f>
        <v/>
      </c>
      <c r="H155">
        <f>_xlfn.XLOOKUP(tbLoja[[#This Row],[Cod_Produto]],tbProdutos[Cod_Produto],tbProdutos[Categoria],"Não cadastrado")</f>
        <v/>
      </c>
      <c r="I155" s="4">
        <f>_xlfn.XLOOKUP(tbLoja[[#This Row],[Cod_Produto]],tbProdutos[Cod_Produto],tbProdutos[Custo Unitário],0)</f>
        <v/>
      </c>
      <c r="J155">
        <f>_xlfn.XLOOKUP(tbLoja[[#This Row],[ID_Vendedor]],tbVendedores[ID_Vendedor],tbVendedores[Vendedor],"Não cadastrado")</f>
        <v/>
      </c>
      <c r="K155" s="4">
        <f>tbLoja[[#This Row],[Quantidade]]*tbLoja[[#This Row],[Preço Unitário]]</f>
        <v/>
      </c>
      <c r="L155" s="4">
        <f>tbLoja[[#This Row],[Faturamento]]-tbLoja[[#This Row],[Quantidade]]*tbLoja[[#This Row],[Custo Unitário]]</f>
        <v/>
      </c>
      <c r="M155">
        <f>MONTH(tbLoja[[#This Row],[Data]])</f>
        <v/>
      </c>
    </row>
    <row r="156">
      <c r="A156" t="inlineStr">
        <is>
          <t>L0155</t>
        </is>
      </c>
      <c r="B156" s="9" t="n">
        <v>46069</v>
      </c>
      <c r="C156" t="inlineStr">
        <is>
          <t>V06</t>
        </is>
      </c>
      <c r="D156" t="inlineStr">
        <is>
          <t>P001</t>
        </is>
      </c>
      <c r="E156" t="n">
        <v>1</v>
      </c>
      <c r="F156" s="4" t="n">
        <v>5899</v>
      </c>
      <c r="G156">
        <f>_xlfn.XLOOKUP(tbLoja[[#This Row],[Cod_Produto]],tbProdutos[Cod_Produto],tbProdutos[Produto],"Não cadastrado")</f>
        <v/>
      </c>
      <c r="H156">
        <f>_xlfn.XLOOKUP(tbLoja[[#This Row],[Cod_Produto]],tbProdutos[Cod_Produto],tbProdutos[Categoria],"Não cadastrado")</f>
        <v/>
      </c>
      <c r="I156" s="4">
        <f>_xlfn.XLOOKUP(tbLoja[[#This Row],[Cod_Produto]],tbProdutos[Cod_Produto],tbProdutos[Custo Unitário],0)</f>
        <v/>
      </c>
      <c r="J156">
        <f>_xlfn.XLOOKUP(tbLoja[[#This Row],[ID_Vendedor]],tbVendedores[ID_Vendedor],tbVendedores[Vendedor],"Não cadastrado")</f>
        <v/>
      </c>
      <c r="K156" s="4">
        <f>tbLoja[[#This Row],[Quantidade]]*tbLoja[[#This Row],[Preço Unitário]]</f>
        <v/>
      </c>
      <c r="L156" s="4">
        <f>tbLoja[[#This Row],[Faturamento]]-tbLoja[[#This Row],[Quantidade]]*tbLoja[[#This Row],[Custo Unitário]]</f>
        <v/>
      </c>
      <c r="M156">
        <f>MONTH(tbLoja[[#This Row],[Data]])</f>
        <v/>
      </c>
    </row>
    <row r="157">
      <c r="A157" t="inlineStr">
        <is>
          <t>L0156</t>
        </is>
      </c>
      <c r="B157" s="9" t="n">
        <v>46069</v>
      </c>
      <c r="C157" t="inlineStr">
        <is>
          <t>V02</t>
        </is>
      </c>
      <c r="D157" t="inlineStr">
        <is>
          <t>P004</t>
        </is>
      </c>
      <c r="E157" t="n">
        <v>4</v>
      </c>
      <c r="F157" s="4" t="n">
        <v>999</v>
      </c>
      <c r="G157">
        <f>_xlfn.XLOOKUP(tbLoja[[#This Row],[Cod_Produto]],tbProdutos[Cod_Produto],tbProdutos[Produto],"Não cadastrado")</f>
        <v/>
      </c>
      <c r="H157">
        <f>_xlfn.XLOOKUP(tbLoja[[#This Row],[Cod_Produto]],tbProdutos[Cod_Produto],tbProdutos[Categoria],"Não cadastrado")</f>
        <v/>
      </c>
      <c r="I157" s="4">
        <f>_xlfn.XLOOKUP(tbLoja[[#This Row],[Cod_Produto]],tbProdutos[Cod_Produto],tbProdutos[Custo Unitário],0)</f>
        <v/>
      </c>
      <c r="J157">
        <f>_xlfn.XLOOKUP(tbLoja[[#This Row],[ID_Vendedor]],tbVendedores[ID_Vendedor],tbVendedores[Vendedor],"Não cadastrado")</f>
        <v/>
      </c>
      <c r="K157" s="4">
        <f>tbLoja[[#This Row],[Quantidade]]*tbLoja[[#This Row],[Preço Unitário]]</f>
        <v/>
      </c>
      <c r="L157" s="4">
        <f>tbLoja[[#This Row],[Faturamento]]-tbLoja[[#This Row],[Quantidade]]*tbLoja[[#This Row],[Custo Unitário]]</f>
        <v/>
      </c>
      <c r="M157">
        <f>MONTH(tbLoja[[#This Row],[Data]])</f>
        <v/>
      </c>
    </row>
    <row r="158">
      <c r="A158" t="inlineStr">
        <is>
          <t>L0157</t>
        </is>
      </c>
      <c r="B158" s="9" t="n">
        <v>46069</v>
      </c>
      <c r="C158" t="inlineStr">
        <is>
          <t>V02</t>
        </is>
      </c>
      <c r="D158" t="inlineStr">
        <is>
          <t>P001</t>
        </is>
      </c>
      <c r="E158" t="n">
        <v>2</v>
      </c>
      <c r="F158" s="4" t="n">
        <v>5899</v>
      </c>
      <c r="G158">
        <f>_xlfn.XLOOKUP(tbLoja[[#This Row],[Cod_Produto]],tbProdutos[Cod_Produto],tbProdutos[Produto],"Não cadastrado")</f>
        <v/>
      </c>
      <c r="H158">
        <f>_xlfn.XLOOKUP(tbLoja[[#This Row],[Cod_Produto]],tbProdutos[Cod_Produto],tbProdutos[Categoria],"Não cadastrado")</f>
        <v/>
      </c>
      <c r="I158" s="4">
        <f>_xlfn.XLOOKUP(tbLoja[[#This Row],[Cod_Produto]],tbProdutos[Cod_Produto],tbProdutos[Custo Unitário],0)</f>
        <v/>
      </c>
      <c r="J158">
        <f>_xlfn.XLOOKUP(tbLoja[[#This Row],[ID_Vendedor]],tbVendedores[ID_Vendedor],tbVendedores[Vendedor],"Não cadastrado")</f>
        <v/>
      </c>
      <c r="K158" s="4">
        <f>tbLoja[[#This Row],[Quantidade]]*tbLoja[[#This Row],[Preço Unitário]]</f>
        <v/>
      </c>
      <c r="L158" s="4">
        <f>tbLoja[[#This Row],[Faturamento]]-tbLoja[[#This Row],[Quantidade]]*tbLoja[[#This Row],[Custo Unitário]]</f>
        <v/>
      </c>
      <c r="M158">
        <f>MONTH(tbLoja[[#This Row],[Data]])</f>
        <v/>
      </c>
    </row>
    <row r="159">
      <c r="A159" t="inlineStr">
        <is>
          <t>L0158</t>
        </is>
      </c>
      <c r="B159" s="9" t="n">
        <v>46070</v>
      </c>
      <c r="C159" t="inlineStr">
        <is>
          <t>V03</t>
        </is>
      </c>
      <c r="D159" t="inlineStr">
        <is>
          <t>P002</t>
        </is>
      </c>
      <c r="E159" t="n">
        <v>1</v>
      </c>
      <c r="F159" s="4" t="n">
        <v>3299</v>
      </c>
      <c r="G159">
        <f>_xlfn.XLOOKUP(tbLoja[[#This Row],[Cod_Produto]],tbProdutos[Cod_Produto],tbProdutos[Produto],"Não cadastrado")</f>
        <v/>
      </c>
      <c r="H159">
        <f>_xlfn.XLOOKUP(tbLoja[[#This Row],[Cod_Produto]],tbProdutos[Cod_Produto],tbProdutos[Categoria],"Não cadastrado")</f>
        <v/>
      </c>
      <c r="I159" s="4">
        <f>_xlfn.XLOOKUP(tbLoja[[#This Row],[Cod_Produto]],tbProdutos[Cod_Produto],tbProdutos[Custo Unitário],0)</f>
        <v/>
      </c>
      <c r="J159">
        <f>_xlfn.XLOOKUP(tbLoja[[#This Row],[ID_Vendedor]],tbVendedores[ID_Vendedor],tbVendedores[Vendedor],"Não cadastrado")</f>
        <v/>
      </c>
      <c r="K159" s="4">
        <f>tbLoja[[#This Row],[Quantidade]]*tbLoja[[#This Row],[Preço Unitário]]</f>
        <v/>
      </c>
      <c r="L159" s="4">
        <f>tbLoja[[#This Row],[Faturamento]]-tbLoja[[#This Row],[Quantidade]]*tbLoja[[#This Row],[Custo Unitário]]</f>
        <v/>
      </c>
      <c r="M159">
        <f>MONTH(tbLoja[[#This Row],[Data]])</f>
        <v/>
      </c>
    </row>
    <row r="160">
      <c r="A160" t="inlineStr">
        <is>
          <t>L0159</t>
        </is>
      </c>
      <c r="B160" s="9" t="n">
        <v>46071</v>
      </c>
      <c r="C160" t="inlineStr">
        <is>
          <t>V04</t>
        </is>
      </c>
      <c r="D160" t="inlineStr">
        <is>
          <t>P004</t>
        </is>
      </c>
      <c r="E160" t="n">
        <v>1</v>
      </c>
      <c r="F160" s="4" t="n">
        <v>999</v>
      </c>
      <c r="G160">
        <f>_xlfn.XLOOKUP(tbLoja[[#This Row],[Cod_Produto]],tbProdutos[Cod_Produto],tbProdutos[Produto],"Não cadastrado")</f>
        <v/>
      </c>
      <c r="H160">
        <f>_xlfn.XLOOKUP(tbLoja[[#This Row],[Cod_Produto]],tbProdutos[Cod_Produto],tbProdutos[Categoria],"Não cadastrado")</f>
        <v/>
      </c>
      <c r="I160" s="4">
        <f>_xlfn.XLOOKUP(tbLoja[[#This Row],[Cod_Produto]],tbProdutos[Cod_Produto],tbProdutos[Custo Unitário],0)</f>
        <v/>
      </c>
      <c r="J160">
        <f>_xlfn.XLOOKUP(tbLoja[[#This Row],[ID_Vendedor]],tbVendedores[ID_Vendedor],tbVendedores[Vendedor],"Não cadastrado")</f>
        <v/>
      </c>
      <c r="K160" s="4">
        <f>tbLoja[[#This Row],[Quantidade]]*tbLoja[[#This Row],[Preço Unitário]]</f>
        <v/>
      </c>
      <c r="L160" s="4">
        <f>tbLoja[[#This Row],[Faturamento]]-tbLoja[[#This Row],[Quantidade]]*tbLoja[[#This Row],[Custo Unitário]]</f>
        <v/>
      </c>
      <c r="M160">
        <f>MONTH(tbLoja[[#This Row],[Data]])</f>
        <v/>
      </c>
    </row>
    <row r="161">
      <c r="A161" t="inlineStr">
        <is>
          <t>L0160</t>
        </is>
      </c>
      <c r="B161" s="9" t="n">
        <v>46071</v>
      </c>
      <c r="C161" t="inlineStr">
        <is>
          <t>V04</t>
        </is>
      </c>
      <c r="D161" t="inlineStr">
        <is>
          <t>P006</t>
        </is>
      </c>
      <c r="E161" t="n">
        <v>4</v>
      </c>
      <c r="F161" s="4" t="n">
        <v>119</v>
      </c>
      <c r="G161">
        <f>_xlfn.XLOOKUP(tbLoja[[#This Row],[Cod_Produto]],tbProdutos[Cod_Produto],tbProdutos[Produto],"Não cadastrado")</f>
        <v/>
      </c>
      <c r="H161">
        <f>_xlfn.XLOOKUP(tbLoja[[#This Row],[Cod_Produto]],tbProdutos[Cod_Produto],tbProdutos[Categoria],"Não cadastrado")</f>
        <v/>
      </c>
      <c r="I161" s="4">
        <f>_xlfn.XLOOKUP(tbLoja[[#This Row],[Cod_Produto]],tbProdutos[Cod_Produto],tbProdutos[Custo Unitário],0)</f>
        <v/>
      </c>
      <c r="J161">
        <f>_xlfn.XLOOKUP(tbLoja[[#This Row],[ID_Vendedor]],tbVendedores[ID_Vendedor],tbVendedores[Vendedor],"Não cadastrado")</f>
        <v/>
      </c>
      <c r="K161" s="4">
        <f>tbLoja[[#This Row],[Quantidade]]*tbLoja[[#This Row],[Preço Unitário]]</f>
        <v/>
      </c>
      <c r="L161" s="4">
        <f>tbLoja[[#This Row],[Faturamento]]-tbLoja[[#This Row],[Quantidade]]*tbLoja[[#This Row],[Custo Unitário]]</f>
        <v/>
      </c>
      <c r="M161">
        <f>MONTH(tbLoja[[#This Row],[Data]])</f>
        <v/>
      </c>
    </row>
    <row r="162">
      <c r="A162" t="inlineStr">
        <is>
          <t>L0161</t>
        </is>
      </c>
      <c r="B162" s="9" t="n">
        <v>46071</v>
      </c>
      <c r="C162" t="inlineStr">
        <is>
          <t>V06</t>
        </is>
      </c>
      <c r="D162" t="inlineStr">
        <is>
          <t>P004</t>
        </is>
      </c>
      <c r="E162" t="n">
        <v>3</v>
      </c>
      <c r="F162" s="4" t="n">
        <v>999</v>
      </c>
      <c r="G162">
        <f>_xlfn.XLOOKUP(tbLoja[[#This Row],[Cod_Produto]],tbProdutos[Cod_Produto],tbProdutos[Produto],"Não cadastrado")</f>
        <v/>
      </c>
      <c r="H162">
        <f>_xlfn.XLOOKUP(tbLoja[[#This Row],[Cod_Produto]],tbProdutos[Cod_Produto],tbProdutos[Categoria],"Não cadastrado")</f>
        <v/>
      </c>
      <c r="I162" s="4">
        <f>_xlfn.XLOOKUP(tbLoja[[#This Row],[Cod_Produto]],tbProdutos[Cod_Produto],tbProdutos[Custo Unitário],0)</f>
        <v/>
      </c>
      <c r="J162">
        <f>_xlfn.XLOOKUP(tbLoja[[#This Row],[ID_Vendedor]],tbVendedores[ID_Vendedor],tbVendedores[Vendedor],"Não cadastrado")</f>
        <v/>
      </c>
      <c r="K162" s="4">
        <f>tbLoja[[#This Row],[Quantidade]]*tbLoja[[#This Row],[Preço Unitário]]</f>
        <v/>
      </c>
      <c r="L162" s="4">
        <f>tbLoja[[#This Row],[Faturamento]]-tbLoja[[#This Row],[Quantidade]]*tbLoja[[#This Row],[Custo Unitário]]</f>
        <v/>
      </c>
      <c r="M162">
        <f>MONTH(tbLoja[[#This Row],[Data]])</f>
        <v/>
      </c>
    </row>
    <row r="163">
      <c r="A163" t="inlineStr">
        <is>
          <t>L0162</t>
        </is>
      </c>
      <c r="B163" s="9" t="n">
        <v>46071</v>
      </c>
      <c r="C163" t="inlineStr">
        <is>
          <t>V05</t>
        </is>
      </c>
      <c r="D163" t="inlineStr">
        <is>
          <t>P005</t>
        </is>
      </c>
      <c r="E163" t="n">
        <v>3</v>
      </c>
      <c r="F163" s="4" t="n">
        <v>349</v>
      </c>
      <c r="G163">
        <f>_xlfn.XLOOKUP(tbLoja[[#This Row],[Cod_Produto]],tbProdutos[Cod_Produto],tbProdutos[Produto],"Não cadastrado")</f>
        <v/>
      </c>
      <c r="H163">
        <f>_xlfn.XLOOKUP(tbLoja[[#This Row],[Cod_Produto]],tbProdutos[Cod_Produto],tbProdutos[Categoria],"Não cadastrado")</f>
        <v/>
      </c>
      <c r="I163" s="4">
        <f>_xlfn.XLOOKUP(tbLoja[[#This Row],[Cod_Produto]],tbProdutos[Cod_Produto],tbProdutos[Custo Unitário],0)</f>
        <v/>
      </c>
      <c r="J163">
        <f>_xlfn.XLOOKUP(tbLoja[[#This Row],[ID_Vendedor]],tbVendedores[ID_Vendedor],tbVendedores[Vendedor],"Não cadastrado")</f>
        <v/>
      </c>
      <c r="K163" s="4">
        <f>tbLoja[[#This Row],[Quantidade]]*tbLoja[[#This Row],[Preço Unitário]]</f>
        <v/>
      </c>
      <c r="L163" s="4">
        <f>tbLoja[[#This Row],[Faturamento]]-tbLoja[[#This Row],[Quantidade]]*tbLoja[[#This Row],[Custo Unitário]]</f>
        <v/>
      </c>
      <c r="M163">
        <f>MONTH(tbLoja[[#This Row],[Data]])</f>
        <v/>
      </c>
    </row>
    <row r="164">
      <c r="A164" t="inlineStr">
        <is>
          <t>L0163</t>
        </is>
      </c>
      <c r="B164" s="9" t="n">
        <v>46071</v>
      </c>
      <c r="C164" t="inlineStr">
        <is>
          <t>V02</t>
        </is>
      </c>
      <c r="D164" t="inlineStr">
        <is>
          <t>P006</t>
        </is>
      </c>
      <c r="E164" t="n">
        <v>4</v>
      </c>
      <c r="F164" s="4" t="n">
        <v>119</v>
      </c>
      <c r="G164">
        <f>_xlfn.XLOOKUP(tbLoja[[#This Row],[Cod_Produto]],tbProdutos[Cod_Produto],tbProdutos[Produto],"Não cadastrado")</f>
        <v/>
      </c>
      <c r="H164">
        <f>_xlfn.XLOOKUP(tbLoja[[#This Row],[Cod_Produto]],tbProdutos[Cod_Produto],tbProdutos[Categoria],"Não cadastrado")</f>
        <v/>
      </c>
      <c r="I164" s="4">
        <f>_xlfn.XLOOKUP(tbLoja[[#This Row],[Cod_Produto]],tbProdutos[Cod_Produto],tbProdutos[Custo Unitário],0)</f>
        <v/>
      </c>
      <c r="J164">
        <f>_xlfn.XLOOKUP(tbLoja[[#This Row],[ID_Vendedor]],tbVendedores[ID_Vendedor],tbVendedores[Vendedor],"Não cadastrado")</f>
        <v/>
      </c>
      <c r="K164" s="4">
        <f>tbLoja[[#This Row],[Quantidade]]*tbLoja[[#This Row],[Preço Unitário]]</f>
        <v/>
      </c>
      <c r="L164" s="4">
        <f>tbLoja[[#This Row],[Faturamento]]-tbLoja[[#This Row],[Quantidade]]*tbLoja[[#This Row],[Custo Unitário]]</f>
        <v/>
      </c>
      <c r="M164">
        <f>MONTH(tbLoja[[#This Row],[Data]])</f>
        <v/>
      </c>
    </row>
    <row r="165">
      <c r="A165" t="inlineStr">
        <is>
          <t>L0164</t>
        </is>
      </c>
      <c r="B165" s="9" t="n">
        <v>46072</v>
      </c>
      <c r="C165" t="inlineStr">
        <is>
          <t>V04</t>
        </is>
      </c>
      <c r="D165" t="inlineStr">
        <is>
          <t>P004</t>
        </is>
      </c>
      <c r="E165" t="n">
        <v>1</v>
      </c>
      <c r="F165" s="4" t="n">
        <v>999</v>
      </c>
      <c r="G165">
        <f>_xlfn.XLOOKUP(tbLoja[[#This Row],[Cod_Produto]],tbProdutos[Cod_Produto],tbProdutos[Produto],"Não cadastrado")</f>
        <v/>
      </c>
      <c r="H165">
        <f>_xlfn.XLOOKUP(tbLoja[[#This Row],[Cod_Produto]],tbProdutos[Cod_Produto],tbProdutos[Categoria],"Não cadastrado")</f>
        <v/>
      </c>
      <c r="I165" s="4">
        <f>_xlfn.XLOOKUP(tbLoja[[#This Row],[Cod_Produto]],tbProdutos[Cod_Produto],tbProdutos[Custo Unitário],0)</f>
        <v/>
      </c>
      <c r="J165">
        <f>_xlfn.XLOOKUP(tbLoja[[#This Row],[ID_Vendedor]],tbVendedores[ID_Vendedor],tbVendedores[Vendedor],"Não cadastrado")</f>
        <v/>
      </c>
      <c r="K165" s="4">
        <f>tbLoja[[#This Row],[Quantidade]]*tbLoja[[#This Row],[Preço Unitário]]</f>
        <v/>
      </c>
      <c r="L165" s="4">
        <f>tbLoja[[#This Row],[Faturamento]]-tbLoja[[#This Row],[Quantidade]]*tbLoja[[#This Row],[Custo Unitário]]</f>
        <v/>
      </c>
      <c r="M165">
        <f>MONTH(tbLoja[[#This Row],[Data]])</f>
        <v/>
      </c>
    </row>
    <row r="166">
      <c r="A166" t="inlineStr">
        <is>
          <t>L0165</t>
        </is>
      </c>
      <c r="B166" s="9" t="n">
        <v>46073</v>
      </c>
      <c r="C166" t="inlineStr">
        <is>
          <t>V06</t>
        </is>
      </c>
      <c r="D166" t="inlineStr">
        <is>
          <t>P007</t>
        </is>
      </c>
      <c r="E166" t="n">
        <v>1</v>
      </c>
      <c r="F166" s="4" t="n">
        <v>399</v>
      </c>
      <c r="G166">
        <f>_xlfn.XLOOKUP(tbLoja[[#This Row],[Cod_Produto]],tbProdutos[Cod_Produto],tbProdutos[Produto],"Não cadastrado")</f>
        <v/>
      </c>
      <c r="H166">
        <f>_xlfn.XLOOKUP(tbLoja[[#This Row],[Cod_Produto]],tbProdutos[Cod_Produto],tbProdutos[Categoria],"Não cadastrado")</f>
        <v/>
      </c>
      <c r="I166" s="4">
        <f>_xlfn.XLOOKUP(tbLoja[[#This Row],[Cod_Produto]],tbProdutos[Cod_Produto],tbProdutos[Custo Unitário],0)</f>
        <v/>
      </c>
      <c r="J166">
        <f>_xlfn.XLOOKUP(tbLoja[[#This Row],[ID_Vendedor]],tbVendedores[ID_Vendedor],tbVendedores[Vendedor],"Não cadastrado")</f>
        <v/>
      </c>
      <c r="K166" s="4">
        <f>tbLoja[[#This Row],[Quantidade]]*tbLoja[[#This Row],[Preço Unitário]]</f>
        <v/>
      </c>
      <c r="L166" s="4">
        <f>tbLoja[[#This Row],[Faturamento]]-tbLoja[[#This Row],[Quantidade]]*tbLoja[[#This Row],[Custo Unitário]]</f>
        <v/>
      </c>
      <c r="M166">
        <f>MONTH(tbLoja[[#This Row],[Data]])</f>
        <v/>
      </c>
    </row>
    <row r="167">
      <c r="A167" t="inlineStr">
        <is>
          <t>L0166</t>
        </is>
      </c>
      <c r="B167" s="9" t="n">
        <v>46074</v>
      </c>
      <c r="C167" t="inlineStr">
        <is>
          <t>V04</t>
        </is>
      </c>
      <c r="D167" t="inlineStr">
        <is>
          <t>P005</t>
        </is>
      </c>
      <c r="E167" t="n">
        <v>1</v>
      </c>
      <c r="F167" s="4" t="n">
        <v>349</v>
      </c>
      <c r="G167">
        <f>_xlfn.XLOOKUP(tbLoja[[#This Row],[Cod_Produto]],tbProdutos[Cod_Produto],tbProdutos[Produto],"Não cadastrado")</f>
        <v/>
      </c>
      <c r="H167">
        <f>_xlfn.XLOOKUP(tbLoja[[#This Row],[Cod_Produto]],tbProdutos[Cod_Produto],tbProdutos[Categoria],"Não cadastrado")</f>
        <v/>
      </c>
      <c r="I167" s="4">
        <f>_xlfn.XLOOKUP(tbLoja[[#This Row],[Cod_Produto]],tbProdutos[Cod_Produto],tbProdutos[Custo Unitário],0)</f>
        <v/>
      </c>
      <c r="J167">
        <f>_xlfn.XLOOKUP(tbLoja[[#This Row],[ID_Vendedor]],tbVendedores[ID_Vendedor],tbVendedores[Vendedor],"Não cadastrado")</f>
        <v/>
      </c>
      <c r="K167" s="4">
        <f>tbLoja[[#This Row],[Quantidade]]*tbLoja[[#This Row],[Preço Unitário]]</f>
        <v/>
      </c>
      <c r="L167" s="4">
        <f>tbLoja[[#This Row],[Faturamento]]-tbLoja[[#This Row],[Quantidade]]*tbLoja[[#This Row],[Custo Unitário]]</f>
        <v/>
      </c>
      <c r="M167">
        <f>MONTH(tbLoja[[#This Row],[Data]])</f>
        <v/>
      </c>
    </row>
    <row r="168">
      <c r="A168" t="inlineStr">
        <is>
          <t>L0167</t>
        </is>
      </c>
      <c r="B168" s="9" t="n">
        <v>46074</v>
      </c>
      <c r="C168" t="inlineStr">
        <is>
          <t>V06</t>
        </is>
      </c>
      <c r="D168" t="inlineStr">
        <is>
          <t>P010</t>
        </is>
      </c>
      <c r="E168" t="n">
        <v>1</v>
      </c>
      <c r="F168" s="4" t="n">
        <v>1299</v>
      </c>
      <c r="G168">
        <f>_xlfn.XLOOKUP(tbLoja[[#This Row],[Cod_Produto]],tbProdutos[Cod_Produto],tbProdutos[Produto],"Não cadastrado")</f>
        <v/>
      </c>
      <c r="H168">
        <f>_xlfn.XLOOKUP(tbLoja[[#This Row],[Cod_Produto]],tbProdutos[Cod_Produto],tbProdutos[Categoria],"Não cadastrado")</f>
        <v/>
      </c>
      <c r="I168" s="4">
        <f>_xlfn.XLOOKUP(tbLoja[[#This Row],[Cod_Produto]],tbProdutos[Cod_Produto],tbProdutos[Custo Unitário],0)</f>
        <v/>
      </c>
      <c r="J168">
        <f>_xlfn.XLOOKUP(tbLoja[[#This Row],[ID_Vendedor]],tbVendedores[ID_Vendedor],tbVendedores[Vendedor],"Não cadastrado")</f>
        <v/>
      </c>
      <c r="K168" s="4">
        <f>tbLoja[[#This Row],[Quantidade]]*tbLoja[[#This Row],[Preço Unitário]]</f>
        <v/>
      </c>
      <c r="L168" s="4">
        <f>tbLoja[[#This Row],[Faturamento]]-tbLoja[[#This Row],[Quantidade]]*tbLoja[[#This Row],[Custo Unitário]]</f>
        <v/>
      </c>
      <c r="M168">
        <f>MONTH(tbLoja[[#This Row],[Data]])</f>
        <v/>
      </c>
    </row>
    <row r="169">
      <c r="A169" t="inlineStr">
        <is>
          <t>L0168</t>
        </is>
      </c>
      <c r="B169" s="9" t="n">
        <v>46075</v>
      </c>
      <c r="C169" t="inlineStr">
        <is>
          <t>V05</t>
        </is>
      </c>
      <c r="D169" t="inlineStr">
        <is>
          <t>P004</t>
        </is>
      </c>
      <c r="E169" t="n">
        <v>1</v>
      </c>
      <c r="F169" s="4" t="n">
        <v>999</v>
      </c>
      <c r="G169">
        <f>_xlfn.XLOOKUP(tbLoja[[#This Row],[Cod_Produto]],tbProdutos[Cod_Produto],tbProdutos[Produto],"Não cadastrado")</f>
        <v/>
      </c>
      <c r="H169">
        <f>_xlfn.XLOOKUP(tbLoja[[#This Row],[Cod_Produto]],tbProdutos[Cod_Produto],tbProdutos[Categoria],"Não cadastrado")</f>
        <v/>
      </c>
      <c r="I169" s="4">
        <f>_xlfn.XLOOKUP(tbLoja[[#This Row],[Cod_Produto]],tbProdutos[Cod_Produto],tbProdutos[Custo Unitário],0)</f>
        <v/>
      </c>
      <c r="J169">
        <f>_xlfn.XLOOKUP(tbLoja[[#This Row],[ID_Vendedor]],tbVendedores[ID_Vendedor],tbVendedores[Vendedor],"Não cadastrado")</f>
        <v/>
      </c>
      <c r="K169" s="4">
        <f>tbLoja[[#This Row],[Quantidade]]*tbLoja[[#This Row],[Preço Unitário]]</f>
        <v/>
      </c>
      <c r="L169" s="4">
        <f>tbLoja[[#This Row],[Faturamento]]-tbLoja[[#This Row],[Quantidade]]*tbLoja[[#This Row],[Custo Unitário]]</f>
        <v/>
      </c>
      <c r="M169">
        <f>MONTH(tbLoja[[#This Row],[Data]])</f>
        <v/>
      </c>
    </row>
    <row r="170">
      <c r="A170" t="inlineStr">
        <is>
          <t>L0169</t>
        </is>
      </c>
      <c r="B170" s="9" t="n">
        <v>46075</v>
      </c>
      <c r="C170" t="inlineStr">
        <is>
          <t>V06</t>
        </is>
      </c>
      <c r="D170" t="inlineStr">
        <is>
          <t>P003</t>
        </is>
      </c>
      <c r="E170" t="n">
        <v>3</v>
      </c>
      <c r="F170" s="4" t="n">
        <v>1599</v>
      </c>
      <c r="G170">
        <f>_xlfn.XLOOKUP(tbLoja[[#This Row],[Cod_Produto]],tbProdutos[Cod_Produto],tbProdutos[Produto],"Não cadastrado")</f>
        <v/>
      </c>
      <c r="H170">
        <f>_xlfn.XLOOKUP(tbLoja[[#This Row],[Cod_Produto]],tbProdutos[Cod_Produto],tbProdutos[Categoria],"Não cadastrado")</f>
        <v/>
      </c>
      <c r="I170" s="4">
        <f>_xlfn.XLOOKUP(tbLoja[[#This Row],[Cod_Produto]],tbProdutos[Cod_Produto],tbProdutos[Custo Unitário],0)</f>
        <v/>
      </c>
      <c r="J170">
        <f>_xlfn.XLOOKUP(tbLoja[[#This Row],[ID_Vendedor]],tbVendedores[ID_Vendedor],tbVendedores[Vendedor],"Não cadastrado")</f>
        <v/>
      </c>
      <c r="K170" s="4">
        <f>tbLoja[[#This Row],[Quantidade]]*tbLoja[[#This Row],[Preço Unitário]]</f>
        <v/>
      </c>
      <c r="L170" s="4">
        <f>tbLoja[[#This Row],[Faturamento]]-tbLoja[[#This Row],[Quantidade]]*tbLoja[[#This Row],[Custo Unitário]]</f>
        <v/>
      </c>
      <c r="M170">
        <f>MONTH(tbLoja[[#This Row],[Data]])</f>
        <v/>
      </c>
    </row>
    <row r="171">
      <c r="A171" t="inlineStr">
        <is>
          <t>L0170</t>
        </is>
      </c>
      <c r="B171" s="9" t="n">
        <v>46075</v>
      </c>
      <c r="C171" t="inlineStr">
        <is>
          <t>V01</t>
        </is>
      </c>
      <c r="D171" t="inlineStr">
        <is>
          <t>P003</t>
        </is>
      </c>
      <c r="E171" t="n">
        <v>4</v>
      </c>
      <c r="F171" s="4" t="n">
        <v>1599</v>
      </c>
      <c r="G171">
        <f>_xlfn.XLOOKUP(tbLoja[[#This Row],[Cod_Produto]],tbProdutos[Cod_Produto],tbProdutos[Produto],"Não cadastrado")</f>
        <v/>
      </c>
      <c r="H171">
        <f>_xlfn.XLOOKUP(tbLoja[[#This Row],[Cod_Produto]],tbProdutos[Cod_Produto],tbProdutos[Categoria],"Não cadastrado")</f>
        <v/>
      </c>
      <c r="I171" s="4">
        <f>_xlfn.XLOOKUP(tbLoja[[#This Row],[Cod_Produto]],tbProdutos[Cod_Produto],tbProdutos[Custo Unitário],0)</f>
        <v/>
      </c>
      <c r="J171">
        <f>_xlfn.XLOOKUP(tbLoja[[#This Row],[ID_Vendedor]],tbVendedores[ID_Vendedor],tbVendedores[Vendedor],"Não cadastrado")</f>
        <v/>
      </c>
      <c r="K171" s="4">
        <f>tbLoja[[#This Row],[Quantidade]]*tbLoja[[#This Row],[Preço Unitário]]</f>
        <v/>
      </c>
      <c r="L171" s="4">
        <f>tbLoja[[#This Row],[Faturamento]]-tbLoja[[#This Row],[Quantidade]]*tbLoja[[#This Row],[Custo Unitário]]</f>
        <v/>
      </c>
      <c r="M171">
        <f>MONTH(tbLoja[[#This Row],[Data]])</f>
        <v/>
      </c>
    </row>
    <row r="172">
      <c r="A172" t="inlineStr">
        <is>
          <t>L0171</t>
        </is>
      </c>
      <c r="B172" s="9" t="n">
        <v>46075</v>
      </c>
      <c r="C172" t="inlineStr">
        <is>
          <t>V05</t>
        </is>
      </c>
      <c r="D172" t="inlineStr">
        <is>
          <t>P001</t>
        </is>
      </c>
      <c r="E172" t="n">
        <v>1</v>
      </c>
      <c r="F172" s="4" t="n">
        <v>5899</v>
      </c>
      <c r="G172">
        <f>_xlfn.XLOOKUP(tbLoja[[#This Row],[Cod_Produto]],tbProdutos[Cod_Produto],tbProdutos[Produto],"Não cadastrado")</f>
        <v/>
      </c>
      <c r="H172">
        <f>_xlfn.XLOOKUP(tbLoja[[#This Row],[Cod_Produto]],tbProdutos[Cod_Produto],tbProdutos[Categoria],"Não cadastrado")</f>
        <v/>
      </c>
      <c r="I172" s="4">
        <f>_xlfn.XLOOKUP(tbLoja[[#This Row],[Cod_Produto]],tbProdutos[Cod_Produto],tbProdutos[Custo Unitário],0)</f>
        <v/>
      </c>
      <c r="J172">
        <f>_xlfn.XLOOKUP(tbLoja[[#This Row],[ID_Vendedor]],tbVendedores[ID_Vendedor],tbVendedores[Vendedor],"Não cadastrado")</f>
        <v/>
      </c>
      <c r="K172" s="4">
        <f>tbLoja[[#This Row],[Quantidade]]*tbLoja[[#This Row],[Preço Unitário]]</f>
        <v/>
      </c>
      <c r="L172" s="4">
        <f>tbLoja[[#This Row],[Faturamento]]-tbLoja[[#This Row],[Quantidade]]*tbLoja[[#This Row],[Custo Unitário]]</f>
        <v/>
      </c>
      <c r="M172">
        <f>MONTH(tbLoja[[#This Row],[Data]])</f>
        <v/>
      </c>
    </row>
    <row r="173">
      <c r="A173" t="inlineStr">
        <is>
          <t>L0172</t>
        </is>
      </c>
      <c r="B173" s="9" t="n">
        <v>46076</v>
      </c>
      <c r="C173" t="inlineStr">
        <is>
          <t>V04</t>
        </is>
      </c>
      <c r="D173" t="inlineStr">
        <is>
          <t>P007</t>
        </is>
      </c>
      <c r="E173" t="n">
        <v>3</v>
      </c>
      <c r="F173" s="4" t="n">
        <v>399</v>
      </c>
      <c r="G173">
        <f>_xlfn.XLOOKUP(tbLoja[[#This Row],[Cod_Produto]],tbProdutos[Cod_Produto],tbProdutos[Produto],"Não cadastrado")</f>
        <v/>
      </c>
      <c r="H173">
        <f>_xlfn.XLOOKUP(tbLoja[[#This Row],[Cod_Produto]],tbProdutos[Cod_Produto],tbProdutos[Categoria],"Não cadastrado")</f>
        <v/>
      </c>
      <c r="I173" s="4">
        <f>_xlfn.XLOOKUP(tbLoja[[#This Row],[Cod_Produto]],tbProdutos[Cod_Produto],tbProdutos[Custo Unitário],0)</f>
        <v/>
      </c>
      <c r="J173">
        <f>_xlfn.XLOOKUP(tbLoja[[#This Row],[ID_Vendedor]],tbVendedores[ID_Vendedor],tbVendedores[Vendedor],"Não cadastrado")</f>
        <v/>
      </c>
      <c r="K173" s="4">
        <f>tbLoja[[#This Row],[Quantidade]]*tbLoja[[#This Row],[Preço Unitário]]</f>
        <v/>
      </c>
      <c r="L173" s="4">
        <f>tbLoja[[#This Row],[Faturamento]]-tbLoja[[#This Row],[Quantidade]]*tbLoja[[#This Row],[Custo Unitário]]</f>
        <v/>
      </c>
      <c r="M173">
        <f>MONTH(tbLoja[[#This Row],[Data]])</f>
        <v/>
      </c>
    </row>
    <row r="174">
      <c r="A174" t="inlineStr">
        <is>
          <t>L0173</t>
        </is>
      </c>
      <c r="B174" s="9" t="n">
        <v>46076</v>
      </c>
      <c r="C174" t="inlineStr">
        <is>
          <t>V01</t>
        </is>
      </c>
      <c r="D174" t="inlineStr">
        <is>
          <t>P008</t>
        </is>
      </c>
      <c r="E174" t="n">
        <v>1</v>
      </c>
      <c r="F174" s="4" t="n">
        <v>259</v>
      </c>
      <c r="G174">
        <f>_xlfn.XLOOKUP(tbLoja[[#This Row],[Cod_Produto]],tbProdutos[Cod_Produto],tbProdutos[Produto],"Não cadastrado")</f>
        <v/>
      </c>
      <c r="H174">
        <f>_xlfn.XLOOKUP(tbLoja[[#This Row],[Cod_Produto]],tbProdutos[Cod_Produto],tbProdutos[Categoria],"Não cadastrado")</f>
        <v/>
      </c>
      <c r="I174" s="4">
        <f>_xlfn.XLOOKUP(tbLoja[[#This Row],[Cod_Produto]],tbProdutos[Cod_Produto],tbProdutos[Custo Unitário],0)</f>
        <v/>
      </c>
      <c r="J174">
        <f>_xlfn.XLOOKUP(tbLoja[[#This Row],[ID_Vendedor]],tbVendedores[ID_Vendedor],tbVendedores[Vendedor],"Não cadastrado")</f>
        <v/>
      </c>
      <c r="K174" s="4">
        <f>tbLoja[[#This Row],[Quantidade]]*tbLoja[[#This Row],[Preço Unitário]]</f>
        <v/>
      </c>
      <c r="L174" s="4">
        <f>tbLoja[[#This Row],[Faturamento]]-tbLoja[[#This Row],[Quantidade]]*tbLoja[[#This Row],[Custo Unitário]]</f>
        <v/>
      </c>
      <c r="M174">
        <f>MONTH(tbLoja[[#This Row],[Data]])</f>
        <v/>
      </c>
    </row>
    <row r="175">
      <c r="A175" t="inlineStr">
        <is>
          <t>L0174</t>
        </is>
      </c>
      <c r="B175" s="9" t="n">
        <v>46076</v>
      </c>
      <c r="C175" t="inlineStr">
        <is>
          <t>V03</t>
        </is>
      </c>
      <c r="D175" t="inlineStr">
        <is>
          <t>P003</t>
        </is>
      </c>
      <c r="E175" t="n">
        <v>1</v>
      </c>
      <c r="F175" s="4" t="n">
        <v>1599</v>
      </c>
      <c r="G175">
        <f>_xlfn.XLOOKUP(tbLoja[[#This Row],[Cod_Produto]],tbProdutos[Cod_Produto],tbProdutos[Produto],"Não cadastrado")</f>
        <v/>
      </c>
      <c r="H175">
        <f>_xlfn.XLOOKUP(tbLoja[[#This Row],[Cod_Produto]],tbProdutos[Cod_Produto],tbProdutos[Categoria],"Não cadastrado")</f>
        <v/>
      </c>
      <c r="I175" s="4">
        <f>_xlfn.XLOOKUP(tbLoja[[#This Row],[Cod_Produto]],tbProdutos[Cod_Produto],tbProdutos[Custo Unitário],0)</f>
        <v/>
      </c>
      <c r="J175">
        <f>_xlfn.XLOOKUP(tbLoja[[#This Row],[ID_Vendedor]],tbVendedores[ID_Vendedor],tbVendedores[Vendedor],"Não cadastrado")</f>
        <v/>
      </c>
      <c r="K175" s="4">
        <f>tbLoja[[#This Row],[Quantidade]]*tbLoja[[#This Row],[Preço Unitário]]</f>
        <v/>
      </c>
      <c r="L175" s="4">
        <f>tbLoja[[#This Row],[Faturamento]]-tbLoja[[#This Row],[Quantidade]]*tbLoja[[#This Row],[Custo Unitário]]</f>
        <v/>
      </c>
      <c r="M175">
        <f>MONTH(tbLoja[[#This Row],[Data]])</f>
        <v/>
      </c>
    </row>
    <row r="176">
      <c r="A176" t="inlineStr">
        <is>
          <t>L0175</t>
        </is>
      </c>
      <c r="B176" s="9" t="n">
        <v>46077</v>
      </c>
      <c r="C176" t="inlineStr">
        <is>
          <t>V01</t>
        </is>
      </c>
      <c r="D176" t="inlineStr">
        <is>
          <t>P004</t>
        </is>
      </c>
      <c r="E176" t="n">
        <v>2</v>
      </c>
      <c r="F176" s="4" t="n">
        <v>999</v>
      </c>
      <c r="G176">
        <f>_xlfn.XLOOKUP(tbLoja[[#This Row],[Cod_Produto]],tbProdutos[Cod_Produto],tbProdutos[Produto],"Não cadastrado")</f>
        <v/>
      </c>
      <c r="H176">
        <f>_xlfn.XLOOKUP(tbLoja[[#This Row],[Cod_Produto]],tbProdutos[Cod_Produto],tbProdutos[Categoria],"Não cadastrado")</f>
        <v/>
      </c>
      <c r="I176" s="4">
        <f>_xlfn.XLOOKUP(tbLoja[[#This Row],[Cod_Produto]],tbProdutos[Cod_Produto],tbProdutos[Custo Unitário],0)</f>
        <v/>
      </c>
      <c r="J176">
        <f>_xlfn.XLOOKUP(tbLoja[[#This Row],[ID_Vendedor]],tbVendedores[ID_Vendedor],tbVendedores[Vendedor],"Não cadastrado")</f>
        <v/>
      </c>
      <c r="K176" s="4">
        <f>tbLoja[[#This Row],[Quantidade]]*tbLoja[[#This Row],[Preço Unitário]]</f>
        <v/>
      </c>
      <c r="L176" s="4">
        <f>tbLoja[[#This Row],[Faturamento]]-tbLoja[[#This Row],[Quantidade]]*tbLoja[[#This Row],[Custo Unitário]]</f>
        <v/>
      </c>
      <c r="M176">
        <f>MONTH(tbLoja[[#This Row],[Data]])</f>
        <v/>
      </c>
    </row>
    <row r="177">
      <c r="A177" t="inlineStr">
        <is>
          <t>L0176</t>
        </is>
      </c>
      <c r="B177" s="9" t="n">
        <v>46077</v>
      </c>
      <c r="C177" t="inlineStr">
        <is>
          <t>V01</t>
        </is>
      </c>
      <c r="D177" t="inlineStr">
        <is>
          <t>P006</t>
        </is>
      </c>
      <c r="E177" t="n">
        <v>3</v>
      </c>
      <c r="F177" s="4" t="n">
        <v>119</v>
      </c>
      <c r="G177">
        <f>_xlfn.XLOOKUP(tbLoja[[#This Row],[Cod_Produto]],tbProdutos[Cod_Produto],tbProdutos[Produto],"Não cadastrado")</f>
        <v/>
      </c>
      <c r="H177">
        <f>_xlfn.XLOOKUP(tbLoja[[#This Row],[Cod_Produto]],tbProdutos[Cod_Produto],tbProdutos[Categoria],"Não cadastrado")</f>
        <v/>
      </c>
      <c r="I177" s="4">
        <f>_xlfn.XLOOKUP(tbLoja[[#This Row],[Cod_Produto]],tbProdutos[Cod_Produto],tbProdutos[Custo Unitário],0)</f>
        <v/>
      </c>
      <c r="J177">
        <f>_xlfn.XLOOKUP(tbLoja[[#This Row],[ID_Vendedor]],tbVendedores[ID_Vendedor],tbVendedores[Vendedor],"Não cadastrado")</f>
        <v/>
      </c>
      <c r="K177" s="4">
        <f>tbLoja[[#This Row],[Quantidade]]*tbLoja[[#This Row],[Preço Unitário]]</f>
        <v/>
      </c>
      <c r="L177" s="4">
        <f>tbLoja[[#This Row],[Faturamento]]-tbLoja[[#This Row],[Quantidade]]*tbLoja[[#This Row],[Custo Unitário]]</f>
        <v/>
      </c>
      <c r="M177">
        <f>MONTH(tbLoja[[#This Row],[Data]])</f>
        <v/>
      </c>
    </row>
    <row r="178">
      <c r="A178" t="inlineStr">
        <is>
          <t>L0177</t>
        </is>
      </c>
      <c r="B178" s="9" t="n">
        <v>46077</v>
      </c>
      <c r="C178" t="inlineStr">
        <is>
          <t>V04</t>
        </is>
      </c>
      <c r="D178" t="inlineStr">
        <is>
          <t>P002</t>
        </is>
      </c>
      <c r="E178" t="n">
        <v>2</v>
      </c>
      <c r="F178" s="4" t="n">
        <v>3299</v>
      </c>
      <c r="G178">
        <f>_xlfn.XLOOKUP(tbLoja[[#This Row],[Cod_Produto]],tbProdutos[Cod_Produto],tbProdutos[Produto],"Não cadastrado")</f>
        <v/>
      </c>
      <c r="H178">
        <f>_xlfn.XLOOKUP(tbLoja[[#This Row],[Cod_Produto]],tbProdutos[Cod_Produto],tbProdutos[Categoria],"Não cadastrado")</f>
        <v/>
      </c>
      <c r="I178" s="4">
        <f>_xlfn.XLOOKUP(tbLoja[[#This Row],[Cod_Produto]],tbProdutos[Cod_Produto],tbProdutos[Custo Unitário],0)</f>
        <v/>
      </c>
      <c r="J178">
        <f>_xlfn.XLOOKUP(tbLoja[[#This Row],[ID_Vendedor]],tbVendedores[ID_Vendedor],tbVendedores[Vendedor],"Não cadastrado")</f>
        <v/>
      </c>
      <c r="K178" s="4">
        <f>tbLoja[[#This Row],[Quantidade]]*tbLoja[[#This Row],[Preço Unitário]]</f>
        <v/>
      </c>
      <c r="L178" s="4">
        <f>tbLoja[[#This Row],[Faturamento]]-tbLoja[[#This Row],[Quantidade]]*tbLoja[[#This Row],[Custo Unitário]]</f>
        <v/>
      </c>
      <c r="M178">
        <f>MONTH(tbLoja[[#This Row],[Data]])</f>
        <v/>
      </c>
    </row>
    <row r="179">
      <c r="A179" t="inlineStr">
        <is>
          <t>L0178</t>
        </is>
      </c>
      <c r="B179" s="9" t="n">
        <v>46077</v>
      </c>
      <c r="C179" t="inlineStr">
        <is>
          <t>V05</t>
        </is>
      </c>
      <c r="D179" t="inlineStr">
        <is>
          <t>P006</t>
        </is>
      </c>
      <c r="E179" t="n">
        <v>2</v>
      </c>
      <c r="F179" s="4" t="n">
        <v>119</v>
      </c>
      <c r="G179">
        <f>_xlfn.XLOOKUP(tbLoja[[#This Row],[Cod_Produto]],tbProdutos[Cod_Produto],tbProdutos[Produto],"Não cadastrado")</f>
        <v/>
      </c>
      <c r="H179">
        <f>_xlfn.XLOOKUP(tbLoja[[#This Row],[Cod_Produto]],tbProdutos[Cod_Produto],tbProdutos[Categoria],"Não cadastrado")</f>
        <v/>
      </c>
      <c r="I179" s="4">
        <f>_xlfn.XLOOKUP(tbLoja[[#This Row],[Cod_Produto]],tbProdutos[Cod_Produto],tbProdutos[Custo Unitário],0)</f>
        <v/>
      </c>
      <c r="J179">
        <f>_xlfn.XLOOKUP(tbLoja[[#This Row],[ID_Vendedor]],tbVendedores[ID_Vendedor],tbVendedores[Vendedor],"Não cadastrado")</f>
        <v/>
      </c>
      <c r="K179" s="4">
        <f>tbLoja[[#This Row],[Quantidade]]*tbLoja[[#This Row],[Preço Unitário]]</f>
        <v/>
      </c>
      <c r="L179" s="4">
        <f>tbLoja[[#This Row],[Faturamento]]-tbLoja[[#This Row],[Quantidade]]*tbLoja[[#This Row],[Custo Unitário]]</f>
        <v/>
      </c>
      <c r="M179">
        <f>MONTH(tbLoja[[#This Row],[Data]])</f>
        <v/>
      </c>
    </row>
    <row r="180">
      <c r="A180" t="inlineStr">
        <is>
          <t>L0179</t>
        </is>
      </c>
      <c r="B180" s="9" t="n">
        <v>46077</v>
      </c>
      <c r="C180" t="inlineStr">
        <is>
          <t>V05</t>
        </is>
      </c>
      <c r="D180" t="inlineStr">
        <is>
          <t>P009</t>
        </is>
      </c>
      <c r="E180" t="n">
        <v>5</v>
      </c>
      <c r="F180" s="4" t="n">
        <v>499</v>
      </c>
      <c r="G180">
        <f>_xlfn.XLOOKUP(tbLoja[[#This Row],[Cod_Produto]],tbProdutos[Cod_Produto],tbProdutos[Produto],"Não cadastrado")</f>
        <v/>
      </c>
      <c r="H180">
        <f>_xlfn.XLOOKUP(tbLoja[[#This Row],[Cod_Produto]],tbProdutos[Cod_Produto],tbProdutos[Categoria],"Não cadastrado")</f>
        <v/>
      </c>
      <c r="I180" s="4">
        <f>_xlfn.XLOOKUP(tbLoja[[#This Row],[Cod_Produto]],tbProdutos[Cod_Produto],tbProdutos[Custo Unitário],0)</f>
        <v/>
      </c>
      <c r="J180">
        <f>_xlfn.XLOOKUP(tbLoja[[#This Row],[ID_Vendedor]],tbVendedores[ID_Vendedor],tbVendedores[Vendedor],"Não cadastrado")</f>
        <v/>
      </c>
      <c r="K180" s="4">
        <f>tbLoja[[#This Row],[Quantidade]]*tbLoja[[#This Row],[Preço Unitário]]</f>
        <v/>
      </c>
      <c r="L180" s="4">
        <f>tbLoja[[#This Row],[Faturamento]]-tbLoja[[#This Row],[Quantidade]]*tbLoja[[#This Row],[Custo Unitário]]</f>
        <v/>
      </c>
      <c r="M180">
        <f>MONTH(tbLoja[[#This Row],[Data]])</f>
        <v/>
      </c>
    </row>
    <row r="181">
      <c r="A181" t="inlineStr">
        <is>
          <t>L0180</t>
        </is>
      </c>
      <c r="B181" s="9" t="n">
        <v>46078</v>
      </c>
      <c r="C181" t="inlineStr">
        <is>
          <t>V02</t>
        </is>
      </c>
      <c r="D181" t="inlineStr">
        <is>
          <t>P007</t>
        </is>
      </c>
      <c r="E181" t="n">
        <v>3</v>
      </c>
      <c r="F181" s="4" t="n">
        <v>399</v>
      </c>
      <c r="G181">
        <f>_xlfn.XLOOKUP(tbLoja[[#This Row],[Cod_Produto]],tbProdutos[Cod_Produto],tbProdutos[Produto],"Não cadastrado")</f>
        <v/>
      </c>
      <c r="H181">
        <f>_xlfn.XLOOKUP(tbLoja[[#This Row],[Cod_Produto]],tbProdutos[Cod_Produto],tbProdutos[Categoria],"Não cadastrado")</f>
        <v/>
      </c>
      <c r="I181" s="4">
        <f>_xlfn.XLOOKUP(tbLoja[[#This Row],[Cod_Produto]],tbProdutos[Cod_Produto],tbProdutos[Custo Unitário],0)</f>
        <v/>
      </c>
      <c r="J181">
        <f>_xlfn.XLOOKUP(tbLoja[[#This Row],[ID_Vendedor]],tbVendedores[ID_Vendedor],tbVendedores[Vendedor],"Não cadastrado")</f>
        <v/>
      </c>
      <c r="K181" s="4">
        <f>tbLoja[[#This Row],[Quantidade]]*tbLoja[[#This Row],[Preço Unitário]]</f>
        <v/>
      </c>
      <c r="L181" s="4">
        <f>tbLoja[[#This Row],[Faturamento]]-tbLoja[[#This Row],[Quantidade]]*tbLoja[[#This Row],[Custo Unitário]]</f>
        <v/>
      </c>
      <c r="M181">
        <f>MONTH(tbLoja[[#This Row],[Data]])</f>
        <v/>
      </c>
    </row>
    <row r="182">
      <c r="A182" t="inlineStr">
        <is>
          <t>L0181</t>
        </is>
      </c>
      <c r="B182" s="9" t="n">
        <v>46078</v>
      </c>
      <c r="C182" t="inlineStr">
        <is>
          <t>V03</t>
        </is>
      </c>
      <c r="D182" t="inlineStr">
        <is>
          <t>P009</t>
        </is>
      </c>
      <c r="E182" t="n">
        <v>1</v>
      </c>
      <c r="F182" s="4" t="n">
        <v>499</v>
      </c>
      <c r="G182">
        <f>_xlfn.XLOOKUP(tbLoja[[#This Row],[Cod_Produto]],tbProdutos[Cod_Produto],tbProdutos[Produto],"Não cadastrado")</f>
        <v/>
      </c>
      <c r="H182">
        <f>_xlfn.XLOOKUP(tbLoja[[#This Row],[Cod_Produto]],tbProdutos[Cod_Produto],tbProdutos[Categoria],"Não cadastrado")</f>
        <v/>
      </c>
      <c r="I182" s="4">
        <f>_xlfn.XLOOKUP(tbLoja[[#This Row],[Cod_Produto]],tbProdutos[Cod_Produto],tbProdutos[Custo Unitário],0)</f>
        <v/>
      </c>
      <c r="J182">
        <f>_xlfn.XLOOKUP(tbLoja[[#This Row],[ID_Vendedor]],tbVendedores[ID_Vendedor],tbVendedores[Vendedor],"Não cadastrado")</f>
        <v/>
      </c>
      <c r="K182" s="4">
        <f>tbLoja[[#This Row],[Quantidade]]*tbLoja[[#This Row],[Preço Unitário]]</f>
        <v/>
      </c>
      <c r="L182" s="4">
        <f>tbLoja[[#This Row],[Faturamento]]-tbLoja[[#This Row],[Quantidade]]*tbLoja[[#This Row],[Custo Unitário]]</f>
        <v/>
      </c>
      <c r="M182">
        <f>MONTH(tbLoja[[#This Row],[Data]])</f>
        <v/>
      </c>
    </row>
    <row r="183">
      <c r="A183" t="inlineStr">
        <is>
          <t>L0182</t>
        </is>
      </c>
      <c r="B183" s="9" t="n">
        <v>46078</v>
      </c>
      <c r="C183" t="inlineStr">
        <is>
          <t>V06</t>
        </is>
      </c>
      <c r="D183" t="inlineStr">
        <is>
          <t>P002</t>
        </is>
      </c>
      <c r="E183" t="n">
        <v>1</v>
      </c>
      <c r="F183" s="4" t="n">
        <v>3299</v>
      </c>
      <c r="G183">
        <f>_xlfn.XLOOKUP(tbLoja[[#This Row],[Cod_Produto]],tbProdutos[Cod_Produto],tbProdutos[Produto],"Não cadastrado")</f>
        <v/>
      </c>
      <c r="H183">
        <f>_xlfn.XLOOKUP(tbLoja[[#This Row],[Cod_Produto]],tbProdutos[Cod_Produto],tbProdutos[Categoria],"Não cadastrado")</f>
        <v/>
      </c>
      <c r="I183" s="4">
        <f>_xlfn.XLOOKUP(tbLoja[[#This Row],[Cod_Produto]],tbProdutos[Cod_Produto],tbProdutos[Custo Unitário],0)</f>
        <v/>
      </c>
      <c r="J183">
        <f>_xlfn.XLOOKUP(tbLoja[[#This Row],[ID_Vendedor]],tbVendedores[ID_Vendedor],tbVendedores[Vendedor],"Não cadastrado")</f>
        <v/>
      </c>
      <c r="K183" s="4">
        <f>tbLoja[[#This Row],[Quantidade]]*tbLoja[[#This Row],[Preço Unitário]]</f>
        <v/>
      </c>
      <c r="L183" s="4">
        <f>tbLoja[[#This Row],[Faturamento]]-tbLoja[[#This Row],[Quantidade]]*tbLoja[[#This Row],[Custo Unitário]]</f>
        <v/>
      </c>
      <c r="M183">
        <f>MONTH(tbLoja[[#This Row],[Data]])</f>
        <v/>
      </c>
    </row>
    <row r="184">
      <c r="A184" t="inlineStr">
        <is>
          <t>L0183</t>
        </is>
      </c>
      <c r="B184" s="9" t="n">
        <v>46079</v>
      </c>
      <c r="C184" t="inlineStr">
        <is>
          <t>V03</t>
        </is>
      </c>
      <c r="D184" t="inlineStr">
        <is>
          <t>P005</t>
        </is>
      </c>
      <c r="E184" t="n">
        <v>2</v>
      </c>
      <c r="F184" s="4" t="n">
        <v>349</v>
      </c>
      <c r="G184">
        <f>_xlfn.XLOOKUP(tbLoja[[#This Row],[Cod_Produto]],tbProdutos[Cod_Produto],tbProdutos[Produto],"Não cadastrado")</f>
        <v/>
      </c>
      <c r="H184">
        <f>_xlfn.XLOOKUP(tbLoja[[#This Row],[Cod_Produto]],tbProdutos[Cod_Produto],tbProdutos[Categoria],"Não cadastrado")</f>
        <v/>
      </c>
      <c r="I184" s="4">
        <f>_xlfn.XLOOKUP(tbLoja[[#This Row],[Cod_Produto]],tbProdutos[Cod_Produto],tbProdutos[Custo Unitário],0)</f>
        <v/>
      </c>
      <c r="J184">
        <f>_xlfn.XLOOKUP(tbLoja[[#This Row],[ID_Vendedor]],tbVendedores[ID_Vendedor],tbVendedores[Vendedor],"Não cadastrado")</f>
        <v/>
      </c>
      <c r="K184" s="4">
        <f>tbLoja[[#This Row],[Quantidade]]*tbLoja[[#This Row],[Preço Unitário]]</f>
        <v/>
      </c>
      <c r="L184" s="4">
        <f>tbLoja[[#This Row],[Faturamento]]-tbLoja[[#This Row],[Quantidade]]*tbLoja[[#This Row],[Custo Unitário]]</f>
        <v/>
      </c>
      <c r="M184">
        <f>MONTH(tbLoja[[#This Row],[Data]])</f>
        <v/>
      </c>
    </row>
    <row r="185">
      <c r="A185" t="inlineStr">
        <is>
          <t>L0184</t>
        </is>
      </c>
      <c r="B185" s="9" t="n">
        <v>46079</v>
      </c>
      <c r="C185" t="inlineStr">
        <is>
          <t>V05</t>
        </is>
      </c>
      <c r="D185" t="inlineStr">
        <is>
          <t>P009</t>
        </is>
      </c>
      <c r="E185" t="n">
        <v>3</v>
      </c>
      <c r="F185" s="4" t="n">
        <v>499</v>
      </c>
      <c r="G185">
        <f>_xlfn.XLOOKUP(tbLoja[[#This Row],[Cod_Produto]],tbProdutos[Cod_Produto],tbProdutos[Produto],"Não cadastrado")</f>
        <v/>
      </c>
      <c r="H185">
        <f>_xlfn.XLOOKUP(tbLoja[[#This Row],[Cod_Produto]],tbProdutos[Cod_Produto],tbProdutos[Categoria],"Não cadastrado")</f>
        <v/>
      </c>
      <c r="I185" s="4">
        <f>_xlfn.XLOOKUP(tbLoja[[#This Row],[Cod_Produto]],tbProdutos[Cod_Produto],tbProdutos[Custo Unitário],0)</f>
        <v/>
      </c>
      <c r="J185">
        <f>_xlfn.XLOOKUP(tbLoja[[#This Row],[ID_Vendedor]],tbVendedores[ID_Vendedor],tbVendedores[Vendedor],"Não cadastrado")</f>
        <v/>
      </c>
      <c r="K185" s="4">
        <f>tbLoja[[#This Row],[Quantidade]]*tbLoja[[#This Row],[Preço Unitário]]</f>
        <v/>
      </c>
      <c r="L185" s="4">
        <f>tbLoja[[#This Row],[Faturamento]]-tbLoja[[#This Row],[Quantidade]]*tbLoja[[#This Row],[Custo Unitário]]</f>
        <v/>
      </c>
      <c r="M185">
        <f>MONTH(tbLoja[[#This Row],[Data]])</f>
        <v/>
      </c>
    </row>
    <row r="186">
      <c r="A186" t="inlineStr">
        <is>
          <t>L0185</t>
        </is>
      </c>
      <c r="B186" s="9" t="n">
        <v>46079</v>
      </c>
      <c r="C186" t="inlineStr">
        <is>
          <t>V05</t>
        </is>
      </c>
      <c r="D186" t="inlineStr">
        <is>
          <t>P003</t>
        </is>
      </c>
      <c r="E186" t="n">
        <v>1</v>
      </c>
      <c r="F186" s="4" t="n">
        <v>1599</v>
      </c>
      <c r="G186">
        <f>_xlfn.XLOOKUP(tbLoja[[#This Row],[Cod_Produto]],tbProdutos[Cod_Produto],tbProdutos[Produto],"Não cadastrado")</f>
        <v/>
      </c>
      <c r="H186">
        <f>_xlfn.XLOOKUP(tbLoja[[#This Row],[Cod_Produto]],tbProdutos[Cod_Produto],tbProdutos[Categoria],"Não cadastrado")</f>
        <v/>
      </c>
      <c r="I186" s="4">
        <f>_xlfn.XLOOKUP(tbLoja[[#This Row],[Cod_Produto]],tbProdutos[Cod_Produto],tbProdutos[Custo Unitário],0)</f>
        <v/>
      </c>
      <c r="J186">
        <f>_xlfn.XLOOKUP(tbLoja[[#This Row],[ID_Vendedor]],tbVendedores[ID_Vendedor],tbVendedores[Vendedor],"Não cadastrado")</f>
        <v/>
      </c>
      <c r="K186" s="4">
        <f>tbLoja[[#This Row],[Quantidade]]*tbLoja[[#This Row],[Preço Unitário]]</f>
        <v/>
      </c>
      <c r="L186" s="4">
        <f>tbLoja[[#This Row],[Faturamento]]-tbLoja[[#This Row],[Quantidade]]*tbLoja[[#This Row],[Custo Unitário]]</f>
        <v/>
      </c>
      <c r="M186">
        <f>MONTH(tbLoja[[#This Row],[Data]])</f>
        <v/>
      </c>
    </row>
    <row r="187">
      <c r="A187" t="inlineStr">
        <is>
          <t>L0186</t>
        </is>
      </c>
      <c r="B187" s="9" t="n">
        <v>46079</v>
      </c>
      <c r="C187" t="inlineStr">
        <is>
          <t>V03</t>
        </is>
      </c>
      <c r="D187" t="inlineStr">
        <is>
          <t>P004</t>
        </is>
      </c>
      <c r="E187" t="n">
        <v>4</v>
      </c>
      <c r="F187" s="4" t="n">
        <v>999</v>
      </c>
      <c r="G187">
        <f>_xlfn.XLOOKUP(tbLoja[[#This Row],[Cod_Produto]],tbProdutos[Cod_Produto],tbProdutos[Produto],"Não cadastrado")</f>
        <v/>
      </c>
      <c r="H187">
        <f>_xlfn.XLOOKUP(tbLoja[[#This Row],[Cod_Produto]],tbProdutos[Cod_Produto],tbProdutos[Categoria],"Não cadastrado")</f>
        <v/>
      </c>
      <c r="I187" s="4">
        <f>_xlfn.XLOOKUP(tbLoja[[#This Row],[Cod_Produto]],tbProdutos[Cod_Produto],tbProdutos[Custo Unitário],0)</f>
        <v/>
      </c>
      <c r="J187">
        <f>_xlfn.XLOOKUP(tbLoja[[#This Row],[ID_Vendedor]],tbVendedores[ID_Vendedor],tbVendedores[Vendedor],"Não cadastrado")</f>
        <v/>
      </c>
      <c r="K187" s="4">
        <f>tbLoja[[#This Row],[Quantidade]]*tbLoja[[#This Row],[Preço Unitário]]</f>
        <v/>
      </c>
      <c r="L187" s="4">
        <f>tbLoja[[#This Row],[Faturamento]]-tbLoja[[#This Row],[Quantidade]]*tbLoja[[#This Row],[Custo Unitário]]</f>
        <v/>
      </c>
      <c r="M187">
        <f>MONTH(tbLoja[[#This Row],[Data]])</f>
        <v/>
      </c>
    </row>
    <row r="188">
      <c r="A188" t="inlineStr">
        <is>
          <t>L0187</t>
        </is>
      </c>
      <c r="B188" s="9" t="n">
        <v>46080</v>
      </c>
      <c r="C188" t="inlineStr">
        <is>
          <t>V03</t>
        </is>
      </c>
      <c r="D188" t="inlineStr">
        <is>
          <t>P006</t>
        </is>
      </c>
      <c r="E188" t="n">
        <v>4</v>
      </c>
      <c r="F188" s="4" t="n">
        <v>119</v>
      </c>
      <c r="G188">
        <f>_xlfn.XLOOKUP(tbLoja[[#This Row],[Cod_Produto]],tbProdutos[Cod_Produto],tbProdutos[Produto],"Não cadastrado")</f>
        <v/>
      </c>
      <c r="H188">
        <f>_xlfn.XLOOKUP(tbLoja[[#This Row],[Cod_Produto]],tbProdutos[Cod_Produto],tbProdutos[Categoria],"Não cadastrado")</f>
        <v/>
      </c>
      <c r="I188" s="4">
        <f>_xlfn.XLOOKUP(tbLoja[[#This Row],[Cod_Produto]],tbProdutos[Cod_Produto],tbProdutos[Custo Unitário],0)</f>
        <v/>
      </c>
      <c r="J188">
        <f>_xlfn.XLOOKUP(tbLoja[[#This Row],[ID_Vendedor]],tbVendedores[ID_Vendedor],tbVendedores[Vendedor],"Não cadastrado")</f>
        <v/>
      </c>
      <c r="K188" s="4">
        <f>tbLoja[[#This Row],[Quantidade]]*tbLoja[[#This Row],[Preço Unitário]]</f>
        <v/>
      </c>
      <c r="L188" s="4">
        <f>tbLoja[[#This Row],[Faturamento]]-tbLoja[[#This Row],[Quantidade]]*tbLoja[[#This Row],[Custo Unitário]]</f>
        <v/>
      </c>
      <c r="M188">
        <f>MONTH(tbLoja[[#This Row],[Data]])</f>
        <v/>
      </c>
    </row>
    <row r="189">
      <c r="A189" t="inlineStr">
        <is>
          <t>L0188</t>
        </is>
      </c>
      <c r="B189" s="9" t="n">
        <v>46080</v>
      </c>
      <c r="C189" t="inlineStr">
        <is>
          <t>V04</t>
        </is>
      </c>
      <c r="D189" t="inlineStr">
        <is>
          <t>P006</t>
        </is>
      </c>
      <c r="E189" t="n">
        <v>5</v>
      </c>
      <c r="F189" s="4" t="n">
        <v>119</v>
      </c>
      <c r="G189">
        <f>_xlfn.XLOOKUP(tbLoja[[#This Row],[Cod_Produto]],tbProdutos[Cod_Produto],tbProdutos[Produto],"Não cadastrado")</f>
        <v/>
      </c>
      <c r="H189">
        <f>_xlfn.XLOOKUP(tbLoja[[#This Row],[Cod_Produto]],tbProdutos[Cod_Produto],tbProdutos[Categoria],"Não cadastrado")</f>
        <v/>
      </c>
      <c r="I189" s="4">
        <f>_xlfn.XLOOKUP(tbLoja[[#This Row],[Cod_Produto]],tbProdutos[Cod_Produto],tbProdutos[Custo Unitário],0)</f>
        <v/>
      </c>
      <c r="J189">
        <f>_xlfn.XLOOKUP(tbLoja[[#This Row],[ID_Vendedor]],tbVendedores[ID_Vendedor],tbVendedores[Vendedor],"Não cadastrado")</f>
        <v/>
      </c>
      <c r="K189" s="4">
        <f>tbLoja[[#This Row],[Quantidade]]*tbLoja[[#This Row],[Preço Unitário]]</f>
        <v/>
      </c>
      <c r="L189" s="4">
        <f>tbLoja[[#This Row],[Faturamento]]-tbLoja[[#This Row],[Quantidade]]*tbLoja[[#This Row],[Custo Unitário]]</f>
        <v/>
      </c>
      <c r="M189">
        <f>MONTH(tbLoja[[#This Row],[Data]])</f>
        <v/>
      </c>
    </row>
    <row r="190">
      <c r="A190" t="inlineStr">
        <is>
          <t>L0189</t>
        </is>
      </c>
      <c r="B190" s="9" t="n">
        <v>46080</v>
      </c>
      <c r="C190" t="inlineStr">
        <is>
          <t>V06</t>
        </is>
      </c>
      <c r="D190" t="inlineStr">
        <is>
          <t>P005</t>
        </is>
      </c>
      <c r="E190" t="n">
        <v>1</v>
      </c>
      <c r="F190" s="4" t="n">
        <v>349</v>
      </c>
      <c r="G190">
        <f>_xlfn.XLOOKUP(tbLoja[[#This Row],[Cod_Produto]],tbProdutos[Cod_Produto],tbProdutos[Produto],"Não cadastrado")</f>
        <v/>
      </c>
      <c r="H190">
        <f>_xlfn.XLOOKUP(tbLoja[[#This Row],[Cod_Produto]],tbProdutos[Cod_Produto],tbProdutos[Categoria],"Não cadastrado")</f>
        <v/>
      </c>
      <c r="I190" s="4">
        <f>_xlfn.XLOOKUP(tbLoja[[#This Row],[Cod_Produto]],tbProdutos[Cod_Produto],tbProdutos[Custo Unitário],0)</f>
        <v/>
      </c>
      <c r="J190">
        <f>_xlfn.XLOOKUP(tbLoja[[#This Row],[ID_Vendedor]],tbVendedores[ID_Vendedor],tbVendedores[Vendedor],"Não cadastrado")</f>
        <v/>
      </c>
      <c r="K190" s="4">
        <f>tbLoja[[#This Row],[Quantidade]]*tbLoja[[#This Row],[Preço Unitário]]</f>
        <v/>
      </c>
      <c r="L190" s="4">
        <f>tbLoja[[#This Row],[Faturamento]]-tbLoja[[#This Row],[Quantidade]]*tbLoja[[#This Row],[Custo Unitário]]</f>
        <v/>
      </c>
      <c r="M190">
        <f>MONTH(tbLoja[[#This Row],[Data]])</f>
        <v/>
      </c>
    </row>
    <row r="191">
      <c r="A191" t="inlineStr">
        <is>
          <t>L0190</t>
        </is>
      </c>
      <c r="B191" s="9" t="n">
        <v>46081</v>
      </c>
      <c r="C191" t="inlineStr">
        <is>
          <t>V05</t>
        </is>
      </c>
      <c r="D191" t="inlineStr">
        <is>
          <t>P002</t>
        </is>
      </c>
      <c r="E191" t="n">
        <v>2</v>
      </c>
      <c r="F191" s="4" t="n">
        <v>3299</v>
      </c>
      <c r="G191">
        <f>_xlfn.XLOOKUP(tbLoja[[#This Row],[Cod_Produto]],tbProdutos[Cod_Produto],tbProdutos[Produto],"Não cadastrado")</f>
        <v/>
      </c>
      <c r="H191">
        <f>_xlfn.XLOOKUP(tbLoja[[#This Row],[Cod_Produto]],tbProdutos[Cod_Produto],tbProdutos[Categoria],"Não cadastrado")</f>
        <v/>
      </c>
      <c r="I191" s="4">
        <f>_xlfn.XLOOKUP(tbLoja[[#This Row],[Cod_Produto]],tbProdutos[Cod_Produto],tbProdutos[Custo Unitário],0)</f>
        <v/>
      </c>
      <c r="J191">
        <f>_xlfn.XLOOKUP(tbLoja[[#This Row],[ID_Vendedor]],tbVendedores[ID_Vendedor],tbVendedores[Vendedor],"Não cadastrado")</f>
        <v/>
      </c>
      <c r="K191" s="4">
        <f>tbLoja[[#This Row],[Quantidade]]*tbLoja[[#This Row],[Preço Unitário]]</f>
        <v/>
      </c>
      <c r="L191" s="4">
        <f>tbLoja[[#This Row],[Faturamento]]-tbLoja[[#This Row],[Quantidade]]*tbLoja[[#This Row],[Custo Unitário]]</f>
        <v/>
      </c>
      <c r="M191">
        <f>MONTH(tbLoja[[#This Row],[Data]])</f>
        <v/>
      </c>
    </row>
    <row r="192">
      <c r="A192" t="inlineStr">
        <is>
          <t>L0191</t>
        </is>
      </c>
      <c r="B192" s="9" t="n">
        <v>46081</v>
      </c>
      <c r="C192" t="inlineStr">
        <is>
          <t>V02</t>
        </is>
      </c>
      <c r="D192" t="inlineStr">
        <is>
          <t>P007</t>
        </is>
      </c>
      <c r="E192" t="n">
        <v>3</v>
      </c>
      <c r="F192" s="4" t="n">
        <v>399</v>
      </c>
      <c r="G192">
        <f>_xlfn.XLOOKUP(tbLoja[[#This Row],[Cod_Produto]],tbProdutos[Cod_Produto],tbProdutos[Produto],"Não cadastrado")</f>
        <v/>
      </c>
      <c r="H192">
        <f>_xlfn.XLOOKUP(tbLoja[[#This Row],[Cod_Produto]],tbProdutos[Cod_Produto],tbProdutos[Categoria],"Não cadastrado")</f>
        <v/>
      </c>
      <c r="I192" s="4">
        <f>_xlfn.XLOOKUP(tbLoja[[#This Row],[Cod_Produto]],tbProdutos[Cod_Produto],tbProdutos[Custo Unitário],0)</f>
        <v/>
      </c>
      <c r="J192">
        <f>_xlfn.XLOOKUP(tbLoja[[#This Row],[ID_Vendedor]],tbVendedores[ID_Vendedor],tbVendedores[Vendedor],"Não cadastrado")</f>
        <v/>
      </c>
      <c r="K192" s="4">
        <f>tbLoja[[#This Row],[Quantidade]]*tbLoja[[#This Row],[Preço Unitário]]</f>
        <v/>
      </c>
      <c r="L192" s="4">
        <f>tbLoja[[#This Row],[Faturamento]]-tbLoja[[#This Row],[Quantidade]]*tbLoja[[#This Row],[Custo Unitário]]</f>
        <v/>
      </c>
      <c r="M192">
        <f>MONTH(tbLoja[[#This Row],[Data]])</f>
        <v/>
      </c>
    </row>
    <row r="193">
      <c r="A193" t="inlineStr">
        <is>
          <t>L0192</t>
        </is>
      </c>
      <c r="B193" s="9" t="n">
        <v>46081</v>
      </c>
      <c r="C193" t="inlineStr">
        <is>
          <t>V02</t>
        </is>
      </c>
      <c r="D193" t="inlineStr">
        <is>
          <t>P007</t>
        </is>
      </c>
      <c r="E193" t="n">
        <v>1</v>
      </c>
      <c r="F193" s="4" t="n">
        <v>399</v>
      </c>
      <c r="G193">
        <f>_xlfn.XLOOKUP(tbLoja[[#This Row],[Cod_Produto]],tbProdutos[Cod_Produto],tbProdutos[Produto],"Não cadastrado")</f>
        <v/>
      </c>
      <c r="H193">
        <f>_xlfn.XLOOKUP(tbLoja[[#This Row],[Cod_Produto]],tbProdutos[Cod_Produto],tbProdutos[Categoria],"Não cadastrado")</f>
        <v/>
      </c>
      <c r="I193" s="4">
        <f>_xlfn.XLOOKUP(tbLoja[[#This Row],[Cod_Produto]],tbProdutos[Cod_Produto],tbProdutos[Custo Unitário],0)</f>
        <v/>
      </c>
      <c r="J193">
        <f>_xlfn.XLOOKUP(tbLoja[[#This Row],[ID_Vendedor]],tbVendedores[ID_Vendedor],tbVendedores[Vendedor],"Não cadastrado")</f>
        <v/>
      </c>
      <c r="K193" s="4">
        <f>tbLoja[[#This Row],[Quantidade]]*tbLoja[[#This Row],[Preço Unitário]]</f>
        <v/>
      </c>
      <c r="L193" s="4">
        <f>tbLoja[[#This Row],[Faturamento]]-tbLoja[[#This Row],[Quantidade]]*tbLoja[[#This Row],[Custo Unitário]]</f>
        <v/>
      </c>
      <c r="M193">
        <f>MONTH(tbLoja[[#This Row],[Data]])</f>
        <v/>
      </c>
    </row>
    <row r="194">
      <c r="A194" t="inlineStr">
        <is>
          <t>L0193</t>
        </is>
      </c>
      <c r="B194" s="9" t="n">
        <v>46082</v>
      </c>
      <c r="C194" t="inlineStr">
        <is>
          <t>V03</t>
        </is>
      </c>
      <c r="D194" t="inlineStr">
        <is>
          <t>P001</t>
        </is>
      </c>
      <c r="E194" t="n">
        <v>2</v>
      </c>
      <c r="F194" s="4" t="n">
        <v>5899</v>
      </c>
      <c r="G194">
        <f>_xlfn.XLOOKUP(tbLoja[[#This Row],[Cod_Produto]],tbProdutos[Cod_Produto],tbProdutos[Produto],"Não cadastrado")</f>
        <v/>
      </c>
      <c r="H194">
        <f>_xlfn.XLOOKUP(tbLoja[[#This Row],[Cod_Produto]],tbProdutos[Cod_Produto],tbProdutos[Categoria],"Não cadastrado")</f>
        <v/>
      </c>
      <c r="I194" s="4">
        <f>_xlfn.XLOOKUP(tbLoja[[#This Row],[Cod_Produto]],tbProdutos[Cod_Produto],tbProdutos[Custo Unitário],0)</f>
        <v/>
      </c>
      <c r="J194">
        <f>_xlfn.XLOOKUP(tbLoja[[#This Row],[ID_Vendedor]],tbVendedores[ID_Vendedor],tbVendedores[Vendedor],"Não cadastrado")</f>
        <v/>
      </c>
      <c r="K194" s="4">
        <f>tbLoja[[#This Row],[Quantidade]]*tbLoja[[#This Row],[Preço Unitário]]</f>
        <v/>
      </c>
      <c r="L194" s="4">
        <f>tbLoja[[#This Row],[Faturamento]]-tbLoja[[#This Row],[Quantidade]]*tbLoja[[#This Row],[Custo Unitário]]</f>
        <v/>
      </c>
      <c r="M194">
        <f>MONTH(tbLoja[[#This Row],[Data]])</f>
        <v/>
      </c>
    </row>
    <row r="195">
      <c r="A195" t="inlineStr">
        <is>
          <t>L0194</t>
        </is>
      </c>
      <c r="B195" s="9" t="n">
        <v>46083</v>
      </c>
      <c r="C195" t="inlineStr">
        <is>
          <t>V02</t>
        </is>
      </c>
      <c r="D195" t="inlineStr">
        <is>
          <t>P002</t>
        </is>
      </c>
      <c r="E195" t="n">
        <v>2</v>
      </c>
      <c r="F195" s="4" t="n">
        <v>3299</v>
      </c>
      <c r="G195">
        <f>_xlfn.XLOOKUP(tbLoja[[#This Row],[Cod_Produto]],tbProdutos[Cod_Produto],tbProdutos[Produto],"Não cadastrado")</f>
        <v/>
      </c>
      <c r="H195">
        <f>_xlfn.XLOOKUP(tbLoja[[#This Row],[Cod_Produto]],tbProdutos[Cod_Produto],tbProdutos[Categoria],"Não cadastrado")</f>
        <v/>
      </c>
      <c r="I195" s="4">
        <f>_xlfn.XLOOKUP(tbLoja[[#This Row],[Cod_Produto]],tbProdutos[Cod_Produto],tbProdutos[Custo Unitário],0)</f>
        <v/>
      </c>
      <c r="J195">
        <f>_xlfn.XLOOKUP(tbLoja[[#This Row],[ID_Vendedor]],tbVendedores[ID_Vendedor],tbVendedores[Vendedor],"Não cadastrado")</f>
        <v/>
      </c>
      <c r="K195" s="4">
        <f>tbLoja[[#This Row],[Quantidade]]*tbLoja[[#This Row],[Preço Unitário]]</f>
        <v/>
      </c>
      <c r="L195" s="4">
        <f>tbLoja[[#This Row],[Faturamento]]-tbLoja[[#This Row],[Quantidade]]*tbLoja[[#This Row],[Custo Unitário]]</f>
        <v/>
      </c>
      <c r="M195">
        <f>MONTH(tbLoja[[#This Row],[Data]])</f>
        <v/>
      </c>
    </row>
    <row r="196">
      <c r="A196" t="inlineStr">
        <is>
          <t>L0195</t>
        </is>
      </c>
      <c r="B196" s="9" t="n">
        <v>46083</v>
      </c>
      <c r="C196" t="inlineStr">
        <is>
          <t>V05</t>
        </is>
      </c>
      <c r="D196" t="inlineStr">
        <is>
          <t>P005</t>
        </is>
      </c>
      <c r="E196" t="n">
        <v>1</v>
      </c>
      <c r="F196" s="4" t="n">
        <v>349</v>
      </c>
      <c r="G196">
        <f>_xlfn.XLOOKUP(tbLoja[[#This Row],[Cod_Produto]],tbProdutos[Cod_Produto],tbProdutos[Produto],"Não cadastrado")</f>
        <v/>
      </c>
      <c r="H196">
        <f>_xlfn.XLOOKUP(tbLoja[[#This Row],[Cod_Produto]],tbProdutos[Cod_Produto],tbProdutos[Categoria],"Não cadastrado")</f>
        <v/>
      </c>
      <c r="I196" s="4">
        <f>_xlfn.XLOOKUP(tbLoja[[#This Row],[Cod_Produto]],tbProdutos[Cod_Produto],tbProdutos[Custo Unitário],0)</f>
        <v/>
      </c>
      <c r="J196">
        <f>_xlfn.XLOOKUP(tbLoja[[#This Row],[ID_Vendedor]],tbVendedores[ID_Vendedor],tbVendedores[Vendedor],"Não cadastrado")</f>
        <v/>
      </c>
      <c r="K196" s="4">
        <f>tbLoja[[#This Row],[Quantidade]]*tbLoja[[#This Row],[Preço Unitário]]</f>
        <v/>
      </c>
      <c r="L196" s="4">
        <f>tbLoja[[#This Row],[Faturamento]]-tbLoja[[#This Row],[Quantidade]]*tbLoja[[#This Row],[Custo Unitário]]</f>
        <v/>
      </c>
      <c r="M196">
        <f>MONTH(tbLoja[[#This Row],[Data]])</f>
        <v/>
      </c>
    </row>
    <row r="197">
      <c r="A197" t="inlineStr">
        <is>
          <t>L0196</t>
        </is>
      </c>
      <c r="B197" s="9" t="n">
        <v>46084</v>
      </c>
      <c r="C197" t="inlineStr">
        <is>
          <t>V05</t>
        </is>
      </c>
      <c r="D197" t="inlineStr">
        <is>
          <t>P010</t>
        </is>
      </c>
      <c r="E197" t="n">
        <v>1</v>
      </c>
      <c r="F197" s="4" t="n">
        <v>1299</v>
      </c>
      <c r="G197">
        <f>_xlfn.XLOOKUP(tbLoja[[#This Row],[Cod_Produto]],tbProdutos[Cod_Produto],tbProdutos[Produto],"Não cadastrado")</f>
        <v/>
      </c>
      <c r="H197">
        <f>_xlfn.XLOOKUP(tbLoja[[#This Row],[Cod_Produto]],tbProdutos[Cod_Produto],tbProdutos[Categoria],"Não cadastrado")</f>
        <v/>
      </c>
      <c r="I197" s="4">
        <f>_xlfn.XLOOKUP(tbLoja[[#This Row],[Cod_Produto]],tbProdutos[Cod_Produto],tbProdutos[Custo Unitário],0)</f>
        <v/>
      </c>
      <c r="J197">
        <f>_xlfn.XLOOKUP(tbLoja[[#This Row],[ID_Vendedor]],tbVendedores[ID_Vendedor],tbVendedores[Vendedor],"Não cadastrado")</f>
        <v/>
      </c>
      <c r="K197" s="4">
        <f>tbLoja[[#This Row],[Quantidade]]*tbLoja[[#This Row],[Preço Unitário]]</f>
        <v/>
      </c>
      <c r="L197" s="4">
        <f>tbLoja[[#This Row],[Faturamento]]-tbLoja[[#This Row],[Quantidade]]*tbLoja[[#This Row],[Custo Unitário]]</f>
        <v/>
      </c>
      <c r="M197">
        <f>MONTH(tbLoja[[#This Row],[Data]])</f>
        <v/>
      </c>
    </row>
    <row r="198">
      <c r="A198" t="inlineStr">
        <is>
          <t>L0197</t>
        </is>
      </c>
      <c r="B198" s="9" t="n">
        <v>46085</v>
      </c>
      <c r="C198" t="inlineStr">
        <is>
          <t>V04</t>
        </is>
      </c>
      <c r="D198" t="inlineStr">
        <is>
          <t>P005</t>
        </is>
      </c>
      <c r="E198" t="n">
        <v>4</v>
      </c>
      <c r="F198" s="4" t="n">
        <v>349</v>
      </c>
      <c r="G198">
        <f>_xlfn.XLOOKUP(tbLoja[[#This Row],[Cod_Produto]],tbProdutos[Cod_Produto],tbProdutos[Produto],"Não cadastrado")</f>
        <v/>
      </c>
      <c r="H198">
        <f>_xlfn.XLOOKUP(tbLoja[[#This Row],[Cod_Produto]],tbProdutos[Cod_Produto],tbProdutos[Categoria],"Não cadastrado")</f>
        <v/>
      </c>
      <c r="I198" s="4">
        <f>_xlfn.XLOOKUP(tbLoja[[#This Row],[Cod_Produto]],tbProdutos[Cod_Produto],tbProdutos[Custo Unitário],0)</f>
        <v/>
      </c>
      <c r="J198">
        <f>_xlfn.XLOOKUP(tbLoja[[#This Row],[ID_Vendedor]],tbVendedores[ID_Vendedor],tbVendedores[Vendedor],"Não cadastrado")</f>
        <v/>
      </c>
      <c r="K198" s="4">
        <f>tbLoja[[#This Row],[Quantidade]]*tbLoja[[#This Row],[Preço Unitário]]</f>
        <v/>
      </c>
      <c r="L198" s="4">
        <f>tbLoja[[#This Row],[Faturamento]]-tbLoja[[#This Row],[Quantidade]]*tbLoja[[#This Row],[Custo Unitário]]</f>
        <v/>
      </c>
      <c r="M198">
        <f>MONTH(tbLoja[[#This Row],[Data]])</f>
        <v/>
      </c>
    </row>
    <row r="199">
      <c r="A199" t="inlineStr">
        <is>
          <t>L0198</t>
        </is>
      </c>
      <c r="B199" s="9" t="n">
        <v>46085</v>
      </c>
      <c r="C199" t="inlineStr">
        <is>
          <t>V03</t>
        </is>
      </c>
      <c r="D199" t="inlineStr">
        <is>
          <t>P006</t>
        </is>
      </c>
      <c r="E199" t="n">
        <v>2</v>
      </c>
      <c r="F199" s="4" t="n">
        <v>119</v>
      </c>
      <c r="G199">
        <f>_xlfn.XLOOKUP(tbLoja[[#This Row],[Cod_Produto]],tbProdutos[Cod_Produto],tbProdutos[Produto],"Não cadastrado")</f>
        <v/>
      </c>
      <c r="H199">
        <f>_xlfn.XLOOKUP(tbLoja[[#This Row],[Cod_Produto]],tbProdutos[Cod_Produto],tbProdutos[Categoria],"Não cadastrado")</f>
        <v/>
      </c>
      <c r="I199" s="4">
        <f>_xlfn.XLOOKUP(tbLoja[[#This Row],[Cod_Produto]],tbProdutos[Cod_Produto],tbProdutos[Custo Unitário],0)</f>
        <v/>
      </c>
      <c r="J199">
        <f>_xlfn.XLOOKUP(tbLoja[[#This Row],[ID_Vendedor]],tbVendedores[ID_Vendedor],tbVendedores[Vendedor],"Não cadastrado")</f>
        <v/>
      </c>
      <c r="K199" s="4">
        <f>tbLoja[[#This Row],[Quantidade]]*tbLoja[[#This Row],[Preço Unitário]]</f>
        <v/>
      </c>
      <c r="L199" s="4">
        <f>tbLoja[[#This Row],[Faturamento]]-tbLoja[[#This Row],[Quantidade]]*tbLoja[[#This Row],[Custo Unitário]]</f>
        <v/>
      </c>
      <c r="M199">
        <f>MONTH(tbLoja[[#This Row],[Data]])</f>
        <v/>
      </c>
    </row>
    <row r="200">
      <c r="A200" t="inlineStr">
        <is>
          <t>L0199</t>
        </is>
      </c>
      <c r="B200" s="9" t="n">
        <v>46085</v>
      </c>
      <c r="C200" t="inlineStr">
        <is>
          <t>V01</t>
        </is>
      </c>
      <c r="D200" t="inlineStr">
        <is>
          <t>P008</t>
        </is>
      </c>
      <c r="E200" t="n">
        <v>2</v>
      </c>
      <c r="F200" s="4" t="n">
        <v>259</v>
      </c>
      <c r="G200">
        <f>_xlfn.XLOOKUP(tbLoja[[#This Row],[Cod_Produto]],tbProdutos[Cod_Produto],tbProdutos[Produto],"Não cadastrado")</f>
        <v/>
      </c>
      <c r="H200">
        <f>_xlfn.XLOOKUP(tbLoja[[#This Row],[Cod_Produto]],tbProdutos[Cod_Produto],tbProdutos[Categoria],"Não cadastrado")</f>
        <v/>
      </c>
      <c r="I200" s="4">
        <f>_xlfn.XLOOKUP(tbLoja[[#This Row],[Cod_Produto]],tbProdutos[Cod_Produto],tbProdutos[Custo Unitário],0)</f>
        <v/>
      </c>
      <c r="J200">
        <f>_xlfn.XLOOKUP(tbLoja[[#This Row],[ID_Vendedor]],tbVendedores[ID_Vendedor],tbVendedores[Vendedor],"Não cadastrado")</f>
        <v/>
      </c>
      <c r="K200" s="4">
        <f>tbLoja[[#This Row],[Quantidade]]*tbLoja[[#This Row],[Preço Unitário]]</f>
        <v/>
      </c>
      <c r="L200" s="4">
        <f>tbLoja[[#This Row],[Faturamento]]-tbLoja[[#This Row],[Quantidade]]*tbLoja[[#This Row],[Custo Unitário]]</f>
        <v/>
      </c>
      <c r="M200">
        <f>MONTH(tbLoja[[#This Row],[Data]])</f>
        <v/>
      </c>
    </row>
    <row r="201">
      <c r="A201" t="inlineStr">
        <is>
          <t>L0200</t>
        </is>
      </c>
      <c r="B201" s="9" t="n">
        <v>46085</v>
      </c>
      <c r="C201" t="inlineStr">
        <is>
          <t>V02</t>
        </is>
      </c>
      <c r="D201" t="inlineStr">
        <is>
          <t>P002</t>
        </is>
      </c>
      <c r="E201" t="n">
        <v>1</v>
      </c>
      <c r="F201" s="4" t="n">
        <v>3299</v>
      </c>
      <c r="G201">
        <f>_xlfn.XLOOKUP(tbLoja[[#This Row],[Cod_Produto]],tbProdutos[Cod_Produto],tbProdutos[Produto],"Não cadastrado")</f>
        <v/>
      </c>
      <c r="H201">
        <f>_xlfn.XLOOKUP(tbLoja[[#This Row],[Cod_Produto]],tbProdutos[Cod_Produto],tbProdutos[Categoria],"Não cadastrado")</f>
        <v/>
      </c>
      <c r="I201" s="4">
        <f>_xlfn.XLOOKUP(tbLoja[[#This Row],[Cod_Produto]],tbProdutos[Cod_Produto],tbProdutos[Custo Unitário],0)</f>
        <v/>
      </c>
      <c r="J201">
        <f>_xlfn.XLOOKUP(tbLoja[[#This Row],[ID_Vendedor]],tbVendedores[ID_Vendedor],tbVendedores[Vendedor],"Não cadastrado")</f>
        <v/>
      </c>
      <c r="K201" s="4">
        <f>tbLoja[[#This Row],[Quantidade]]*tbLoja[[#This Row],[Preço Unitário]]</f>
        <v/>
      </c>
      <c r="L201" s="4">
        <f>tbLoja[[#This Row],[Faturamento]]-tbLoja[[#This Row],[Quantidade]]*tbLoja[[#This Row],[Custo Unitário]]</f>
        <v/>
      </c>
      <c r="M201">
        <f>MONTH(tbLoja[[#This Row],[Data]])</f>
        <v/>
      </c>
    </row>
    <row r="202">
      <c r="A202" t="inlineStr">
        <is>
          <t>L0201</t>
        </is>
      </c>
      <c r="B202" s="9" t="n">
        <v>46085</v>
      </c>
      <c r="C202" t="inlineStr">
        <is>
          <t>V02</t>
        </is>
      </c>
      <c r="D202" t="inlineStr">
        <is>
          <t>P004</t>
        </is>
      </c>
      <c r="E202" t="n">
        <v>1</v>
      </c>
      <c r="F202" s="4" t="n">
        <v>999</v>
      </c>
      <c r="G202">
        <f>_xlfn.XLOOKUP(tbLoja[[#This Row],[Cod_Produto]],tbProdutos[Cod_Produto],tbProdutos[Produto],"Não cadastrado")</f>
        <v/>
      </c>
      <c r="H202">
        <f>_xlfn.XLOOKUP(tbLoja[[#This Row],[Cod_Produto]],tbProdutos[Cod_Produto],tbProdutos[Categoria],"Não cadastrado")</f>
        <v/>
      </c>
      <c r="I202" s="4">
        <f>_xlfn.XLOOKUP(tbLoja[[#This Row],[Cod_Produto]],tbProdutos[Cod_Produto],tbProdutos[Custo Unitário],0)</f>
        <v/>
      </c>
      <c r="J202">
        <f>_xlfn.XLOOKUP(tbLoja[[#This Row],[ID_Vendedor]],tbVendedores[ID_Vendedor],tbVendedores[Vendedor],"Não cadastrado")</f>
        <v/>
      </c>
      <c r="K202" s="4">
        <f>tbLoja[[#This Row],[Quantidade]]*tbLoja[[#This Row],[Preço Unitário]]</f>
        <v/>
      </c>
      <c r="L202" s="4">
        <f>tbLoja[[#This Row],[Faturamento]]-tbLoja[[#This Row],[Quantidade]]*tbLoja[[#This Row],[Custo Unitário]]</f>
        <v/>
      </c>
      <c r="M202">
        <f>MONTH(tbLoja[[#This Row],[Data]])</f>
        <v/>
      </c>
    </row>
    <row r="203">
      <c r="A203" t="inlineStr">
        <is>
          <t>L0202</t>
        </is>
      </c>
      <c r="B203" s="9" t="n">
        <v>46086</v>
      </c>
      <c r="C203" t="inlineStr">
        <is>
          <t>V01</t>
        </is>
      </c>
      <c r="D203" t="inlineStr">
        <is>
          <t>P009</t>
        </is>
      </c>
      <c r="E203" t="n">
        <v>2</v>
      </c>
      <c r="F203" s="4" t="n">
        <v>499</v>
      </c>
      <c r="G203">
        <f>_xlfn.XLOOKUP(tbLoja[[#This Row],[Cod_Produto]],tbProdutos[Cod_Produto],tbProdutos[Produto],"Não cadastrado")</f>
        <v/>
      </c>
      <c r="H203">
        <f>_xlfn.XLOOKUP(tbLoja[[#This Row],[Cod_Produto]],tbProdutos[Cod_Produto],tbProdutos[Categoria],"Não cadastrado")</f>
        <v/>
      </c>
      <c r="I203" s="4">
        <f>_xlfn.XLOOKUP(tbLoja[[#This Row],[Cod_Produto]],tbProdutos[Cod_Produto],tbProdutos[Custo Unitário],0)</f>
        <v/>
      </c>
      <c r="J203">
        <f>_xlfn.XLOOKUP(tbLoja[[#This Row],[ID_Vendedor]],tbVendedores[ID_Vendedor],tbVendedores[Vendedor],"Não cadastrado")</f>
        <v/>
      </c>
      <c r="K203" s="4">
        <f>tbLoja[[#This Row],[Quantidade]]*tbLoja[[#This Row],[Preço Unitário]]</f>
        <v/>
      </c>
      <c r="L203" s="4">
        <f>tbLoja[[#This Row],[Faturamento]]-tbLoja[[#This Row],[Quantidade]]*tbLoja[[#This Row],[Custo Unitário]]</f>
        <v/>
      </c>
      <c r="M203">
        <f>MONTH(tbLoja[[#This Row],[Data]])</f>
        <v/>
      </c>
    </row>
    <row r="204">
      <c r="A204" t="inlineStr">
        <is>
          <t>L0203</t>
        </is>
      </c>
      <c r="B204" s="9" t="n">
        <v>46086</v>
      </c>
      <c r="C204" t="inlineStr">
        <is>
          <t>V02</t>
        </is>
      </c>
      <c r="D204" t="inlineStr">
        <is>
          <t>P006</t>
        </is>
      </c>
      <c r="E204" t="n">
        <v>1</v>
      </c>
      <c r="F204" s="4" t="n">
        <v>119</v>
      </c>
      <c r="G204">
        <f>_xlfn.XLOOKUP(tbLoja[[#This Row],[Cod_Produto]],tbProdutos[Cod_Produto],tbProdutos[Produto],"Não cadastrado")</f>
        <v/>
      </c>
      <c r="H204">
        <f>_xlfn.XLOOKUP(tbLoja[[#This Row],[Cod_Produto]],tbProdutos[Cod_Produto],tbProdutos[Categoria],"Não cadastrado")</f>
        <v/>
      </c>
      <c r="I204" s="4">
        <f>_xlfn.XLOOKUP(tbLoja[[#This Row],[Cod_Produto]],tbProdutos[Cod_Produto],tbProdutos[Custo Unitário],0)</f>
        <v/>
      </c>
      <c r="J204">
        <f>_xlfn.XLOOKUP(tbLoja[[#This Row],[ID_Vendedor]],tbVendedores[ID_Vendedor],tbVendedores[Vendedor],"Não cadastrado")</f>
        <v/>
      </c>
      <c r="K204" s="4">
        <f>tbLoja[[#This Row],[Quantidade]]*tbLoja[[#This Row],[Preço Unitário]]</f>
        <v/>
      </c>
      <c r="L204" s="4">
        <f>tbLoja[[#This Row],[Faturamento]]-tbLoja[[#This Row],[Quantidade]]*tbLoja[[#This Row],[Custo Unitário]]</f>
        <v/>
      </c>
      <c r="M204">
        <f>MONTH(tbLoja[[#This Row],[Data]])</f>
        <v/>
      </c>
    </row>
    <row r="205">
      <c r="A205" t="inlineStr">
        <is>
          <t>L0204</t>
        </is>
      </c>
      <c r="B205" s="9" t="n">
        <v>46086</v>
      </c>
      <c r="C205" t="inlineStr">
        <is>
          <t>V01</t>
        </is>
      </c>
      <c r="D205" t="inlineStr">
        <is>
          <t>P006</t>
        </is>
      </c>
      <c r="E205" t="n">
        <v>1</v>
      </c>
      <c r="F205" s="4" t="n">
        <v>119</v>
      </c>
      <c r="G205">
        <f>_xlfn.XLOOKUP(tbLoja[[#This Row],[Cod_Produto]],tbProdutos[Cod_Produto],tbProdutos[Produto],"Não cadastrado")</f>
        <v/>
      </c>
      <c r="H205">
        <f>_xlfn.XLOOKUP(tbLoja[[#This Row],[Cod_Produto]],tbProdutos[Cod_Produto],tbProdutos[Categoria],"Não cadastrado")</f>
        <v/>
      </c>
      <c r="I205" s="4">
        <f>_xlfn.XLOOKUP(tbLoja[[#This Row],[Cod_Produto]],tbProdutos[Cod_Produto],tbProdutos[Custo Unitário],0)</f>
        <v/>
      </c>
      <c r="J205">
        <f>_xlfn.XLOOKUP(tbLoja[[#This Row],[ID_Vendedor]],tbVendedores[ID_Vendedor],tbVendedores[Vendedor],"Não cadastrado")</f>
        <v/>
      </c>
      <c r="K205" s="4">
        <f>tbLoja[[#This Row],[Quantidade]]*tbLoja[[#This Row],[Preço Unitário]]</f>
        <v/>
      </c>
      <c r="L205" s="4">
        <f>tbLoja[[#This Row],[Faturamento]]-tbLoja[[#This Row],[Quantidade]]*tbLoja[[#This Row],[Custo Unitário]]</f>
        <v/>
      </c>
      <c r="M205">
        <f>MONTH(tbLoja[[#This Row],[Data]])</f>
        <v/>
      </c>
    </row>
    <row r="206">
      <c r="A206" t="inlineStr">
        <is>
          <t>L0205</t>
        </is>
      </c>
      <c r="B206" s="9" t="n">
        <v>46086</v>
      </c>
      <c r="C206" t="inlineStr">
        <is>
          <t>V04</t>
        </is>
      </c>
      <c r="D206" t="inlineStr">
        <is>
          <t>P006</t>
        </is>
      </c>
      <c r="E206" t="n">
        <v>5</v>
      </c>
      <c r="F206" s="4" t="n">
        <v>119</v>
      </c>
      <c r="G206">
        <f>_xlfn.XLOOKUP(tbLoja[[#This Row],[Cod_Produto]],tbProdutos[Cod_Produto],tbProdutos[Produto],"Não cadastrado")</f>
        <v/>
      </c>
      <c r="H206">
        <f>_xlfn.XLOOKUP(tbLoja[[#This Row],[Cod_Produto]],tbProdutos[Cod_Produto],tbProdutos[Categoria],"Não cadastrado")</f>
        <v/>
      </c>
      <c r="I206" s="4">
        <f>_xlfn.XLOOKUP(tbLoja[[#This Row],[Cod_Produto]],tbProdutos[Cod_Produto],tbProdutos[Custo Unitário],0)</f>
        <v/>
      </c>
      <c r="J206">
        <f>_xlfn.XLOOKUP(tbLoja[[#This Row],[ID_Vendedor]],tbVendedores[ID_Vendedor],tbVendedores[Vendedor],"Não cadastrado")</f>
        <v/>
      </c>
      <c r="K206" s="4">
        <f>tbLoja[[#This Row],[Quantidade]]*tbLoja[[#This Row],[Preço Unitário]]</f>
        <v/>
      </c>
      <c r="L206" s="4">
        <f>tbLoja[[#This Row],[Faturamento]]-tbLoja[[#This Row],[Quantidade]]*tbLoja[[#This Row],[Custo Unitário]]</f>
        <v/>
      </c>
      <c r="M206">
        <f>MONTH(tbLoja[[#This Row],[Data]])</f>
        <v/>
      </c>
    </row>
    <row r="207">
      <c r="A207" t="inlineStr">
        <is>
          <t>L0206</t>
        </is>
      </c>
      <c r="B207" s="9" t="n">
        <v>46086</v>
      </c>
      <c r="C207" t="inlineStr">
        <is>
          <t>V01</t>
        </is>
      </c>
      <c r="D207" t="inlineStr">
        <is>
          <t>P001</t>
        </is>
      </c>
      <c r="E207" t="n">
        <v>1</v>
      </c>
      <c r="F207" s="4" t="n">
        <v>5899</v>
      </c>
      <c r="G207">
        <f>_xlfn.XLOOKUP(tbLoja[[#This Row],[Cod_Produto]],tbProdutos[Cod_Produto],tbProdutos[Produto],"Não cadastrado")</f>
        <v/>
      </c>
      <c r="H207">
        <f>_xlfn.XLOOKUP(tbLoja[[#This Row],[Cod_Produto]],tbProdutos[Cod_Produto],tbProdutos[Categoria],"Não cadastrado")</f>
        <v/>
      </c>
      <c r="I207" s="4">
        <f>_xlfn.XLOOKUP(tbLoja[[#This Row],[Cod_Produto]],tbProdutos[Cod_Produto],tbProdutos[Custo Unitário],0)</f>
        <v/>
      </c>
      <c r="J207">
        <f>_xlfn.XLOOKUP(tbLoja[[#This Row],[ID_Vendedor]],tbVendedores[ID_Vendedor],tbVendedores[Vendedor],"Não cadastrado")</f>
        <v/>
      </c>
      <c r="K207" s="4">
        <f>tbLoja[[#This Row],[Quantidade]]*tbLoja[[#This Row],[Preço Unitário]]</f>
        <v/>
      </c>
      <c r="L207" s="4">
        <f>tbLoja[[#This Row],[Faturamento]]-tbLoja[[#This Row],[Quantidade]]*tbLoja[[#This Row],[Custo Unitário]]</f>
        <v/>
      </c>
      <c r="M207">
        <f>MONTH(tbLoja[[#This Row],[Data]])</f>
        <v/>
      </c>
    </row>
    <row r="208">
      <c r="A208" t="inlineStr">
        <is>
          <t>L0207</t>
        </is>
      </c>
      <c r="B208" s="9" t="n">
        <v>46087</v>
      </c>
      <c r="C208" t="inlineStr">
        <is>
          <t>V01</t>
        </is>
      </c>
      <c r="D208" t="inlineStr">
        <is>
          <t>P009</t>
        </is>
      </c>
      <c r="E208" t="n">
        <v>5</v>
      </c>
      <c r="F208" s="4" t="n">
        <v>499</v>
      </c>
      <c r="G208">
        <f>_xlfn.XLOOKUP(tbLoja[[#This Row],[Cod_Produto]],tbProdutos[Cod_Produto],tbProdutos[Produto],"Não cadastrado")</f>
        <v/>
      </c>
      <c r="H208">
        <f>_xlfn.XLOOKUP(tbLoja[[#This Row],[Cod_Produto]],tbProdutos[Cod_Produto],tbProdutos[Categoria],"Não cadastrado")</f>
        <v/>
      </c>
      <c r="I208" s="4">
        <f>_xlfn.XLOOKUP(tbLoja[[#This Row],[Cod_Produto]],tbProdutos[Cod_Produto],tbProdutos[Custo Unitário],0)</f>
        <v/>
      </c>
      <c r="J208">
        <f>_xlfn.XLOOKUP(tbLoja[[#This Row],[ID_Vendedor]],tbVendedores[ID_Vendedor],tbVendedores[Vendedor],"Não cadastrado")</f>
        <v/>
      </c>
      <c r="K208" s="4">
        <f>tbLoja[[#This Row],[Quantidade]]*tbLoja[[#This Row],[Preço Unitário]]</f>
        <v/>
      </c>
      <c r="L208" s="4">
        <f>tbLoja[[#This Row],[Faturamento]]-tbLoja[[#This Row],[Quantidade]]*tbLoja[[#This Row],[Custo Unitário]]</f>
        <v/>
      </c>
      <c r="M208">
        <f>MONTH(tbLoja[[#This Row],[Data]])</f>
        <v/>
      </c>
    </row>
    <row r="209">
      <c r="A209" t="inlineStr">
        <is>
          <t>L0208</t>
        </is>
      </c>
      <c r="B209" s="9" t="n">
        <v>46087</v>
      </c>
      <c r="C209" t="inlineStr">
        <is>
          <t>V04</t>
        </is>
      </c>
      <c r="D209" t="inlineStr">
        <is>
          <t>P005</t>
        </is>
      </c>
      <c r="E209" t="n">
        <v>2</v>
      </c>
      <c r="F209" s="4" t="n">
        <v>349</v>
      </c>
      <c r="G209">
        <f>_xlfn.XLOOKUP(tbLoja[[#This Row],[Cod_Produto]],tbProdutos[Cod_Produto],tbProdutos[Produto],"Não cadastrado")</f>
        <v/>
      </c>
      <c r="H209">
        <f>_xlfn.XLOOKUP(tbLoja[[#This Row],[Cod_Produto]],tbProdutos[Cod_Produto],tbProdutos[Categoria],"Não cadastrado")</f>
        <v/>
      </c>
      <c r="I209" s="4">
        <f>_xlfn.XLOOKUP(tbLoja[[#This Row],[Cod_Produto]],tbProdutos[Cod_Produto],tbProdutos[Custo Unitário],0)</f>
        <v/>
      </c>
      <c r="J209">
        <f>_xlfn.XLOOKUP(tbLoja[[#This Row],[ID_Vendedor]],tbVendedores[ID_Vendedor],tbVendedores[Vendedor],"Não cadastrado")</f>
        <v/>
      </c>
      <c r="K209" s="4">
        <f>tbLoja[[#This Row],[Quantidade]]*tbLoja[[#This Row],[Preço Unitário]]</f>
        <v/>
      </c>
      <c r="L209" s="4">
        <f>tbLoja[[#This Row],[Faturamento]]-tbLoja[[#This Row],[Quantidade]]*tbLoja[[#This Row],[Custo Unitário]]</f>
        <v/>
      </c>
      <c r="M209">
        <f>MONTH(tbLoja[[#This Row],[Data]])</f>
        <v/>
      </c>
    </row>
    <row r="210">
      <c r="A210" t="inlineStr">
        <is>
          <t>L0209</t>
        </is>
      </c>
      <c r="B210" s="9" t="n">
        <v>46087</v>
      </c>
      <c r="C210" t="inlineStr">
        <is>
          <t>V03</t>
        </is>
      </c>
      <c r="D210" t="inlineStr">
        <is>
          <t>P009</t>
        </is>
      </c>
      <c r="E210" t="n">
        <v>3</v>
      </c>
      <c r="F210" s="4" t="n">
        <v>499</v>
      </c>
      <c r="G210">
        <f>_xlfn.XLOOKUP(tbLoja[[#This Row],[Cod_Produto]],tbProdutos[Cod_Produto],tbProdutos[Produto],"Não cadastrado")</f>
        <v/>
      </c>
      <c r="H210">
        <f>_xlfn.XLOOKUP(tbLoja[[#This Row],[Cod_Produto]],tbProdutos[Cod_Produto],tbProdutos[Categoria],"Não cadastrado")</f>
        <v/>
      </c>
      <c r="I210" s="4">
        <f>_xlfn.XLOOKUP(tbLoja[[#This Row],[Cod_Produto]],tbProdutos[Cod_Produto],tbProdutos[Custo Unitário],0)</f>
        <v/>
      </c>
      <c r="J210">
        <f>_xlfn.XLOOKUP(tbLoja[[#This Row],[ID_Vendedor]],tbVendedores[ID_Vendedor],tbVendedores[Vendedor],"Não cadastrado")</f>
        <v/>
      </c>
      <c r="K210" s="4">
        <f>tbLoja[[#This Row],[Quantidade]]*tbLoja[[#This Row],[Preço Unitário]]</f>
        <v/>
      </c>
      <c r="L210" s="4">
        <f>tbLoja[[#This Row],[Faturamento]]-tbLoja[[#This Row],[Quantidade]]*tbLoja[[#This Row],[Custo Unitário]]</f>
        <v/>
      </c>
      <c r="M210">
        <f>MONTH(tbLoja[[#This Row],[Data]])</f>
        <v/>
      </c>
    </row>
    <row r="211">
      <c r="A211" t="inlineStr">
        <is>
          <t>L0210</t>
        </is>
      </c>
      <c r="B211" s="9" t="n">
        <v>46087</v>
      </c>
      <c r="C211" t="inlineStr">
        <is>
          <t>V01</t>
        </is>
      </c>
      <c r="D211" t="inlineStr">
        <is>
          <t>P001</t>
        </is>
      </c>
      <c r="E211" t="n">
        <v>1</v>
      </c>
      <c r="F211" s="4" t="n">
        <v>5899</v>
      </c>
      <c r="G211">
        <f>_xlfn.XLOOKUP(tbLoja[[#This Row],[Cod_Produto]],tbProdutos[Cod_Produto],tbProdutos[Produto],"Não cadastrado")</f>
        <v/>
      </c>
      <c r="H211">
        <f>_xlfn.XLOOKUP(tbLoja[[#This Row],[Cod_Produto]],tbProdutos[Cod_Produto],tbProdutos[Categoria],"Não cadastrado")</f>
        <v/>
      </c>
      <c r="I211" s="4">
        <f>_xlfn.XLOOKUP(tbLoja[[#This Row],[Cod_Produto]],tbProdutos[Cod_Produto],tbProdutos[Custo Unitário],0)</f>
        <v/>
      </c>
      <c r="J211">
        <f>_xlfn.XLOOKUP(tbLoja[[#This Row],[ID_Vendedor]],tbVendedores[ID_Vendedor],tbVendedores[Vendedor],"Não cadastrado")</f>
        <v/>
      </c>
      <c r="K211" s="4">
        <f>tbLoja[[#This Row],[Quantidade]]*tbLoja[[#This Row],[Preço Unitário]]</f>
        <v/>
      </c>
      <c r="L211" s="4">
        <f>tbLoja[[#This Row],[Faturamento]]-tbLoja[[#This Row],[Quantidade]]*tbLoja[[#This Row],[Custo Unitário]]</f>
        <v/>
      </c>
      <c r="M211">
        <f>MONTH(tbLoja[[#This Row],[Data]])</f>
        <v/>
      </c>
    </row>
    <row r="212">
      <c r="A212" t="inlineStr">
        <is>
          <t>L0211</t>
        </is>
      </c>
      <c r="B212" s="9" t="n">
        <v>46088</v>
      </c>
      <c r="C212" t="inlineStr">
        <is>
          <t>V03</t>
        </is>
      </c>
      <c r="D212" t="inlineStr">
        <is>
          <t>P009</t>
        </is>
      </c>
      <c r="E212" t="n">
        <v>4</v>
      </c>
      <c r="F212" s="4" t="n">
        <v>499</v>
      </c>
      <c r="G212">
        <f>_xlfn.XLOOKUP(tbLoja[[#This Row],[Cod_Produto]],tbProdutos[Cod_Produto],tbProdutos[Produto],"Não cadastrado")</f>
        <v/>
      </c>
      <c r="H212">
        <f>_xlfn.XLOOKUP(tbLoja[[#This Row],[Cod_Produto]],tbProdutos[Cod_Produto],tbProdutos[Categoria],"Não cadastrado")</f>
        <v/>
      </c>
      <c r="I212" s="4">
        <f>_xlfn.XLOOKUP(tbLoja[[#This Row],[Cod_Produto]],tbProdutos[Cod_Produto],tbProdutos[Custo Unitário],0)</f>
        <v/>
      </c>
      <c r="J212">
        <f>_xlfn.XLOOKUP(tbLoja[[#This Row],[ID_Vendedor]],tbVendedores[ID_Vendedor],tbVendedores[Vendedor],"Não cadastrado")</f>
        <v/>
      </c>
      <c r="K212" s="4">
        <f>tbLoja[[#This Row],[Quantidade]]*tbLoja[[#This Row],[Preço Unitário]]</f>
        <v/>
      </c>
      <c r="L212" s="4">
        <f>tbLoja[[#This Row],[Faturamento]]-tbLoja[[#This Row],[Quantidade]]*tbLoja[[#This Row],[Custo Unitário]]</f>
        <v/>
      </c>
      <c r="M212">
        <f>MONTH(tbLoja[[#This Row],[Data]])</f>
        <v/>
      </c>
    </row>
    <row r="213">
      <c r="A213" t="inlineStr">
        <is>
          <t>L0212</t>
        </is>
      </c>
      <c r="B213" s="9" t="n">
        <v>46088</v>
      </c>
      <c r="C213" t="inlineStr">
        <is>
          <t>V06</t>
        </is>
      </c>
      <c r="D213" t="inlineStr">
        <is>
          <t>P004</t>
        </is>
      </c>
      <c r="E213" t="n">
        <v>1</v>
      </c>
      <c r="F213" s="4" t="n">
        <v>999</v>
      </c>
      <c r="G213">
        <f>_xlfn.XLOOKUP(tbLoja[[#This Row],[Cod_Produto]],tbProdutos[Cod_Produto],tbProdutos[Produto],"Não cadastrado")</f>
        <v/>
      </c>
      <c r="H213">
        <f>_xlfn.XLOOKUP(tbLoja[[#This Row],[Cod_Produto]],tbProdutos[Cod_Produto],tbProdutos[Categoria],"Não cadastrado")</f>
        <v/>
      </c>
      <c r="I213" s="4">
        <f>_xlfn.XLOOKUP(tbLoja[[#This Row],[Cod_Produto]],tbProdutos[Cod_Produto],tbProdutos[Custo Unitário],0)</f>
        <v/>
      </c>
      <c r="J213">
        <f>_xlfn.XLOOKUP(tbLoja[[#This Row],[ID_Vendedor]],tbVendedores[ID_Vendedor],tbVendedores[Vendedor],"Não cadastrado")</f>
        <v/>
      </c>
      <c r="K213" s="4">
        <f>tbLoja[[#This Row],[Quantidade]]*tbLoja[[#This Row],[Preço Unitário]]</f>
        <v/>
      </c>
      <c r="L213" s="4">
        <f>tbLoja[[#This Row],[Faturamento]]-tbLoja[[#This Row],[Quantidade]]*tbLoja[[#This Row],[Custo Unitário]]</f>
        <v/>
      </c>
      <c r="M213">
        <f>MONTH(tbLoja[[#This Row],[Data]])</f>
        <v/>
      </c>
    </row>
    <row r="214">
      <c r="A214" t="inlineStr">
        <is>
          <t>L0213</t>
        </is>
      </c>
      <c r="B214" s="9" t="n">
        <v>46090</v>
      </c>
      <c r="C214" t="inlineStr">
        <is>
          <t>V01</t>
        </is>
      </c>
      <c r="D214" t="inlineStr">
        <is>
          <t>P004</t>
        </is>
      </c>
      <c r="E214" t="n">
        <v>2</v>
      </c>
      <c r="F214" s="4" t="n">
        <v>999</v>
      </c>
      <c r="G214">
        <f>_xlfn.XLOOKUP(tbLoja[[#This Row],[Cod_Produto]],tbProdutos[Cod_Produto],tbProdutos[Produto],"Não cadastrado")</f>
        <v/>
      </c>
      <c r="H214">
        <f>_xlfn.XLOOKUP(tbLoja[[#This Row],[Cod_Produto]],tbProdutos[Cod_Produto],tbProdutos[Categoria],"Não cadastrado")</f>
        <v/>
      </c>
      <c r="I214" s="4">
        <f>_xlfn.XLOOKUP(tbLoja[[#This Row],[Cod_Produto]],tbProdutos[Cod_Produto],tbProdutos[Custo Unitário],0)</f>
        <v/>
      </c>
      <c r="J214">
        <f>_xlfn.XLOOKUP(tbLoja[[#This Row],[ID_Vendedor]],tbVendedores[ID_Vendedor],tbVendedores[Vendedor],"Não cadastrado")</f>
        <v/>
      </c>
      <c r="K214" s="4">
        <f>tbLoja[[#This Row],[Quantidade]]*tbLoja[[#This Row],[Preço Unitário]]</f>
        <v/>
      </c>
      <c r="L214" s="4">
        <f>tbLoja[[#This Row],[Faturamento]]-tbLoja[[#This Row],[Quantidade]]*tbLoja[[#This Row],[Custo Unitário]]</f>
        <v/>
      </c>
      <c r="M214">
        <f>MONTH(tbLoja[[#This Row],[Data]])</f>
        <v/>
      </c>
    </row>
    <row r="215">
      <c r="A215" t="inlineStr">
        <is>
          <t>L0214</t>
        </is>
      </c>
      <c r="B215" s="9" t="n">
        <v>46090</v>
      </c>
      <c r="C215" t="inlineStr">
        <is>
          <t>V06</t>
        </is>
      </c>
      <c r="D215" t="inlineStr">
        <is>
          <t>P009</t>
        </is>
      </c>
      <c r="E215" t="n">
        <v>2</v>
      </c>
      <c r="F215" s="4" t="n">
        <v>499</v>
      </c>
      <c r="G215">
        <f>_xlfn.XLOOKUP(tbLoja[[#This Row],[Cod_Produto]],tbProdutos[Cod_Produto],tbProdutos[Produto],"Não cadastrado")</f>
        <v/>
      </c>
      <c r="H215">
        <f>_xlfn.XLOOKUP(tbLoja[[#This Row],[Cod_Produto]],tbProdutos[Cod_Produto],tbProdutos[Categoria],"Não cadastrado")</f>
        <v/>
      </c>
      <c r="I215" s="4">
        <f>_xlfn.XLOOKUP(tbLoja[[#This Row],[Cod_Produto]],tbProdutos[Cod_Produto],tbProdutos[Custo Unitário],0)</f>
        <v/>
      </c>
      <c r="J215">
        <f>_xlfn.XLOOKUP(tbLoja[[#This Row],[ID_Vendedor]],tbVendedores[ID_Vendedor],tbVendedores[Vendedor],"Não cadastrado")</f>
        <v/>
      </c>
      <c r="K215" s="4">
        <f>tbLoja[[#This Row],[Quantidade]]*tbLoja[[#This Row],[Preço Unitário]]</f>
        <v/>
      </c>
      <c r="L215" s="4">
        <f>tbLoja[[#This Row],[Faturamento]]-tbLoja[[#This Row],[Quantidade]]*tbLoja[[#This Row],[Custo Unitário]]</f>
        <v/>
      </c>
      <c r="M215">
        <f>MONTH(tbLoja[[#This Row],[Data]])</f>
        <v/>
      </c>
    </row>
    <row r="216">
      <c r="A216" t="inlineStr">
        <is>
          <t>L0215</t>
        </is>
      </c>
      <c r="B216" s="9" t="n">
        <v>46091</v>
      </c>
      <c r="C216" t="inlineStr">
        <is>
          <t>V01</t>
        </is>
      </c>
      <c r="D216" t="inlineStr">
        <is>
          <t>P005</t>
        </is>
      </c>
      <c r="E216" t="n">
        <v>1</v>
      </c>
      <c r="F216" s="4" t="n">
        <v>349</v>
      </c>
      <c r="G216">
        <f>_xlfn.XLOOKUP(tbLoja[[#This Row],[Cod_Produto]],tbProdutos[Cod_Produto],tbProdutos[Produto],"Não cadastrado")</f>
        <v/>
      </c>
      <c r="H216">
        <f>_xlfn.XLOOKUP(tbLoja[[#This Row],[Cod_Produto]],tbProdutos[Cod_Produto],tbProdutos[Categoria],"Não cadastrado")</f>
        <v/>
      </c>
      <c r="I216" s="4">
        <f>_xlfn.XLOOKUP(tbLoja[[#This Row],[Cod_Produto]],tbProdutos[Cod_Produto],tbProdutos[Custo Unitário],0)</f>
        <v/>
      </c>
      <c r="J216">
        <f>_xlfn.XLOOKUP(tbLoja[[#This Row],[ID_Vendedor]],tbVendedores[ID_Vendedor],tbVendedores[Vendedor],"Não cadastrado")</f>
        <v/>
      </c>
      <c r="K216" s="4">
        <f>tbLoja[[#This Row],[Quantidade]]*tbLoja[[#This Row],[Preço Unitário]]</f>
        <v/>
      </c>
      <c r="L216" s="4">
        <f>tbLoja[[#This Row],[Faturamento]]-tbLoja[[#This Row],[Quantidade]]*tbLoja[[#This Row],[Custo Unitário]]</f>
        <v/>
      </c>
      <c r="M216">
        <f>MONTH(tbLoja[[#This Row],[Data]])</f>
        <v/>
      </c>
    </row>
    <row r="217">
      <c r="A217" t="inlineStr">
        <is>
          <t>L0216</t>
        </is>
      </c>
      <c r="B217" s="9" t="n">
        <v>46091</v>
      </c>
      <c r="C217" t="inlineStr">
        <is>
          <t>V05</t>
        </is>
      </c>
      <c r="D217" t="inlineStr">
        <is>
          <t>P006</t>
        </is>
      </c>
      <c r="E217" t="n">
        <v>5</v>
      </c>
      <c r="F217" s="4" t="n">
        <v>119</v>
      </c>
      <c r="G217">
        <f>_xlfn.XLOOKUP(tbLoja[[#This Row],[Cod_Produto]],tbProdutos[Cod_Produto],tbProdutos[Produto],"Não cadastrado")</f>
        <v/>
      </c>
      <c r="H217">
        <f>_xlfn.XLOOKUP(tbLoja[[#This Row],[Cod_Produto]],tbProdutos[Cod_Produto],tbProdutos[Categoria],"Não cadastrado")</f>
        <v/>
      </c>
      <c r="I217" s="4">
        <f>_xlfn.XLOOKUP(tbLoja[[#This Row],[Cod_Produto]],tbProdutos[Cod_Produto],tbProdutos[Custo Unitário],0)</f>
        <v/>
      </c>
      <c r="J217">
        <f>_xlfn.XLOOKUP(tbLoja[[#This Row],[ID_Vendedor]],tbVendedores[ID_Vendedor],tbVendedores[Vendedor],"Não cadastrado")</f>
        <v/>
      </c>
      <c r="K217" s="4">
        <f>tbLoja[[#This Row],[Quantidade]]*tbLoja[[#This Row],[Preço Unitário]]</f>
        <v/>
      </c>
      <c r="L217" s="4">
        <f>tbLoja[[#This Row],[Faturamento]]-tbLoja[[#This Row],[Quantidade]]*tbLoja[[#This Row],[Custo Unitário]]</f>
        <v/>
      </c>
      <c r="M217">
        <f>MONTH(tbLoja[[#This Row],[Data]])</f>
        <v/>
      </c>
    </row>
    <row r="218">
      <c r="A218" t="inlineStr">
        <is>
          <t>L0217</t>
        </is>
      </c>
      <c r="B218" s="9" t="n">
        <v>46091</v>
      </c>
      <c r="C218" t="inlineStr">
        <is>
          <t>V04</t>
        </is>
      </c>
      <c r="D218" t="inlineStr">
        <is>
          <t>P008</t>
        </is>
      </c>
      <c r="E218" t="n">
        <v>5</v>
      </c>
      <c r="F218" s="4" t="n">
        <v>259</v>
      </c>
      <c r="G218">
        <f>_xlfn.XLOOKUP(tbLoja[[#This Row],[Cod_Produto]],tbProdutos[Cod_Produto],tbProdutos[Produto],"Não cadastrado")</f>
        <v/>
      </c>
      <c r="H218">
        <f>_xlfn.XLOOKUP(tbLoja[[#This Row],[Cod_Produto]],tbProdutos[Cod_Produto],tbProdutos[Categoria],"Não cadastrado")</f>
        <v/>
      </c>
      <c r="I218" s="4">
        <f>_xlfn.XLOOKUP(tbLoja[[#This Row],[Cod_Produto]],tbProdutos[Cod_Produto],tbProdutos[Custo Unitário],0)</f>
        <v/>
      </c>
      <c r="J218">
        <f>_xlfn.XLOOKUP(tbLoja[[#This Row],[ID_Vendedor]],tbVendedores[ID_Vendedor],tbVendedores[Vendedor],"Não cadastrado")</f>
        <v/>
      </c>
      <c r="K218" s="4">
        <f>tbLoja[[#This Row],[Quantidade]]*tbLoja[[#This Row],[Preço Unitário]]</f>
        <v/>
      </c>
      <c r="L218" s="4">
        <f>tbLoja[[#This Row],[Faturamento]]-tbLoja[[#This Row],[Quantidade]]*tbLoja[[#This Row],[Custo Unitário]]</f>
        <v/>
      </c>
      <c r="M218">
        <f>MONTH(tbLoja[[#This Row],[Data]])</f>
        <v/>
      </c>
    </row>
    <row r="219">
      <c r="A219" t="inlineStr">
        <is>
          <t>L0218</t>
        </is>
      </c>
      <c r="B219" s="9" t="n">
        <v>46091</v>
      </c>
      <c r="C219" t="inlineStr">
        <is>
          <t>V06</t>
        </is>
      </c>
      <c r="D219" t="inlineStr">
        <is>
          <t>P002</t>
        </is>
      </c>
      <c r="E219" t="n">
        <v>1</v>
      </c>
      <c r="F219" s="4" t="n">
        <v>3299</v>
      </c>
      <c r="G219">
        <f>_xlfn.XLOOKUP(tbLoja[[#This Row],[Cod_Produto]],tbProdutos[Cod_Produto],tbProdutos[Produto],"Não cadastrado")</f>
        <v/>
      </c>
      <c r="H219">
        <f>_xlfn.XLOOKUP(tbLoja[[#This Row],[Cod_Produto]],tbProdutos[Cod_Produto],tbProdutos[Categoria],"Não cadastrado")</f>
        <v/>
      </c>
      <c r="I219" s="4">
        <f>_xlfn.XLOOKUP(tbLoja[[#This Row],[Cod_Produto]],tbProdutos[Cod_Produto],tbProdutos[Custo Unitário],0)</f>
        <v/>
      </c>
      <c r="J219">
        <f>_xlfn.XLOOKUP(tbLoja[[#This Row],[ID_Vendedor]],tbVendedores[ID_Vendedor],tbVendedores[Vendedor],"Não cadastrado")</f>
        <v/>
      </c>
      <c r="K219" s="4">
        <f>tbLoja[[#This Row],[Quantidade]]*tbLoja[[#This Row],[Preço Unitário]]</f>
        <v/>
      </c>
      <c r="L219" s="4">
        <f>tbLoja[[#This Row],[Faturamento]]-tbLoja[[#This Row],[Quantidade]]*tbLoja[[#This Row],[Custo Unitário]]</f>
        <v/>
      </c>
      <c r="M219">
        <f>MONTH(tbLoja[[#This Row],[Data]])</f>
        <v/>
      </c>
    </row>
    <row r="220">
      <c r="A220" t="inlineStr">
        <is>
          <t>L0219</t>
        </is>
      </c>
      <c r="B220" s="9" t="n">
        <v>46092</v>
      </c>
      <c r="C220" t="inlineStr">
        <is>
          <t>V01</t>
        </is>
      </c>
      <c r="D220" t="inlineStr">
        <is>
          <t>P006</t>
        </is>
      </c>
      <c r="E220" t="n">
        <v>3</v>
      </c>
      <c r="F220" s="4" t="n">
        <v>119</v>
      </c>
      <c r="G220">
        <f>_xlfn.XLOOKUP(tbLoja[[#This Row],[Cod_Produto]],tbProdutos[Cod_Produto],tbProdutos[Produto],"Não cadastrado")</f>
        <v/>
      </c>
      <c r="H220">
        <f>_xlfn.XLOOKUP(tbLoja[[#This Row],[Cod_Produto]],tbProdutos[Cod_Produto],tbProdutos[Categoria],"Não cadastrado")</f>
        <v/>
      </c>
      <c r="I220" s="4">
        <f>_xlfn.XLOOKUP(tbLoja[[#This Row],[Cod_Produto]],tbProdutos[Cod_Produto],tbProdutos[Custo Unitário],0)</f>
        <v/>
      </c>
      <c r="J220">
        <f>_xlfn.XLOOKUP(tbLoja[[#This Row],[ID_Vendedor]],tbVendedores[ID_Vendedor],tbVendedores[Vendedor],"Não cadastrado")</f>
        <v/>
      </c>
      <c r="K220" s="4">
        <f>tbLoja[[#This Row],[Quantidade]]*tbLoja[[#This Row],[Preço Unitário]]</f>
        <v/>
      </c>
      <c r="L220" s="4">
        <f>tbLoja[[#This Row],[Faturamento]]-tbLoja[[#This Row],[Quantidade]]*tbLoja[[#This Row],[Custo Unitário]]</f>
        <v/>
      </c>
      <c r="M220">
        <f>MONTH(tbLoja[[#This Row],[Data]])</f>
        <v/>
      </c>
    </row>
    <row r="221">
      <c r="A221" t="inlineStr">
        <is>
          <t>L0220</t>
        </is>
      </c>
      <c r="B221" s="9" t="n">
        <v>46092</v>
      </c>
      <c r="C221" t="inlineStr">
        <is>
          <t>V02</t>
        </is>
      </c>
      <c r="D221" t="inlineStr">
        <is>
          <t>P007</t>
        </is>
      </c>
      <c r="E221" t="n">
        <v>4</v>
      </c>
      <c r="F221" s="4" t="n">
        <v>399</v>
      </c>
      <c r="G221">
        <f>_xlfn.XLOOKUP(tbLoja[[#This Row],[Cod_Produto]],tbProdutos[Cod_Produto],tbProdutos[Produto],"Não cadastrado")</f>
        <v/>
      </c>
      <c r="H221">
        <f>_xlfn.XLOOKUP(tbLoja[[#This Row],[Cod_Produto]],tbProdutos[Cod_Produto],tbProdutos[Categoria],"Não cadastrado")</f>
        <v/>
      </c>
      <c r="I221" s="4">
        <f>_xlfn.XLOOKUP(tbLoja[[#This Row],[Cod_Produto]],tbProdutos[Cod_Produto],tbProdutos[Custo Unitário],0)</f>
        <v/>
      </c>
      <c r="J221">
        <f>_xlfn.XLOOKUP(tbLoja[[#This Row],[ID_Vendedor]],tbVendedores[ID_Vendedor],tbVendedores[Vendedor],"Não cadastrado")</f>
        <v/>
      </c>
      <c r="K221" s="4">
        <f>tbLoja[[#This Row],[Quantidade]]*tbLoja[[#This Row],[Preço Unitário]]</f>
        <v/>
      </c>
      <c r="L221" s="4">
        <f>tbLoja[[#This Row],[Faturamento]]-tbLoja[[#This Row],[Quantidade]]*tbLoja[[#This Row],[Custo Unitário]]</f>
        <v/>
      </c>
      <c r="M221">
        <f>MONTH(tbLoja[[#This Row],[Data]])</f>
        <v/>
      </c>
    </row>
    <row r="222">
      <c r="A222" t="inlineStr">
        <is>
          <t>L0221</t>
        </is>
      </c>
      <c r="B222" s="9" t="n">
        <v>46092</v>
      </c>
      <c r="C222" t="inlineStr">
        <is>
          <t>V02</t>
        </is>
      </c>
      <c r="D222" t="inlineStr">
        <is>
          <t>P009</t>
        </is>
      </c>
      <c r="E222" t="n">
        <v>5</v>
      </c>
      <c r="F222" s="4" t="n">
        <v>499</v>
      </c>
      <c r="G222">
        <f>_xlfn.XLOOKUP(tbLoja[[#This Row],[Cod_Produto]],tbProdutos[Cod_Produto],tbProdutos[Produto],"Não cadastrado")</f>
        <v/>
      </c>
      <c r="H222">
        <f>_xlfn.XLOOKUP(tbLoja[[#This Row],[Cod_Produto]],tbProdutos[Cod_Produto],tbProdutos[Categoria],"Não cadastrado")</f>
        <v/>
      </c>
      <c r="I222" s="4">
        <f>_xlfn.XLOOKUP(tbLoja[[#This Row],[Cod_Produto]],tbProdutos[Cod_Produto],tbProdutos[Custo Unitário],0)</f>
        <v/>
      </c>
      <c r="J222">
        <f>_xlfn.XLOOKUP(tbLoja[[#This Row],[ID_Vendedor]],tbVendedores[ID_Vendedor],tbVendedores[Vendedor],"Não cadastrado")</f>
        <v/>
      </c>
      <c r="K222" s="4">
        <f>tbLoja[[#This Row],[Quantidade]]*tbLoja[[#This Row],[Preço Unitário]]</f>
        <v/>
      </c>
      <c r="L222" s="4">
        <f>tbLoja[[#This Row],[Faturamento]]-tbLoja[[#This Row],[Quantidade]]*tbLoja[[#This Row],[Custo Unitário]]</f>
        <v/>
      </c>
      <c r="M222">
        <f>MONTH(tbLoja[[#This Row],[Data]])</f>
        <v/>
      </c>
    </row>
    <row r="223">
      <c r="A223" t="inlineStr">
        <is>
          <t>L0222</t>
        </is>
      </c>
      <c r="B223" s="9" t="n">
        <v>46093</v>
      </c>
      <c r="C223" t="inlineStr">
        <is>
          <t>V02</t>
        </is>
      </c>
      <c r="D223" t="inlineStr">
        <is>
          <t>P010</t>
        </is>
      </c>
      <c r="E223" t="n">
        <v>2</v>
      </c>
      <c r="F223" s="4" t="n">
        <v>1299</v>
      </c>
      <c r="G223">
        <f>_xlfn.XLOOKUP(tbLoja[[#This Row],[Cod_Produto]],tbProdutos[Cod_Produto],tbProdutos[Produto],"Não cadastrado")</f>
        <v/>
      </c>
      <c r="H223">
        <f>_xlfn.XLOOKUP(tbLoja[[#This Row],[Cod_Produto]],tbProdutos[Cod_Produto],tbProdutos[Categoria],"Não cadastrado")</f>
        <v/>
      </c>
      <c r="I223" s="4">
        <f>_xlfn.XLOOKUP(tbLoja[[#This Row],[Cod_Produto]],tbProdutos[Cod_Produto],tbProdutos[Custo Unitário],0)</f>
        <v/>
      </c>
      <c r="J223">
        <f>_xlfn.XLOOKUP(tbLoja[[#This Row],[ID_Vendedor]],tbVendedores[ID_Vendedor],tbVendedores[Vendedor],"Não cadastrado")</f>
        <v/>
      </c>
      <c r="K223" s="4">
        <f>tbLoja[[#This Row],[Quantidade]]*tbLoja[[#This Row],[Preço Unitário]]</f>
        <v/>
      </c>
      <c r="L223" s="4">
        <f>tbLoja[[#This Row],[Faturamento]]-tbLoja[[#This Row],[Quantidade]]*tbLoja[[#This Row],[Custo Unitário]]</f>
        <v/>
      </c>
      <c r="M223">
        <f>MONTH(tbLoja[[#This Row],[Data]])</f>
        <v/>
      </c>
    </row>
    <row r="224">
      <c r="A224" t="inlineStr">
        <is>
          <t>L0223</t>
        </is>
      </c>
      <c r="B224" s="9" t="n">
        <v>46093</v>
      </c>
      <c r="C224" t="inlineStr">
        <is>
          <t>V04</t>
        </is>
      </c>
      <c r="D224" t="inlineStr">
        <is>
          <t>P005</t>
        </is>
      </c>
      <c r="E224" t="n">
        <v>2</v>
      </c>
      <c r="F224" s="4" t="n">
        <v>349</v>
      </c>
      <c r="G224">
        <f>_xlfn.XLOOKUP(tbLoja[[#This Row],[Cod_Produto]],tbProdutos[Cod_Produto],tbProdutos[Produto],"Não cadastrado")</f>
        <v/>
      </c>
      <c r="H224">
        <f>_xlfn.XLOOKUP(tbLoja[[#This Row],[Cod_Produto]],tbProdutos[Cod_Produto],tbProdutos[Categoria],"Não cadastrado")</f>
        <v/>
      </c>
      <c r="I224" s="4">
        <f>_xlfn.XLOOKUP(tbLoja[[#This Row],[Cod_Produto]],tbProdutos[Cod_Produto],tbProdutos[Custo Unitário],0)</f>
        <v/>
      </c>
      <c r="J224">
        <f>_xlfn.XLOOKUP(tbLoja[[#This Row],[ID_Vendedor]],tbVendedores[ID_Vendedor],tbVendedores[Vendedor],"Não cadastrado")</f>
        <v/>
      </c>
      <c r="K224" s="4">
        <f>tbLoja[[#This Row],[Quantidade]]*tbLoja[[#This Row],[Preço Unitário]]</f>
        <v/>
      </c>
      <c r="L224" s="4">
        <f>tbLoja[[#This Row],[Faturamento]]-tbLoja[[#This Row],[Quantidade]]*tbLoja[[#This Row],[Custo Unitário]]</f>
        <v/>
      </c>
      <c r="M224">
        <f>MONTH(tbLoja[[#This Row],[Data]])</f>
        <v/>
      </c>
    </row>
    <row r="225">
      <c r="A225" t="inlineStr">
        <is>
          <t>L0224</t>
        </is>
      </c>
      <c r="B225" s="9" t="n">
        <v>46093</v>
      </c>
      <c r="C225" t="inlineStr">
        <is>
          <t>V01</t>
        </is>
      </c>
      <c r="D225" t="inlineStr">
        <is>
          <t>P006</t>
        </is>
      </c>
      <c r="E225" t="n">
        <v>1</v>
      </c>
      <c r="F225" s="4" t="n">
        <v>119</v>
      </c>
      <c r="G225">
        <f>_xlfn.XLOOKUP(tbLoja[[#This Row],[Cod_Produto]],tbProdutos[Cod_Produto],tbProdutos[Produto],"Não cadastrado")</f>
        <v/>
      </c>
      <c r="H225">
        <f>_xlfn.XLOOKUP(tbLoja[[#This Row],[Cod_Produto]],tbProdutos[Cod_Produto],tbProdutos[Categoria],"Não cadastrado")</f>
        <v/>
      </c>
      <c r="I225" s="4">
        <f>_xlfn.XLOOKUP(tbLoja[[#This Row],[Cod_Produto]],tbProdutos[Cod_Produto],tbProdutos[Custo Unitário],0)</f>
        <v/>
      </c>
      <c r="J225">
        <f>_xlfn.XLOOKUP(tbLoja[[#This Row],[ID_Vendedor]],tbVendedores[ID_Vendedor],tbVendedores[Vendedor],"Não cadastrado")</f>
        <v/>
      </c>
      <c r="K225" s="4">
        <f>tbLoja[[#This Row],[Quantidade]]*tbLoja[[#This Row],[Preço Unitário]]</f>
        <v/>
      </c>
      <c r="L225" s="4">
        <f>tbLoja[[#This Row],[Faturamento]]-tbLoja[[#This Row],[Quantidade]]*tbLoja[[#This Row],[Custo Unitário]]</f>
        <v/>
      </c>
      <c r="M225">
        <f>MONTH(tbLoja[[#This Row],[Data]])</f>
        <v/>
      </c>
    </row>
    <row r="226">
      <c r="A226" t="inlineStr">
        <is>
          <t>L0225</t>
        </is>
      </c>
      <c r="B226" s="9" t="n">
        <v>46093</v>
      </c>
      <c r="C226" t="inlineStr">
        <is>
          <t>V02</t>
        </is>
      </c>
      <c r="D226" t="inlineStr">
        <is>
          <t>P005</t>
        </is>
      </c>
      <c r="E226" t="n">
        <v>2</v>
      </c>
      <c r="F226" s="4" t="n">
        <v>349</v>
      </c>
      <c r="G226">
        <f>_xlfn.XLOOKUP(tbLoja[[#This Row],[Cod_Produto]],tbProdutos[Cod_Produto],tbProdutos[Produto],"Não cadastrado")</f>
        <v/>
      </c>
      <c r="H226">
        <f>_xlfn.XLOOKUP(tbLoja[[#This Row],[Cod_Produto]],tbProdutos[Cod_Produto],tbProdutos[Categoria],"Não cadastrado")</f>
        <v/>
      </c>
      <c r="I226" s="4">
        <f>_xlfn.XLOOKUP(tbLoja[[#This Row],[Cod_Produto]],tbProdutos[Cod_Produto],tbProdutos[Custo Unitário],0)</f>
        <v/>
      </c>
      <c r="J226">
        <f>_xlfn.XLOOKUP(tbLoja[[#This Row],[ID_Vendedor]],tbVendedores[ID_Vendedor],tbVendedores[Vendedor],"Não cadastrado")</f>
        <v/>
      </c>
      <c r="K226" s="4">
        <f>tbLoja[[#This Row],[Quantidade]]*tbLoja[[#This Row],[Preço Unitário]]</f>
        <v/>
      </c>
      <c r="L226" s="4">
        <f>tbLoja[[#This Row],[Faturamento]]-tbLoja[[#This Row],[Quantidade]]*tbLoja[[#This Row],[Custo Unitário]]</f>
        <v/>
      </c>
      <c r="M226">
        <f>MONTH(tbLoja[[#This Row],[Data]])</f>
        <v/>
      </c>
    </row>
    <row r="227">
      <c r="A227" t="inlineStr">
        <is>
          <t>L0226</t>
        </is>
      </c>
      <c r="B227" s="9" t="n">
        <v>46094</v>
      </c>
      <c r="C227" t="inlineStr">
        <is>
          <t>V02</t>
        </is>
      </c>
      <c r="D227" t="inlineStr">
        <is>
          <t>P003</t>
        </is>
      </c>
      <c r="E227" t="n">
        <v>1</v>
      </c>
      <c r="F227" s="4" t="n">
        <v>1599</v>
      </c>
      <c r="G227">
        <f>_xlfn.XLOOKUP(tbLoja[[#This Row],[Cod_Produto]],tbProdutos[Cod_Produto],tbProdutos[Produto],"Não cadastrado")</f>
        <v/>
      </c>
      <c r="H227">
        <f>_xlfn.XLOOKUP(tbLoja[[#This Row],[Cod_Produto]],tbProdutos[Cod_Produto],tbProdutos[Categoria],"Não cadastrado")</f>
        <v/>
      </c>
      <c r="I227" s="4">
        <f>_xlfn.XLOOKUP(tbLoja[[#This Row],[Cod_Produto]],tbProdutos[Cod_Produto],tbProdutos[Custo Unitário],0)</f>
        <v/>
      </c>
      <c r="J227">
        <f>_xlfn.XLOOKUP(tbLoja[[#This Row],[ID_Vendedor]],tbVendedores[ID_Vendedor],tbVendedores[Vendedor],"Não cadastrado")</f>
        <v/>
      </c>
      <c r="K227" s="4">
        <f>tbLoja[[#This Row],[Quantidade]]*tbLoja[[#This Row],[Preço Unitário]]</f>
        <v/>
      </c>
      <c r="L227" s="4">
        <f>tbLoja[[#This Row],[Faturamento]]-tbLoja[[#This Row],[Quantidade]]*tbLoja[[#This Row],[Custo Unitário]]</f>
        <v/>
      </c>
      <c r="M227">
        <f>MONTH(tbLoja[[#This Row],[Data]])</f>
        <v/>
      </c>
    </row>
    <row r="228">
      <c r="A228" t="inlineStr">
        <is>
          <t>L0227</t>
        </is>
      </c>
      <c r="B228" s="9" t="n">
        <v>46094</v>
      </c>
      <c r="C228" t="inlineStr">
        <is>
          <t>V04</t>
        </is>
      </c>
      <c r="D228" t="inlineStr">
        <is>
          <t>P003</t>
        </is>
      </c>
      <c r="E228" t="n">
        <v>4</v>
      </c>
      <c r="F228" s="4" t="n">
        <v>1599</v>
      </c>
      <c r="G228">
        <f>_xlfn.XLOOKUP(tbLoja[[#This Row],[Cod_Produto]],tbProdutos[Cod_Produto],tbProdutos[Produto],"Não cadastrado")</f>
        <v/>
      </c>
      <c r="H228">
        <f>_xlfn.XLOOKUP(tbLoja[[#This Row],[Cod_Produto]],tbProdutos[Cod_Produto],tbProdutos[Categoria],"Não cadastrado")</f>
        <v/>
      </c>
      <c r="I228" s="4">
        <f>_xlfn.XLOOKUP(tbLoja[[#This Row],[Cod_Produto]],tbProdutos[Cod_Produto],tbProdutos[Custo Unitário],0)</f>
        <v/>
      </c>
      <c r="J228">
        <f>_xlfn.XLOOKUP(tbLoja[[#This Row],[ID_Vendedor]],tbVendedores[ID_Vendedor],tbVendedores[Vendedor],"Não cadastrado")</f>
        <v/>
      </c>
      <c r="K228" s="4">
        <f>tbLoja[[#This Row],[Quantidade]]*tbLoja[[#This Row],[Preço Unitário]]</f>
        <v/>
      </c>
      <c r="L228" s="4">
        <f>tbLoja[[#This Row],[Faturamento]]-tbLoja[[#This Row],[Quantidade]]*tbLoja[[#This Row],[Custo Unitário]]</f>
        <v/>
      </c>
      <c r="M228">
        <f>MONTH(tbLoja[[#This Row],[Data]])</f>
        <v/>
      </c>
    </row>
    <row r="229">
      <c r="A229" t="inlineStr">
        <is>
          <t>L0228</t>
        </is>
      </c>
      <c r="B229" s="9" t="n">
        <v>46094</v>
      </c>
      <c r="C229" t="inlineStr">
        <is>
          <t>V05</t>
        </is>
      </c>
      <c r="D229" t="inlineStr">
        <is>
          <t>P004</t>
        </is>
      </c>
      <c r="E229" t="n">
        <v>1</v>
      </c>
      <c r="F229" s="4" t="n">
        <v>999</v>
      </c>
      <c r="G229">
        <f>_xlfn.XLOOKUP(tbLoja[[#This Row],[Cod_Produto]],tbProdutos[Cod_Produto],tbProdutos[Produto],"Não cadastrado")</f>
        <v/>
      </c>
      <c r="H229">
        <f>_xlfn.XLOOKUP(tbLoja[[#This Row],[Cod_Produto]],tbProdutos[Cod_Produto],tbProdutos[Categoria],"Não cadastrado")</f>
        <v/>
      </c>
      <c r="I229" s="4">
        <f>_xlfn.XLOOKUP(tbLoja[[#This Row],[Cod_Produto]],tbProdutos[Cod_Produto],tbProdutos[Custo Unitário],0)</f>
        <v/>
      </c>
      <c r="J229">
        <f>_xlfn.XLOOKUP(tbLoja[[#This Row],[ID_Vendedor]],tbVendedores[ID_Vendedor],tbVendedores[Vendedor],"Não cadastrado")</f>
        <v/>
      </c>
      <c r="K229" s="4">
        <f>tbLoja[[#This Row],[Quantidade]]*tbLoja[[#This Row],[Preço Unitário]]</f>
        <v/>
      </c>
      <c r="L229" s="4">
        <f>tbLoja[[#This Row],[Faturamento]]-tbLoja[[#This Row],[Quantidade]]*tbLoja[[#This Row],[Custo Unitário]]</f>
        <v/>
      </c>
      <c r="M229">
        <f>MONTH(tbLoja[[#This Row],[Data]])</f>
        <v/>
      </c>
    </row>
    <row r="230">
      <c r="A230" t="inlineStr">
        <is>
          <t>L0229</t>
        </is>
      </c>
      <c r="B230" s="9" t="n">
        <v>46094</v>
      </c>
      <c r="C230" t="inlineStr">
        <is>
          <t>V01</t>
        </is>
      </c>
      <c r="D230" t="inlineStr">
        <is>
          <t>P008</t>
        </is>
      </c>
      <c r="E230" t="n">
        <v>3</v>
      </c>
      <c r="F230" s="4" t="n">
        <v>259</v>
      </c>
      <c r="G230">
        <f>_xlfn.XLOOKUP(tbLoja[[#This Row],[Cod_Produto]],tbProdutos[Cod_Produto],tbProdutos[Produto],"Não cadastrado")</f>
        <v/>
      </c>
      <c r="H230">
        <f>_xlfn.XLOOKUP(tbLoja[[#This Row],[Cod_Produto]],tbProdutos[Cod_Produto],tbProdutos[Categoria],"Não cadastrado")</f>
        <v/>
      </c>
      <c r="I230" s="4">
        <f>_xlfn.XLOOKUP(tbLoja[[#This Row],[Cod_Produto]],tbProdutos[Cod_Produto],tbProdutos[Custo Unitário],0)</f>
        <v/>
      </c>
      <c r="J230">
        <f>_xlfn.XLOOKUP(tbLoja[[#This Row],[ID_Vendedor]],tbVendedores[ID_Vendedor],tbVendedores[Vendedor],"Não cadastrado")</f>
        <v/>
      </c>
      <c r="K230" s="4">
        <f>tbLoja[[#This Row],[Quantidade]]*tbLoja[[#This Row],[Preço Unitário]]</f>
        <v/>
      </c>
      <c r="L230" s="4">
        <f>tbLoja[[#This Row],[Faturamento]]-tbLoja[[#This Row],[Quantidade]]*tbLoja[[#This Row],[Custo Unitário]]</f>
        <v/>
      </c>
      <c r="M230">
        <f>MONTH(tbLoja[[#This Row],[Data]])</f>
        <v/>
      </c>
    </row>
    <row r="231">
      <c r="A231" t="inlineStr">
        <is>
          <t>L0230</t>
        </is>
      </c>
      <c r="B231" s="9" t="n">
        <v>46094</v>
      </c>
      <c r="C231" t="inlineStr">
        <is>
          <t>V02</t>
        </is>
      </c>
      <c r="D231" t="inlineStr">
        <is>
          <t>P004</t>
        </is>
      </c>
      <c r="E231" t="n">
        <v>4</v>
      </c>
      <c r="F231" s="4" t="n">
        <v>999</v>
      </c>
      <c r="G231">
        <f>_xlfn.XLOOKUP(tbLoja[[#This Row],[Cod_Produto]],tbProdutos[Cod_Produto],tbProdutos[Produto],"Não cadastrado")</f>
        <v/>
      </c>
      <c r="H231">
        <f>_xlfn.XLOOKUP(tbLoja[[#This Row],[Cod_Produto]],tbProdutos[Cod_Produto],tbProdutos[Categoria],"Não cadastrado")</f>
        <v/>
      </c>
      <c r="I231" s="4">
        <f>_xlfn.XLOOKUP(tbLoja[[#This Row],[Cod_Produto]],tbProdutos[Cod_Produto],tbProdutos[Custo Unitário],0)</f>
        <v/>
      </c>
      <c r="J231">
        <f>_xlfn.XLOOKUP(tbLoja[[#This Row],[ID_Vendedor]],tbVendedores[ID_Vendedor],tbVendedores[Vendedor],"Não cadastrado")</f>
        <v/>
      </c>
      <c r="K231" s="4">
        <f>tbLoja[[#This Row],[Quantidade]]*tbLoja[[#This Row],[Preço Unitário]]</f>
        <v/>
      </c>
      <c r="L231" s="4">
        <f>tbLoja[[#This Row],[Faturamento]]-tbLoja[[#This Row],[Quantidade]]*tbLoja[[#This Row],[Custo Unitário]]</f>
        <v/>
      </c>
      <c r="M231">
        <f>MONTH(tbLoja[[#This Row],[Data]])</f>
        <v/>
      </c>
    </row>
    <row r="232">
      <c r="A232" t="inlineStr">
        <is>
          <t>L0231</t>
        </is>
      </c>
      <c r="B232" s="9" t="n">
        <v>46095</v>
      </c>
      <c r="C232" t="inlineStr">
        <is>
          <t>V01</t>
        </is>
      </c>
      <c r="D232" t="inlineStr">
        <is>
          <t>P002</t>
        </is>
      </c>
      <c r="E232" t="n">
        <v>1</v>
      </c>
      <c r="F232" s="4" t="n">
        <v>3299</v>
      </c>
      <c r="G232">
        <f>_xlfn.XLOOKUP(tbLoja[[#This Row],[Cod_Produto]],tbProdutos[Cod_Produto],tbProdutos[Produto],"Não cadastrado")</f>
        <v/>
      </c>
      <c r="H232">
        <f>_xlfn.XLOOKUP(tbLoja[[#This Row],[Cod_Produto]],tbProdutos[Cod_Produto],tbProdutos[Categoria],"Não cadastrado")</f>
        <v/>
      </c>
      <c r="I232" s="4">
        <f>_xlfn.XLOOKUP(tbLoja[[#This Row],[Cod_Produto]],tbProdutos[Cod_Produto],tbProdutos[Custo Unitário],0)</f>
        <v/>
      </c>
      <c r="J232">
        <f>_xlfn.XLOOKUP(tbLoja[[#This Row],[ID_Vendedor]],tbVendedores[ID_Vendedor],tbVendedores[Vendedor],"Não cadastrado")</f>
        <v/>
      </c>
      <c r="K232" s="4">
        <f>tbLoja[[#This Row],[Quantidade]]*tbLoja[[#This Row],[Preço Unitário]]</f>
        <v/>
      </c>
      <c r="L232" s="4">
        <f>tbLoja[[#This Row],[Faturamento]]-tbLoja[[#This Row],[Quantidade]]*tbLoja[[#This Row],[Custo Unitário]]</f>
        <v/>
      </c>
      <c r="M232">
        <f>MONTH(tbLoja[[#This Row],[Data]])</f>
        <v/>
      </c>
    </row>
    <row r="233">
      <c r="A233" t="inlineStr">
        <is>
          <t>L0232</t>
        </is>
      </c>
      <c r="B233" s="9" t="n">
        <v>46095</v>
      </c>
      <c r="C233" t="inlineStr">
        <is>
          <t>V01</t>
        </is>
      </c>
      <c r="D233" t="inlineStr">
        <is>
          <t>P007</t>
        </is>
      </c>
      <c r="E233" t="n">
        <v>2</v>
      </c>
      <c r="F233" s="4" t="n">
        <v>399</v>
      </c>
      <c r="G233">
        <f>_xlfn.XLOOKUP(tbLoja[[#This Row],[Cod_Produto]],tbProdutos[Cod_Produto],tbProdutos[Produto],"Não cadastrado")</f>
        <v/>
      </c>
      <c r="H233">
        <f>_xlfn.XLOOKUP(tbLoja[[#This Row],[Cod_Produto]],tbProdutos[Cod_Produto],tbProdutos[Categoria],"Não cadastrado")</f>
        <v/>
      </c>
      <c r="I233" s="4">
        <f>_xlfn.XLOOKUP(tbLoja[[#This Row],[Cod_Produto]],tbProdutos[Cod_Produto],tbProdutos[Custo Unitário],0)</f>
        <v/>
      </c>
      <c r="J233">
        <f>_xlfn.XLOOKUP(tbLoja[[#This Row],[ID_Vendedor]],tbVendedores[ID_Vendedor],tbVendedores[Vendedor],"Não cadastrado")</f>
        <v/>
      </c>
      <c r="K233" s="4">
        <f>tbLoja[[#This Row],[Quantidade]]*tbLoja[[#This Row],[Preço Unitário]]</f>
        <v/>
      </c>
      <c r="L233" s="4">
        <f>tbLoja[[#This Row],[Faturamento]]-tbLoja[[#This Row],[Quantidade]]*tbLoja[[#This Row],[Custo Unitário]]</f>
        <v/>
      </c>
      <c r="M233">
        <f>MONTH(tbLoja[[#This Row],[Data]])</f>
        <v/>
      </c>
    </row>
    <row r="234">
      <c r="A234" t="inlineStr">
        <is>
          <t>L0233</t>
        </is>
      </c>
      <c r="B234" s="9" t="n">
        <v>46095</v>
      </c>
      <c r="C234" t="inlineStr">
        <is>
          <t>V06</t>
        </is>
      </c>
      <c r="D234" t="inlineStr">
        <is>
          <t>P005</t>
        </is>
      </c>
      <c r="E234" t="n">
        <v>3</v>
      </c>
      <c r="F234" s="4" t="n">
        <v>349</v>
      </c>
      <c r="G234">
        <f>_xlfn.XLOOKUP(tbLoja[[#This Row],[Cod_Produto]],tbProdutos[Cod_Produto],tbProdutos[Produto],"Não cadastrado")</f>
        <v/>
      </c>
      <c r="H234">
        <f>_xlfn.XLOOKUP(tbLoja[[#This Row],[Cod_Produto]],tbProdutos[Cod_Produto],tbProdutos[Categoria],"Não cadastrado")</f>
        <v/>
      </c>
      <c r="I234" s="4">
        <f>_xlfn.XLOOKUP(tbLoja[[#This Row],[Cod_Produto]],tbProdutos[Cod_Produto],tbProdutos[Custo Unitário],0)</f>
        <v/>
      </c>
      <c r="J234">
        <f>_xlfn.XLOOKUP(tbLoja[[#This Row],[ID_Vendedor]],tbVendedores[ID_Vendedor],tbVendedores[Vendedor],"Não cadastrado")</f>
        <v/>
      </c>
      <c r="K234" s="4">
        <f>tbLoja[[#This Row],[Quantidade]]*tbLoja[[#This Row],[Preço Unitário]]</f>
        <v/>
      </c>
      <c r="L234" s="4">
        <f>tbLoja[[#This Row],[Faturamento]]-tbLoja[[#This Row],[Quantidade]]*tbLoja[[#This Row],[Custo Unitário]]</f>
        <v/>
      </c>
      <c r="M234">
        <f>MONTH(tbLoja[[#This Row],[Data]])</f>
        <v/>
      </c>
    </row>
    <row r="235">
      <c r="A235" t="inlineStr">
        <is>
          <t>L0234</t>
        </is>
      </c>
      <c r="B235" s="9" t="n">
        <v>46095</v>
      </c>
      <c r="C235" t="inlineStr">
        <is>
          <t>V03</t>
        </is>
      </c>
      <c r="D235" t="inlineStr">
        <is>
          <t>P005</t>
        </is>
      </c>
      <c r="E235" t="n">
        <v>4</v>
      </c>
      <c r="F235" s="4" t="n">
        <v>349</v>
      </c>
      <c r="G235">
        <f>_xlfn.XLOOKUP(tbLoja[[#This Row],[Cod_Produto]],tbProdutos[Cod_Produto],tbProdutos[Produto],"Não cadastrado")</f>
        <v/>
      </c>
      <c r="H235">
        <f>_xlfn.XLOOKUP(tbLoja[[#This Row],[Cod_Produto]],tbProdutos[Cod_Produto],tbProdutos[Categoria],"Não cadastrado")</f>
        <v/>
      </c>
      <c r="I235" s="4">
        <f>_xlfn.XLOOKUP(tbLoja[[#This Row],[Cod_Produto]],tbProdutos[Cod_Produto],tbProdutos[Custo Unitário],0)</f>
        <v/>
      </c>
      <c r="J235">
        <f>_xlfn.XLOOKUP(tbLoja[[#This Row],[ID_Vendedor]],tbVendedores[ID_Vendedor],tbVendedores[Vendedor],"Não cadastrado")</f>
        <v/>
      </c>
      <c r="K235" s="4">
        <f>tbLoja[[#This Row],[Quantidade]]*tbLoja[[#This Row],[Preço Unitário]]</f>
        <v/>
      </c>
      <c r="L235" s="4">
        <f>tbLoja[[#This Row],[Faturamento]]-tbLoja[[#This Row],[Quantidade]]*tbLoja[[#This Row],[Custo Unitário]]</f>
        <v/>
      </c>
      <c r="M235">
        <f>MONTH(tbLoja[[#This Row],[Data]])</f>
        <v/>
      </c>
    </row>
    <row r="236">
      <c r="A236" t="inlineStr">
        <is>
          <t>L0235</t>
        </is>
      </c>
      <c r="B236" s="9" t="n">
        <v>46095</v>
      </c>
      <c r="C236" t="inlineStr">
        <is>
          <t>V03</t>
        </is>
      </c>
      <c r="D236" t="inlineStr">
        <is>
          <t>P006</t>
        </is>
      </c>
      <c r="E236" t="n">
        <v>2</v>
      </c>
      <c r="F236" s="4" t="n">
        <v>119</v>
      </c>
      <c r="G236">
        <f>_xlfn.XLOOKUP(tbLoja[[#This Row],[Cod_Produto]],tbProdutos[Cod_Produto],tbProdutos[Produto],"Não cadastrado")</f>
        <v/>
      </c>
      <c r="H236">
        <f>_xlfn.XLOOKUP(tbLoja[[#This Row],[Cod_Produto]],tbProdutos[Cod_Produto],tbProdutos[Categoria],"Não cadastrado")</f>
        <v/>
      </c>
      <c r="I236" s="4">
        <f>_xlfn.XLOOKUP(tbLoja[[#This Row],[Cod_Produto]],tbProdutos[Cod_Produto],tbProdutos[Custo Unitário],0)</f>
        <v/>
      </c>
      <c r="J236">
        <f>_xlfn.XLOOKUP(tbLoja[[#This Row],[ID_Vendedor]],tbVendedores[ID_Vendedor],tbVendedores[Vendedor],"Não cadastrado")</f>
        <v/>
      </c>
      <c r="K236" s="4">
        <f>tbLoja[[#This Row],[Quantidade]]*tbLoja[[#This Row],[Preço Unitário]]</f>
        <v/>
      </c>
      <c r="L236" s="4">
        <f>tbLoja[[#This Row],[Faturamento]]-tbLoja[[#This Row],[Quantidade]]*tbLoja[[#This Row],[Custo Unitário]]</f>
        <v/>
      </c>
      <c r="M236">
        <f>MONTH(tbLoja[[#This Row],[Data]])</f>
        <v/>
      </c>
    </row>
    <row r="237">
      <c r="A237" t="inlineStr">
        <is>
          <t>L0236</t>
        </is>
      </c>
      <c r="B237" s="9" t="n">
        <v>46096</v>
      </c>
      <c r="C237" t="inlineStr">
        <is>
          <t>V01</t>
        </is>
      </c>
      <c r="D237" t="inlineStr">
        <is>
          <t>P009</t>
        </is>
      </c>
      <c r="E237" t="n">
        <v>5</v>
      </c>
      <c r="F237" s="4" t="n">
        <v>499</v>
      </c>
      <c r="G237">
        <f>_xlfn.XLOOKUP(tbLoja[[#This Row],[Cod_Produto]],tbProdutos[Cod_Produto],tbProdutos[Produto],"Não cadastrado")</f>
        <v/>
      </c>
      <c r="H237">
        <f>_xlfn.XLOOKUP(tbLoja[[#This Row],[Cod_Produto]],tbProdutos[Cod_Produto],tbProdutos[Categoria],"Não cadastrado")</f>
        <v/>
      </c>
      <c r="I237" s="4">
        <f>_xlfn.XLOOKUP(tbLoja[[#This Row],[Cod_Produto]],tbProdutos[Cod_Produto],tbProdutos[Custo Unitário],0)</f>
        <v/>
      </c>
      <c r="J237">
        <f>_xlfn.XLOOKUP(tbLoja[[#This Row],[ID_Vendedor]],tbVendedores[ID_Vendedor],tbVendedores[Vendedor],"Não cadastrado")</f>
        <v/>
      </c>
      <c r="K237" s="4">
        <f>tbLoja[[#This Row],[Quantidade]]*tbLoja[[#This Row],[Preço Unitário]]</f>
        <v/>
      </c>
      <c r="L237" s="4">
        <f>tbLoja[[#This Row],[Faturamento]]-tbLoja[[#This Row],[Quantidade]]*tbLoja[[#This Row],[Custo Unitário]]</f>
        <v/>
      </c>
      <c r="M237">
        <f>MONTH(tbLoja[[#This Row],[Data]])</f>
        <v/>
      </c>
    </row>
    <row r="238">
      <c r="A238" t="inlineStr">
        <is>
          <t>L0237</t>
        </is>
      </c>
      <c r="B238" s="9" t="n">
        <v>46096</v>
      </c>
      <c r="C238" t="inlineStr">
        <is>
          <t>V02</t>
        </is>
      </c>
      <c r="D238" t="inlineStr">
        <is>
          <t>P002</t>
        </is>
      </c>
      <c r="E238" t="n">
        <v>1</v>
      </c>
      <c r="F238" s="4" t="n">
        <v>3299</v>
      </c>
      <c r="G238">
        <f>_xlfn.XLOOKUP(tbLoja[[#This Row],[Cod_Produto]],tbProdutos[Cod_Produto],tbProdutos[Produto],"Não cadastrado")</f>
        <v/>
      </c>
      <c r="H238">
        <f>_xlfn.XLOOKUP(tbLoja[[#This Row],[Cod_Produto]],tbProdutos[Cod_Produto],tbProdutos[Categoria],"Não cadastrado")</f>
        <v/>
      </c>
      <c r="I238" s="4">
        <f>_xlfn.XLOOKUP(tbLoja[[#This Row],[Cod_Produto]],tbProdutos[Cod_Produto],tbProdutos[Custo Unitário],0)</f>
        <v/>
      </c>
      <c r="J238">
        <f>_xlfn.XLOOKUP(tbLoja[[#This Row],[ID_Vendedor]],tbVendedores[ID_Vendedor],tbVendedores[Vendedor],"Não cadastrado")</f>
        <v/>
      </c>
      <c r="K238" s="4">
        <f>tbLoja[[#This Row],[Quantidade]]*tbLoja[[#This Row],[Preço Unitário]]</f>
        <v/>
      </c>
      <c r="L238" s="4">
        <f>tbLoja[[#This Row],[Faturamento]]-tbLoja[[#This Row],[Quantidade]]*tbLoja[[#This Row],[Custo Unitário]]</f>
        <v/>
      </c>
      <c r="M238">
        <f>MONTH(tbLoja[[#This Row],[Data]])</f>
        <v/>
      </c>
    </row>
    <row r="239">
      <c r="A239" t="inlineStr">
        <is>
          <t>L0238</t>
        </is>
      </c>
      <c r="B239" s="9" t="n">
        <v>46097</v>
      </c>
      <c r="C239" t="inlineStr">
        <is>
          <t>V01</t>
        </is>
      </c>
      <c r="D239" t="inlineStr">
        <is>
          <t>P007</t>
        </is>
      </c>
      <c r="E239" t="n">
        <v>2</v>
      </c>
      <c r="F239" s="4" t="n">
        <v>399</v>
      </c>
      <c r="G239">
        <f>_xlfn.XLOOKUP(tbLoja[[#This Row],[Cod_Produto]],tbProdutos[Cod_Produto],tbProdutos[Produto],"Não cadastrado")</f>
        <v/>
      </c>
      <c r="H239">
        <f>_xlfn.XLOOKUP(tbLoja[[#This Row],[Cod_Produto]],tbProdutos[Cod_Produto],tbProdutos[Categoria],"Não cadastrado")</f>
        <v/>
      </c>
      <c r="I239" s="4">
        <f>_xlfn.XLOOKUP(tbLoja[[#This Row],[Cod_Produto]],tbProdutos[Cod_Produto],tbProdutos[Custo Unitário],0)</f>
        <v/>
      </c>
      <c r="J239">
        <f>_xlfn.XLOOKUP(tbLoja[[#This Row],[ID_Vendedor]],tbVendedores[ID_Vendedor],tbVendedores[Vendedor],"Não cadastrado")</f>
        <v/>
      </c>
      <c r="K239" s="4">
        <f>tbLoja[[#This Row],[Quantidade]]*tbLoja[[#This Row],[Preço Unitário]]</f>
        <v/>
      </c>
      <c r="L239" s="4">
        <f>tbLoja[[#This Row],[Faturamento]]-tbLoja[[#This Row],[Quantidade]]*tbLoja[[#This Row],[Custo Unitário]]</f>
        <v/>
      </c>
      <c r="M239">
        <f>MONTH(tbLoja[[#This Row],[Data]])</f>
        <v/>
      </c>
    </row>
    <row r="240">
      <c r="A240" t="inlineStr">
        <is>
          <t>L0239</t>
        </is>
      </c>
      <c r="B240" s="9" t="n">
        <v>46097</v>
      </c>
      <c r="C240" t="inlineStr">
        <is>
          <t>V04</t>
        </is>
      </c>
      <c r="D240" t="inlineStr">
        <is>
          <t>P002</t>
        </is>
      </c>
      <c r="E240" t="n">
        <v>1</v>
      </c>
      <c r="F240" s="4" t="n">
        <v>3299</v>
      </c>
      <c r="G240">
        <f>_xlfn.XLOOKUP(tbLoja[[#This Row],[Cod_Produto]],tbProdutos[Cod_Produto],tbProdutos[Produto],"Não cadastrado")</f>
        <v/>
      </c>
      <c r="H240">
        <f>_xlfn.XLOOKUP(tbLoja[[#This Row],[Cod_Produto]],tbProdutos[Cod_Produto],tbProdutos[Categoria],"Não cadastrado")</f>
        <v/>
      </c>
      <c r="I240" s="4">
        <f>_xlfn.XLOOKUP(tbLoja[[#This Row],[Cod_Produto]],tbProdutos[Cod_Produto],tbProdutos[Custo Unitário],0)</f>
        <v/>
      </c>
      <c r="J240">
        <f>_xlfn.XLOOKUP(tbLoja[[#This Row],[ID_Vendedor]],tbVendedores[ID_Vendedor],tbVendedores[Vendedor],"Não cadastrado")</f>
        <v/>
      </c>
      <c r="K240" s="4">
        <f>tbLoja[[#This Row],[Quantidade]]*tbLoja[[#This Row],[Preço Unitário]]</f>
        <v/>
      </c>
      <c r="L240" s="4">
        <f>tbLoja[[#This Row],[Faturamento]]-tbLoja[[#This Row],[Quantidade]]*tbLoja[[#This Row],[Custo Unitário]]</f>
        <v/>
      </c>
      <c r="M240">
        <f>MONTH(tbLoja[[#This Row],[Data]])</f>
        <v/>
      </c>
    </row>
    <row r="241">
      <c r="A241" t="inlineStr">
        <is>
          <t>L0240</t>
        </is>
      </c>
      <c r="B241" s="9" t="n">
        <v>46098</v>
      </c>
      <c r="C241" t="inlineStr">
        <is>
          <t>V02</t>
        </is>
      </c>
      <c r="D241" t="inlineStr">
        <is>
          <t>P002</t>
        </is>
      </c>
      <c r="E241" t="n">
        <v>2</v>
      </c>
      <c r="F241" s="4" t="n">
        <v>3299</v>
      </c>
      <c r="G241">
        <f>_xlfn.XLOOKUP(tbLoja[[#This Row],[Cod_Produto]],tbProdutos[Cod_Produto],tbProdutos[Produto],"Não cadastrado")</f>
        <v/>
      </c>
      <c r="H241">
        <f>_xlfn.XLOOKUP(tbLoja[[#This Row],[Cod_Produto]],tbProdutos[Cod_Produto],tbProdutos[Categoria],"Não cadastrado")</f>
        <v/>
      </c>
      <c r="I241" s="4">
        <f>_xlfn.XLOOKUP(tbLoja[[#This Row],[Cod_Produto]],tbProdutos[Cod_Produto],tbProdutos[Custo Unitário],0)</f>
        <v/>
      </c>
      <c r="J241">
        <f>_xlfn.XLOOKUP(tbLoja[[#This Row],[ID_Vendedor]],tbVendedores[ID_Vendedor],tbVendedores[Vendedor],"Não cadastrado")</f>
        <v/>
      </c>
      <c r="K241" s="4">
        <f>tbLoja[[#This Row],[Quantidade]]*tbLoja[[#This Row],[Preço Unitário]]</f>
        <v/>
      </c>
      <c r="L241" s="4">
        <f>tbLoja[[#This Row],[Faturamento]]-tbLoja[[#This Row],[Quantidade]]*tbLoja[[#This Row],[Custo Unitário]]</f>
        <v/>
      </c>
      <c r="M241">
        <f>MONTH(tbLoja[[#This Row],[Data]])</f>
        <v/>
      </c>
    </row>
    <row r="242">
      <c r="A242" t="inlineStr">
        <is>
          <t>L0241</t>
        </is>
      </c>
      <c r="B242" s="9" t="n">
        <v>46098</v>
      </c>
      <c r="C242" t="inlineStr">
        <is>
          <t>V05</t>
        </is>
      </c>
      <c r="D242" t="inlineStr">
        <is>
          <t>P005</t>
        </is>
      </c>
      <c r="E242" t="n">
        <v>1</v>
      </c>
      <c r="F242" s="4" t="n">
        <v>349</v>
      </c>
      <c r="G242">
        <f>_xlfn.XLOOKUP(tbLoja[[#This Row],[Cod_Produto]],tbProdutos[Cod_Produto],tbProdutos[Produto],"Não cadastrado")</f>
        <v/>
      </c>
      <c r="H242">
        <f>_xlfn.XLOOKUP(tbLoja[[#This Row],[Cod_Produto]],tbProdutos[Cod_Produto],tbProdutos[Categoria],"Não cadastrado")</f>
        <v/>
      </c>
      <c r="I242" s="4">
        <f>_xlfn.XLOOKUP(tbLoja[[#This Row],[Cod_Produto]],tbProdutos[Cod_Produto],tbProdutos[Custo Unitário],0)</f>
        <v/>
      </c>
      <c r="J242">
        <f>_xlfn.XLOOKUP(tbLoja[[#This Row],[ID_Vendedor]],tbVendedores[ID_Vendedor],tbVendedores[Vendedor],"Não cadastrado")</f>
        <v/>
      </c>
      <c r="K242" s="4">
        <f>tbLoja[[#This Row],[Quantidade]]*tbLoja[[#This Row],[Preço Unitário]]</f>
        <v/>
      </c>
      <c r="L242" s="4">
        <f>tbLoja[[#This Row],[Faturamento]]-tbLoja[[#This Row],[Quantidade]]*tbLoja[[#This Row],[Custo Unitário]]</f>
        <v/>
      </c>
      <c r="M242">
        <f>MONTH(tbLoja[[#This Row],[Data]])</f>
        <v/>
      </c>
    </row>
    <row r="243">
      <c r="A243" t="inlineStr">
        <is>
          <t>L0242</t>
        </is>
      </c>
      <c r="B243" s="9" t="n">
        <v>46098</v>
      </c>
      <c r="C243" t="inlineStr">
        <is>
          <t>V01</t>
        </is>
      </c>
      <c r="D243" t="inlineStr">
        <is>
          <t>P005</t>
        </is>
      </c>
      <c r="E243" t="n">
        <v>2</v>
      </c>
      <c r="F243" s="4" t="n">
        <v>349</v>
      </c>
      <c r="G243">
        <f>_xlfn.XLOOKUP(tbLoja[[#This Row],[Cod_Produto]],tbProdutos[Cod_Produto],tbProdutos[Produto],"Não cadastrado")</f>
        <v/>
      </c>
      <c r="H243">
        <f>_xlfn.XLOOKUP(tbLoja[[#This Row],[Cod_Produto]],tbProdutos[Cod_Produto],tbProdutos[Categoria],"Não cadastrado")</f>
        <v/>
      </c>
      <c r="I243" s="4">
        <f>_xlfn.XLOOKUP(tbLoja[[#This Row],[Cod_Produto]],tbProdutos[Cod_Produto],tbProdutos[Custo Unitário],0)</f>
        <v/>
      </c>
      <c r="J243">
        <f>_xlfn.XLOOKUP(tbLoja[[#This Row],[ID_Vendedor]],tbVendedores[ID_Vendedor],tbVendedores[Vendedor],"Não cadastrado")</f>
        <v/>
      </c>
      <c r="K243" s="4">
        <f>tbLoja[[#This Row],[Quantidade]]*tbLoja[[#This Row],[Preço Unitário]]</f>
        <v/>
      </c>
      <c r="L243" s="4">
        <f>tbLoja[[#This Row],[Faturamento]]-tbLoja[[#This Row],[Quantidade]]*tbLoja[[#This Row],[Custo Unitário]]</f>
        <v/>
      </c>
      <c r="M243">
        <f>MONTH(tbLoja[[#This Row],[Data]])</f>
        <v/>
      </c>
    </row>
    <row r="244">
      <c r="A244" t="inlineStr">
        <is>
          <t>L0243</t>
        </is>
      </c>
      <c r="B244" s="9" t="n">
        <v>46099</v>
      </c>
      <c r="C244" t="inlineStr">
        <is>
          <t>V03</t>
        </is>
      </c>
      <c r="D244" t="inlineStr">
        <is>
          <t>P009</t>
        </is>
      </c>
      <c r="E244" t="n">
        <v>2</v>
      </c>
      <c r="F244" s="4" t="n">
        <v>499</v>
      </c>
      <c r="G244">
        <f>_xlfn.XLOOKUP(tbLoja[[#This Row],[Cod_Produto]],tbProdutos[Cod_Produto],tbProdutos[Produto],"Não cadastrado")</f>
        <v/>
      </c>
      <c r="H244">
        <f>_xlfn.XLOOKUP(tbLoja[[#This Row],[Cod_Produto]],tbProdutos[Cod_Produto],tbProdutos[Categoria],"Não cadastrado")</f>
        <v/>
      </c>
      <c r="I244" s="4">
        <f>_xlfn.XLOOKUP(tbLoja[[#This Row],[Cod_Produto]],tbProdutos[Cod_Produto],tbProdutos[Custo Unitário],0)</f>
        <v/>
      </c>
      <c r="J244">
        <f>_xlfn.XLOOKUP(tbLoja[[#This Row],[ID_Vendedor]],tbVendedores[ID_Vendedor],tbVendedores[Vendedor],"Não cadastrado")</f>
        <v/>
      </c>
      <c r="K244" s="4">
        <f>tbLoja[[#This Row],[Quantidade]]*tbLoja[[#This Row],[Preço Unitário]]</f>
        <v/>
      </c>
      <c r="L244" s="4">
        <f>tbLoja[[#This Row],[Faturamento]]-tbLoja[[#This Row],[Quantidade]]*tbLoja[[#This Row],[Custo Unitário]]</f>
        <v/>
      </c>
      <c r="M244">
        <f>MONTH(tbLoja[[#This Row],[Data]])</f>
        <v/>
      </c>
    </row>
    <row r="245">
      <c r="A245" t="inlineStr">
        <is>
          <t>L0244</t>
        </is>
      </c>
      <c r="B245" s="9" t="n">
        <v>46099</v>
      </c>
      <c r="C245" t="inlineStr">
        <is>
          <t>V04</t>
        </is>
      </c>
      <c r="D245" t="inlineStr">
        <is>
          <t>P009</t>
        </is>
      </c>
      <c r="E245" t="n">
        <v>3</v>
      </c>
      <c r="F245" s="4" t="n">
        <v>499</v>
      </c>
      <c r="G245">
        <f>_xlfn.XLOOKUP(tbLoja[[#This Row],[Cod_Produto]],tbProdutos[Cod_Produto],tbProdutos[Produto],"Não cadastrado")</f>
        <v/>
      </c>
      <c r="H245">
        <f>_xlfn.XLOOKUP(tbLoja[[#This Row],[Cod_Produto]],tbProdutos[Cod_Produto],tbProdutos[Categoria],"Não cadastrado")</f>
        <v/>
      </c>
      <c r="I245" s="4">
        <f>_xlfn.XLOOKUP(tbLoja[[#This Row],[Cod_Produto]],tbProdutos[Cod_Produto],tbProdutos[Custo Unitário],0)</f>
        <v/>
      </c>
      <c r="J245">
        <f>_xlfn.XLOOKUP(tbLoja[[#This Row],[ID_Vendedor]],tbVendedores[ID_Vendedor],tbVendedores[Vendedor],"Não cadastrado")</f>
        <v/>
      </c>
      <c r="K245" s="4">
        <f>tbLoja[[#This Row],[Quantidade]]*tbLoja[[#This Row],[Preço Unitário]]</f>
        <v/>
      </c>
      <c r="L245" s="4">
        <f>tbLoja[[#This Row],[Faturamento]]-tbLoja[[#This Row],[Quantidade]]*tbLoja[[#This Row],[Custo Unitário]]</f>
        <v/>
      </c>
      <c r="M245">
        <f>MONTH(tbLoja[[#This Row],[Data]])</f>
        <v/>
      </c>
    </row>
    <row r="246">
      <c r="A246" t="inlineStr">
        <is>
          <t>L0245</t>
        </is>
      </c>
      <c r="B246" s="9" t="n">
        <v>46099</v>
      </c>
      <c r="C246" t="inlineStr">
        <is>
          <t>V03</t>
        </is>
      </c>
      <c r="D246" t="inlineStr">
        <is>
          <t>P007</t>
        </is>
      </c>
      <c r="E246" t="n">
        <v>3</v>
      </c>
      <c r="F246" s="4" t="n">
        <v>399</v>
      </c>
      <c r="G246">
        <f>_xlfn.XLOOKUP(tbLoja[[#This Row],[Cod_Produto]],tbProdutos[Cod_Produto],tbProdutos[Produto],"Não cadastrado")</f>
        <v/>
      </c>
      <c r="H246">
        <f>_xlfn.XLOOKUP(tbLoja[[#This Row],[Cod_Produto]],tbProdutos[Cod_Produto],tbProdutos[Categoria],"Não cadastrado")</f>
        <v/>
      </c>
      <c r="I246" s="4">
        <f>_xlfn.XLOOKUP(tbLoja[[#This Row],[Cod_Produto]],tbProdutos[Cod_Produto],tbProdutos[Custo Unitário],0)</f>
        <v/>
      </c>
      <c r="J246">
        <f>_xlfn.XLOOKUP(tbLoja[[#This Row],[ID_Vendedor]],tbVendedores[ID_Vendedor],tbVendedores[Vendedor],"Não cadastrado")</f>
        <v/>
      </c>
      <c r="K246" s="4">
        <f>tbLoja[[#This Row],[Quantidade]]*tbLoja[[#This Row],[Preço Unitário]]</f>
        <v/>
      </c>
      <c r="L246" s="4">
        <f>tbLoja[[#This Row],[Faturamento]]-tbLoja[[#This Row],[Quantidade]]*tbLoja[[#This Row],[Custo Unitário]]</f>
        <v/>
      </c>
      <c r="M246">
        <f>MONTH(tbLoja[[#This Row],[Data]])</f>
        <v/>
      </c>
    </row>
    <row r="247">
      <c r="A247" t="inlineStr">
        <is>
          <t>L0246</t>
        </is>
      </c>
      <c r="B247" s="9" t="n">
        <v>46099</v>
      </c>
      <c r="C247" t="inlineStr">
        <is>
          <t>V01</t>
        </is>
      </c>
      <c r="D247" t="inlineStr">
        <is>
          <t>P007</t>
        </is>
      </c>
      <c r="E247" t="n">
        <v>3</v>
      </c>
      <c r="F247" s="4" t="n">
        <v>399</v>
      </c>
      <c r="G247">
        <f>_xlfn.XLOOKUP(tbLoja[[#This Row],[Cod_Produto]],tbProdutos[Cod_Produto],tbProdutos[Produto],"Não cadastrado")</f>
        <v/>
      </c>
      <c r="H247">
        <f>_xlfn.XLOOKUP(tbLoja[[#This Row],[Cod_Produto]],tbProdutos[Cod_Produto],tbProdutos[Categoria],"Não cadastrado")</f>
        <v/>
      </c>
      <c r="I247" s="4">
        <f>_xlfn.XLOOKUP(tbLoja[[#This Row],[Cod_Produto]],tbProdutos[Cod_Produto],tbProdutos[Custo Unitário],0)</f>
        <v/>
      </c>
      <c r="J247">
        <f>_xlfn.XLOOKUP(tbLoja[[#This Row],[ID_Vendedor]],tbVendedores[ID_Vendedor],tbVendedores[Vendedor],"Não cadastrado")</f>
        <v/>
      </c>
      <c r="K247" s="4">
        <f>tbLoja[[#This Row],[Quantidade]]*tbLoja[[#This Row],[Preço Unitário]]</f>
        <v/>
      </c>
      <c r="L247" s="4">
        <f>tbLoja[[#This Row],[Faturamento]]-tbLoja[[#This Row],[Quantidade]]*tbLoja[[#This Row],[Custo Unitário]]</f>
        <v/>
      </c>
      <c r="M247">
        <f>MONTH(tbLoja[[#This Row],[Data]])</f>
        <v/>
      </c>
    </row>
    <row r="248">
      <c r="A248" t="inlineStr">
        <is>
          <t>L0247</t>
        </is>
      </c>
      <c r="B248" s="9" t="n">
        <v>46099</v>
      </c>
      <c r="C248" t="inlineStr">
        <is>
          <t>V02</t>
        </is>
      </c>
      <c r="D248" t="inlineStr">
        <is>
          <t>P006</t>
        </is>
      </c>
      <c r="E248" t="n">
        <v>1</v>
      </c>
      <c r="F248" s="4" t="n">
        <v>119</v>
      </c>
      <c r="G248">
        <f>_xlfn.XLOOKUP(tbLoja[[#This Row],[Cod_Produto]],tbProdutos[Cod_Produto],tbProdutos[Produto],"Não cadastrado")</f>
        <v/>
      </c>
      <c r="H248">
        <f>_xlfn.XLOOKUP(tbLoja[[#This Row],[Cod_Produto]],tbProdutos[Cod_Produto],tbProdutos[Categoria],"Não cadastrado")</f>
        <v/>
      </c>
      <c r="I248" s="4">
        <f>_xlfn.XLOOKUP(tbLoja[[#This Row],[Cod_Produto]],tbProdutos[Cod_Produto],tbProdutos[Custo Unitário],0)</f>
        <v/>
      </c>
      <c r="J248">
        <f>_xlfn.XLOOKUP(tbLoja[[#This Row],[ID_Vendedor]],tbVendedores[ID_Vendedor],tbVendedores[Vendedor],"Não cadastrado")</f>
        <v/>
      </c>
      <c r="K248" s="4">
        <f>tbLoja[[#This Row],[Quantidade]]*tbLoja[[#This Row],[Preço Unitário]]</f>
        <v/>
      </c>
      <c r="L248" s="4">
        <f>tbLoja[[#This Row],[Faturamento]]-tbLoja[[#This Row],[Quantidade]]*tbLoja[[#This Row],[Custo Unitário]]</f>
        <v/>
      </c>
      <c r="M248">
        <f>MONTH(tbLoja[[#This Row],[Data]])</f>
        <v/>
      </c>
    </row>
    <row r="249">
      <c r="A249" t="inlineStr">
        <is>
          <t>L0248</t>
        </is>
      </c>
      <c r="B249" s="9" t="n">
        <v>46099</v>
      </c>
      <c r="C249" t="inlineStr">
        <is>
          <t>V01</t>
        </is>
      </c>
      <c r="D249" t="inlineStr">
        <is>
          <t>P007</t>
        </is>
      </c>
      <c r="E249" t="n">
        <v>2</v>
      </c>
      <c r="F249" s="4" t="n">
        <v>399</v>
      </c>
      <c r="G249">
        <f>_xlfn.XLOOKUP(tbLoja[[#This Row],[Cod_Produto]],tbProdutos[Cod_Produto],tbProdutos[Produto],"Não cadastrado")</f>
        <v/>
      </c>
      <c r="H249">
        <f>_xlfn.XLOOKUP(tbLoja[[#This Row],[Cod_Produto]],tbProdutos[Cod_Produto],tbProdutos[Categoria],"Não cadastrado")</f>
        <v/>
      </c>
      <c r="I249" s="4">
        <f>_xlfn.XLOOKUP(tbLoja[[#This Row],[Cod_Produto]],tbProdutos[Cod_Produto],tbProdutos[Custo Unitário],0)</f>
        <v/>
      </c>
      <c r="J249">
        <f>_xlfn.XLOOKUP(tbLoja[[#This Row],[ID_Vendedor]],tbVendedores[ID_Vendedor],tbVendedores[Vendedor],"Não cadastrado")</f>
        <v/>
      </c>
      <c r="K249" s="4">
        <f>tbLoja[[#This Row],[Quantidade]]*tbLoja[[#This Row],[Preço Unitário]]</f>
        <v/>
      </c>
      <c r="L249" s="4">
        <f>tbLoja[[#This Row],[Faturamento]]-tbLoja[[#This Row],[Quantidade]]*tbLoja[[#This Row],[Custo Unitário]]</f>
        <v/>
      </c>
      <c r="M249">
        <f>MONTH(tbLoja[[#This Row],[Data]])</f>
        <v/>
      </c>
    </row>
    <row r="250">
      <c r="A250" t="inlineStr">
        <is>
          <t>L0249</t>
        </is>
      </c>
      <c r="B250" s="9" t="n">
        <v>46099</v>
      </c>
      <c r="C250" t="inlineStr">
        <is>
          <t>V02</t>
        </is>
      </c>
      <c r="D250" t="inlineStr">
        <is>
          <t>P007</t>
        </is>
      </c>
      <c r="E250" t="n">
        <v>3</v>
      </c>
      <c r="F250" s="4" t="n">
        <v>399</v>
      </c>
      <c r="G250">
        <f>_xlfn.XLOOKUP(tbLoja[[#This Row],[Cod_Produto]],tbProdutos[Cod_Produto],tbProdutos[Produto],"Não cadastrado")</f>
        <v/>
      </c>
      <c r="H250">
        <f>_xlfn.XLOOKUP(tbLoja[[#This Row],[Cod_Produto]],tbProdutos[Cod_Produto],tbProdutos[Categoria],"Não cadastrado")</f>
        <v/>
      </c>
      <c r="I250" s="4">
        <f>_xlfn.XLOOKUP(tbLoja[[#This Row],[Cod_Produto]],tbProdutos[Cod_Produto],tbProdutos[Custo Unitário],0)</f>
        <v/>
      </c>
      <c r="J250">
        <f>_xlfn.XLOOKUP(tbLoja[[#This Row],[ID_Vendedor]],tbVendedores[ID_Vendedor],tbVendedores[Vendedor],"Não cadastrado")</f>
        <v/>
      </c>
      <c r="K250" s="4">
        <f>tbLoja[[#This Row],[Quantidade]]*tbLoja[[#This Row],[Preço Unitário]]</f>
        <v/>
      </c>
      <c r="L250" s="4">
        <f>tbLoja[[#This Row],[Faturamento]]-tbLoja[[#This Row],[Quantidade]]*tbLoja[[#This Row],[Custo Unitário]]</f>
        <v/>
      </c>
      <c r="M250">
        <f>MONTH(tbLoja[[#This Row],[Data]])</f>
        <v/>
      </c>
    </row>
    <row r="251">
      <c r="A251" t="inlineStr">
        <is>
          <t>L0250</t>
        </is>
      </c>
      <c r="B251" s="9" t="n">
        <v>46099</v>
      </c>
      <c r="C251" t="inlineStr">
        <is>
          <t>V04</t>
        </is>
      </c>
      <c r="D251" t="inlineStr">
        <is>
          <t>P007</t>
        </is>
      </c>
      <c r="E251" t="n">
        <v>3</v>
      </c>
      <c r="F251" s="4" t="n">
        <v>399</v>
      </c>
      <c r="G251">
        <f>_xlfn.XLOOKUP(tbLoja[[#This Row],[Cod_Produto]],tbProdutos[Cod_Produto],tbProdutos[Produto],"Não cadastrado")</f>
        <v/>
      </c>
      <c r="H251">
        <f>_xlfn.XLOOKUP(tbLoja[[#This Row],[Cod_Produto]],tbProdutos[Cod_Produto],tbProdutos[Categoria],"Não cadastrado")</f>
        <v/>
      </c>
      <c r="I251" s="4">
        <f>_xlfn.XLOOKUP(tbLoja[[#This Row],[Cod_Produto]],tbProdutos[Cod_Produto],tbProdutos[Custo Unitário],0)</f>
        <v/>
      </c>
      <c r="J251">
        <f>_xlfn.XLOOKUP(tbLoja[[#This Row],[ID_Vendedor]],tbVendedores[ID_Vendedor],tbVendedores[Vendedor],"Não cadastrado")</f>
        <v/>
      </c>
      <c r="K251" s="4">
        <f>tbLoja[[#This Row],[Quantidade]]*tbLoja[[#This Row],[Preço Unitário]]</f>
        <v/>
      </c>
      <c r="L251" s="4">
        <f>tbLoja[[#This Row],[Faturamento]]-tbLoja[[#This Row],[Quantidade]]*tbLoja[[#This Row],[Custo Unitário]]</f>
        <v/>
      </c>
      <c r="M251">
        <f>MONTH(tbLoja[[#This Row],[Data]])</f>
        <v/>
      </c>
    </row>
    <row r="252">
      <c r="A252" t="inlineStr">
        <is>
          <t>L0251</t>
        </is>
      </c>
      <c r="B252" s="9" t="n">
        <v>46100</v>
      </c>
      <c r="C252" t="inlineStr">
        <is>
          <t>V05</t>
        </is>
      </c>
      <c r="D252" t="inlineStr">
        <is>
          <t>P007</t>
        </is>
      </c>
      <c r="E252" t="n">
        <v>2</v>
      </c>
      <c r="F252" s="4" t="n">
        <v>399</v>
      </c>
      <c r="G252">
        <f>_xlfn.XLOOKUP(tbLoja[[#This Row],[Cod_Produto]],tbProdutos[Cod_Produto],tbProdutos[Produto],"Não cadastrado")</f>
        <v/>
      </c>
      <c r="H252">
        <f>_xlfn.XLOOKUP(tbLoja[[#This Row],[Cod_Produto]],tbProdutos[Cod_Produto],tbProdutos[Categoria],"Não cadastrado")</f>
        <v/>
      </c>
      <c r="I252" s="4">
        <f>_xlfn.XLOOKUP(tbLoja[[#This Row],[Cod_Produto]],tbProdutos[Cod_Produto],tbProdutos[Custo Unitário],0)</f>
        <v/>
      </c>
      <c r="J252">
        <f>_xlfn.XLOOKUP(tbLoja[[#This Row],[ID_Vendedor]],tbVendedores[ID_Vendedor],tbVendedores[Vendedor],"Não cadastrado")</f>
        <v/>
      </c>
      <c r="K252" s="4">
        <f>tbLoja[[#This Row],[Quantidade]]*tbLoja[[#This Row],[Preço Unitário]]</f>
        <v/>
      </c>
      <c r="L252" s="4">
        <f>tbLoja[[#This Row],[Faturamento]]-tbLoja[[#This Row],[Quantidade]]*tbLoja[[#This Row],[Custo Unitário]]</f>
        <v/>
      </c>
      <c r="M252">
        <f>MONTH(tbLoja[[#This Row],[Data]])</f>
        <v/>
      </c>
    </row>
    <row r="253">
      <c r="A253" t="inlineStr">
        <is>
          <t>L0252</t>
        </is>
      </c>
      <c r="B253" s="9" t="n">
        <v>46101</v>
      </c>
      <c r="C253" t="inlineStr">
        <is>
          <t>V01</t>
        </is>
      </c>
      <c r="D253" t="inlineStr">
        <is>
          <t>P006</t>
        </is>
      </c>
      <c r="E253" t="n">
        <v>2</v>
      </c>
      <c r="F253" s="4" t="n">
        <v>119</v>
      </c>
      <c r="G253">
        <f>_xlfn.XLOOKUP(tbLoja[[#This Row],[Cod_Produto]],tbProdutos[Cod_Produto],tbProdutos[Produto],"Não cadastrado")</f>
        <v/>
      </c>
      <c r="H253">
        <f>_xlfn.XLOOKUP(tbLoja[[#This Row],[Cod_Produto]],tbProdutos[Cod_Produto],tbProdutos[Categoria],"Não cadastrado")</f>
        <v/>
      </c>
      <c r="I253" s="4">
        <f>_xlfn.XLOOKUP(tbLoja[[#This Row],[Cod_Produto]],tbProdutos[Cod_Produto],tbProdutos[Custo Unitário],0)</f>
        <v/>
      </c>
      <c r="J253">
        <f>_xlfn.XLOOKUP(tbLoja[[#This Row],[ID_Vendedor]],tbVendedores[ID_Vendedor],tbVendedores[Vendedor],"Não cadastrado")</f>
        <v/>
      </c>
      <c r="K253" s="4">
        <f>tbLoja[[#This Row],[Quantidade]]*tbLoja[[#This Row],[Preço Unitário]]</f>
        <v/>
      </c>
      <c r="L253" s="4">
        <f>tbLoja[[#This Row],[Faturamento]]-tbLoja[[#This Row],[Quantidade]]*tbLoja[[#This Row],[Custo Unitário]]</f>
        <v/>
      </c>
      <c r="M253">
        <f>MONTH(tbLoja[[#This Row],[Data]])</f>
        <v/>
      </c>
    </row>
    <row r="254">
      <c r="A254" t="inlineStr">
        <is>
          <t>L0253</t>
        </is>
      </c>
      <c r="B254" s="9" t="n">
        <v>46101</v>
      </c>
      <c r="C254" t="inlineStr">
        <is>
          <t>V03</t>
        </is>
      </c>
      <c r="D254" t="inlineStr">
        <is>
          <t>P004</t>
        </is>
      </c>
      <c r="E254" t="n">
        <v>1</v>
      </c>
      <c r="F254" s="4" t="n">
        <v>999</v>
      </c>
      <c r="G254">
        <f>_xlfn.XLOOKUP(tbLoja[[#This Row],[Cod_Produto]],tbProdutos[Cod_Produto],tbProdutos[Produto],"Não cadastrado")</f>
        <v/>
      </c>
      <c r="H254">
        <f>_xlfn.XLOOKUP(tbLoja[[#This Row],[Cod_Produto]],tbProdutos[Cod_Produto],tbProdutos[Categoria],"Não cadastrado")</f>
        <v/>
      </c>
      <c r="I254" s="4">
        <f>_xlfn.XLOOKUP(tbLoja[[#This Row],[Cod_Produto]],tbProdutos[Cod_Produto],tbProdutos[Custo Unitário],0)</f>
        <v/>
      </c>
      <c r="J254">
        <f>_xlfn.XLOOKUP(tbLoja[[#This Row],[ID_Vendedor]],tbVendedores[ID_Vendedor],tbVendedores[Vendedor],"Não cadastrado")</f>
        <v/>
      </c>
      <c r="K254" s="4">
        <f>tbLoja[[#This Row],[Quantidade]]*tbLoja[[#This Row],[Preço Unitário]]</f>
        <v/>
      </c>
      <c r="L254" s="4">
        <f>tbLoja[[#This Row],[Faturamento]]-tbLoja[[#This Row],[Quantidade]]*tbLoja[[#This Row],[Custo Unitário]]</f>
        <v/>
      </c>
      <c r="M254">
        <f>MONTH(tbLoja[[#This Row],[Data]])</f>
        <v/>
      </c>
    </row>
    <row r="255">
      <c r="A255" t="inlineStr">
        <is>
          <t>L0254</t>
        </is>
      </c>
      <c r="B255" s="9" t="n">
        <v>46102</v>
      </c>
      <c r="C255" t="inlineStr">
        <is>
          <t>V02</t>
        </is>
      </c>
      <c r="D255" t="inlineStr">
        <is>
          <t>P007</t>
        </is>
      </c>
      <c r="E255" t="n">
        <v>3</v>
      </c>
      <c r="F255" s="4" t="n">
        <v>399</v>
      </c>
      <c r="G255">
        <f>_xlfn.XLOOKUP(tbLoja[[#This Row],[Cod_Produto]],tbProdutos[Cod_Produto],tbProdutos[Produto],"Não cadastrado")</f>
        <v/>
      </c>
      <c r="H255">
        <f>_xlfn.XLOOKUP(tbLoja[[#This Row],[Cod_Produto]],tbProdutos[Cod_Produto],tbProdutos[Categoria],"Não cadastrado")</f>
        <v/>
      </c>
      <c r="I255" s="4">
        <f>_xlfn.XLOOKUP(tbLoja[[#This Row],[Cod_Produto]],tbProdutos[Cod_Produto],tbProdutos[Custo Unitário],0)</f>
        <v/>
      </c>
      <c r="J255">
        <f>_xlfn.XLOOKUP(tbLoja[[#This Row],[ID_Vendedor]],tbVendedores[ID_Vendedor],tbVendedores[Vendedor],"Não cadastrado")</f>
        <v/>
      </c>
      <c r="K255" s="4">
        <f>tbLoja[[#This Row],[Quantidade]]*tbLoja[[#This Row],[Preço Unitário]]</f>
        <v/>
      </c>
      <c r="L255" s="4">
        <f>tbLoja[[#This Row],[Faturamento]]-tbLoja[[#This Row],[Quantidade]]*tbLoja[[#This Row],[Custo Unitário]]</f>
        <v/>
      </c>
      <c r="M255">
        <f>MONTH(tbLoja[[#This Row],[Data]])</f>
        <v/>
      </c>
    </row>
    <row r="256">
      <c r="A256" t="inlineStr">
        <is>
          <t>L0255</t>
        </is>
      </c>
      <c r="B256" s="9" t="n">
        <v>46102</v>
      </c>
      <c r="C256" t="inlineStr">
        <is>
          <t>V03</t>
        </is>
      </c>
      <c r="D256" t="inlineStr">
        <is>
          <t>P008</t>
        </is>
      </c>
      <c r="E256" t="n">
        <v>1</v>
      </c>
      <c r="F256" s="4" t="n">
        <v>259</v>
      </c>
      <c r="G256">
        <f>_xlfn.XLOOKUP(tbLoja[[#This Row],[Cod_Produto]],tbProdutos[Cod_Produto],tbProdutos[Produto],"Não cadastrado")</f>
        <v/>
      </c>
      <c r="H256">
        <f>_xlfn.XLOOKUP(tbLoja[[#This Row],[Cod_Produto]],tbProdutos[Cod_Produto],tbProdutos[Categoria],"Não cadastrado")</f>
        <v/>
      </c>
      <c r="I256" s="4">
        <f>_xlfn.XLOOKUP(tbLoja[[#This Row],[Cod_Produto]],tbProdutos[Cod_Produto],tbProdutos[Custo Unitário],0)</f>
        <v/>
      </c>
      <c r="J256">
        <f>_xlfn.XLOOKUP(tbLoja[[#This Row],[ID_Vendedor]],tbVendedores[ID_Vendedor],tbVendedores[Vendedor],"Não cadastrado")</f>
        <v/>
      </c>
      <c r="K256" s="4">
        <f>tbLoja[[#This Row],[Quantidade]]*tbLoja[[#This Row],[Preço Unitário]]</f>
        <v/>
      </c>
      <c r="L256" s="4">
        <f>tbLoja[[#This Row],[Faturamento]]-tbLoja[[#This Row],[Quantidade]]*tbLoja[[#This Row],[Custo Unitário]]</f>
        <v/>
      </c>
      <c r="M256">
        <f>MONTH(tbLoja[[#This Row],[Data]])</f>
        <v/>
      </c>
    </row>
    <row r="257">
      <c r="A257" t="inlineStr">
        <is>
          <t>L0256</t>
        </is>
      </c>
      <c r="B257" s="9" t="n">
        <v>46102</v>
      </c>
      <c r="C257" t="inlineStr">
        <is>
          <t>V06</t>
        </is>
      </c>
      <c r="D257" t="inlineStr">
        <is>
          <t>P009</t>
        </is>
      </c>
      <c r="E257" t="n">
        <v>2</v>
      </c>
      <c r="F257" s="4" t="n">
        <v>499</v>
      </c>
      <c r="G257">
        <f>_xlfn.XLOOKUP(tbLoja[[#This Row],[Cod_Produto]],tbProdutos[Cod_Produto],tbProdutos[Produto],"Não cadastrado")</f>
        <v/>
      </c>
      <c r="H257">
        <f>_xlfn.XLOOKUP(tbLoja[[#This Row],[Cod_Produto]],tbProdutos[Cod_Produto],tbProdutos[Categoria],"Não cadastrado")</f>
        <v/>
      </c>
      <c r="I257" s="4">
        <f>_xlfn.XLOOKUP(tbLoja[[#This Row],[Cod_Produto]],tbProdutos[Cod_Produto],tbProdutos[Custo Unitário],0)</f>
        <v/>
      </c>
      <c r="J257">
        <f>_xlfn.XLOOKUP(tbLoja[[#This Row],[ID_Vendedor]],tbVendedores[ID_Vendedor],tbVendedores[Vendedor],"Não cadastrado")</f>
        <v/>
      </c>
      <c r="K257" s="4">
        <f>tbLoja[[#This Row],[Quantidade]]*tbLoja[[#This Row],[Preço Unitário]]</f>
        <v/>
      </c>
      <c r="L257" s="4">
        <f>tbLoja[[#This Row],[Faturamento]]-tbLoja[[#This Row],[Quantidade]]*tbLoja[[#This Row],[Custo Unitário]]</f>
        <v/>
      </c>
      <c r="M257">
        <f>MONTH(tbLoja[[#This Row],[Data]])</f>
        <v/>
      </c>
    </row>
    <row r="258">
      <c r="A258" t="inlineStr">
        <is>
          <t>L0257</t>
        </is>
      </c>
      <c r="B258" s="9" t="n">
        <v>46102</v>
      </c>
      <c r="C258" t="inlineStr">
        <is>
          <t>V06</t>
        </is>
      </c>
      <c r="D258" t="inlineStr">
        <is>
          <t>P006</t>
        </is>
      </c>
      <c r="E258" t="n">
        <v>4</v>
      </c>
      <c r="F258" s="4" t="n">
        <v>119</v>
      </c>
      <c r="G258">
        <f>_xlfn.XLOOKUP(tbLoja[[#This Row],[Cod_Produto]],tbProdutos[Cod_Produto],tbProdutos[Produto],"Não cadastrado")</f>
        <v/>
      </c>
      <c r="H258">
        <f>_xlfn.XLOOKUP(tbLoja[[#This Row],[Cod_Produto]],tbProdutos[Cod_Produto],tbProdutos[Categoria],"Não cadastrado")</f>
        <v/>
      </c>
      <c r="I258" s="4">
        <f>_xlfn.XLOOKUP(tbLoja[[#This Row],[Cod_Produto]],tbProdutos[Cod_Produto],tbProdutos[Custo Unitário],0)</f>
        <v/>
      </c>
      <c r="J258">
        <f>_xlfn.XLOOKUP(tbLoja[[#This Row],[ID_Vendedor]],tbVendedores[ID_Vendedor],tbVendedores[Vendedor],"Não cadastrado")</f>
        <v/>
      </c>
      <c r="K258" s="4">
        <f>tbLoja[[#This Row],[Quantidade]]*tbLoja[[#This Row],[Preço Unitário]]</f>
        <v/>
      </c>
      <c r="L258" s="4">
        <f>tbLoja[[#This Row],[Faturamento]]-tbLoja[[#This Row],[Quantidade]]*tbLoja[[#This Row],[Custo Unitário]]</f>
        <v/>
      </c>
      <c r="M258">
        <f>MONTH(tbLoja[[#This Row],[Data]])</f>
        <v/>
      </c>
    </row>
    <row r="259">
      <c r="A259" t="inlineStr">
        <is>
          <t>L0258</t>
        </is>
      </c>
      <c r="B259" s="9" t="n">
        <v>46103</v>
      </c>
      <c r="C259" t="inlineStr">
        <is>
          <t>V04</t>
        </is>
      </c>
      <c r="D259" t="inlineStr">
        <is>
          <t>P005</t>
        </is>
      </c>
      <c r="E259" t="n">
        <v>4</v>
      </c>
      <c r="F259" s="4" t="n">
        <v>349</v>
      </c>
      <c r="G259">
        <f>_xlfn.XLOOKUP(tbLoja[[#This Row],[Cod_Produto]],tbProdutos[Cod_Produto],tbProdutos[Produto],"Não cadastrado")</f>
        <v/>
      </c>
      <c r="H259">
        <f>_xlfn.XLOOKUP(tbLoja[[#This Row],[Cod_Produto]],tbProdutos[Cod_Produto],tbProdutos[Categoria],"Não cadastrado")</f>
        <v/>
      </c>
      <c r="I259" s="4">
        <f>_xlfn.XLOOKUP(tbLoja[[#This Row],[Cod_Produto]],tbProdutos[Cod_Produto],tbProdutos[Custo Unitário],0)</f>
        <v/>
      </c>
      <c r="J259">
        <f>_xlfn.XLOOKUP(tbLoja[[#This Row],[ID_Vendedor]],tbVendedores[ID_Vendedor],tbVendedores[Vendedor],"Não cadastrado")</f>
        <v/>
      </c>
      <c r="K259" s="4">
        <f>tbLoja[[#This Row],[Quantidade]]*tbLoja[[#This Row],[Preço Unitário]]</f>
        <v/>
      </c>
      <c r="L259" s="4">
        <f>tbLoja[[#This Row],[Faturamento]]-tbLoja[[#This Row],[Quantidade]]*tbLoja[[#This Row],[Custo Unitário]]</f>
        <v/>
      </c>
      <c r="M259">
        <f>MONTH(tbLoja[[#This Row],[Data]])</f>
        <v/>
      </c>
    </row>
    <row r="260">
      <c r="A260" t="inlineStr">
        <is>
          <t>L0259</t>
        </is>
      </c>
      <c r="B260" s="9" t="n">
        <v>46103</v>
      </c>
      <c r="C260" t="inlineStr">
        <is>
          <t>V02</t>
        </is>
      </c>
      <c r="D260" t="inlineStr">
        <is>
          <t>P006</t>
        </is>
      </c>
      <c r="E260" t="n">
        <v>3</v>
      </c>
      <c r="F260" s="4" t="n">
        <v>119</v>
      </c>
      <c r="G260">
        <f>_xlfn.XLOOKUP(tbLoja[[#This Row],[Cod_Produto]],tbProdutos[Cod_Produto],tbProdutos[Produto],"Não cadastrado")</f>
        <v/>
      </c>
      <c r="H260">
        <f>_xlfn.XLOOKUP(tbLoja[[#This Row],[Cod_Produto]],tbProdutos[Cod_Produto],tbProdutos[Categoria],"Não cadastrado")</f>
        <v/>
      </c>
      <c r="I260" s="4">
        <f>_xlfn.XLOOKUP(tbLoja[[#This Row],[Cod_Produto]],tbProdutos[Cod_Produto],tbProdutos[Custo Unitário],0)</f>
        <v/>
      </c>
      <c r="J260">
        <f>_xlfn.XLOOKUP(tbLoja[[#This Row],[ID_Vendedor]],tbVendedores[ID_Vendedor],tbVendedores[Vendedor],"Não cadastrado")</f>
        <v/>
      </c>
      <c r="K260" s="4">
        <f>tbLoja[[#This Row],[Quantidade]]*tbLoja[[#This Row],[Preço Unitário]]</f>
        <v/>
      </c>
      <c r="L260" s="4">
        <f>tbLoja[[#This Row],[Faturamento]]-tbLoja[[#This Row],[Quantidade]]*tbLoja[[#This Row],[Custo Unitário]]</f>
        <v/>
      </c>
      <c r="M260">
        <f>MONTH(tbLoja[[#This Row],[Data]])</f>
        <v/>
      </c>
    </row>
    <row r="261">
      <c r="A261" t="inlineStr">
        <is>
          <t>L0260</t>
        </is>
      </c>
      <c r="B261" s="9" t="n">
        <v>46103</v>
      </c>
      <c r="C261" t="inlineStr">
        <is>
          <t>V01</t>
        </is>
      </c>
      <c r="D261" t="inlineStr">
        <is>
          <t>P003</t>
        </is>
      </c>
      <c r="E261" t="n">
        <v>2</v>
      </c>
      <c r="F261" s="4" t="n">
        <v>1599</v>
      </c>
      <c r="G261">
        <f>_xlfn.XLOOKUP(tbLoja[[#This Row],[Cod_Produto]],tbProdutos[Cod_Produto],tbProdutos[Produto],"Não cadastrado")</f>
        <v/>
      </c>
      <c r="H261">
        <f>_xlfn.XLOOKUP(tbLoja[[#This Row],[Cod_Produto]],tbProdutos[Cod_Produto],tbProdutos[Categoria],"Não cadastrado")</f>
        <v/>
      </c>
      <c r="I261" s="4">
        <f>_xlfn.XLOOKUP(tbLoja[[#This Row],[Cod_Produto]],tbProdutos[Cod_Produto],tbProdutos[Custo Unitário],0)</f>
        <v/>
      </c>
      <c r="J261">
        <f>_xlfn.XLOOKUP(tbLoja[[#This Row],[ID_Vendedor]],tbVendedores[ID_Vendedor],tbVendedores[Vendedor],"Não cadastrado")</f>
        <v/>
      </c>
      <c r="K261" s="4">
        <f>tbLoja[[#This Row],[Quantidade]]*tbLoja[[#This Row],[Preço Unitário]]</f>
        <v/>
      </c>
      <c r="L261" s="4">
        <f>tbLoja[[#This Row],[Faturamento]]-tbLoja[[#This Row],[Quantidade]]*tbLoja[[#This Row],[Custo Unitário]]</f>
        <v/>
      </c>
      <c r="M261">
        <f>MONTH(tbLoja[[#This Row],[Data]])</f>
        <v/>
      </c>
    </row>
    <row r="262">
      <c r="A262" t="inlineStr">
        <is>
          <t>L0261</t>
        </is>
      </c>
      <c r="B262" s="9" t="n">
        <v>46103</v>
      </c>
      <c r="C262" t="inlineStr">
        <is>
          <t>V03</t>
        </is>
      </c>
      <c r="D262" t="inlineStr">
        <is>
          <t>P001</t>
        </is>
      </c>
      <c r="E262" t="n">
        <v>1</v>
      </c>
      <c r="F262" s="4" t="n">
        <v>5899</v>
      </c>
      <c r="G262">
        <f>_xlfn.XLOOKUP(tbLoja[[#This Row],[Cod_Produto]],tbProdutos[Cod_Produto],tbProdutos[Produto],"Não cadastrado")</f>
        <v/>
      </c>
      <c r="H262">
        <f>_xlfn.XLOOKUP(tbLoja[[#This Row],[Cod_Produto]],tbProdutos[Cod_Produto],tbProdutos[Categoria],"Não cadastrado")</f>
        <v/>
      </c>
      <c r="I262" s="4">
        <f>_xlfn.XLOOKUP(tbLoja[[#This Row],[Cod_Produto]],tbProdutos[Cod_Produto],tbProdutos[Custo Unitário],0)</f>
        <v/>
      </c>
      <c r="J262">
        <f>_xlfn.XLOOKUP(tbLoja[[#This Row],[ID_Vendedor]],tbVendedores[ID_Vendedor],tbVendedores[Vendedor],"Não cadastrado")</f>
        <v/>
      </c>
      <c r="K262" s="4">
        <f>tbLoja[[#This Row],[Quantidade]]*tbLoja[[#This Row],[Preço Unitário]]</f>
        <v/>
      </c>
      <c r="L262" s="4">
        <f>tbLoja[[#This Row],[Faturamento]]-tbLoja[[#This Row],[Quantidade]]*tbLoja[[#This Row],[Custo Unitário]]</f>
        <v/>
      </c>
      <c r="M262">
        <f>MONTH(tbLoja[[#This Row],[Data]])</f>
        <v/>
      </c>
    </row>
    <row r="263">
      <c r="A263" t="inlineStr">
        <is>
          <t>L0262</t>
        </is>
      </c>
      <c r="B263" s="9" t="n">
        <v>46104</v>
      </c>
      <c r="C263" t="inlineStr">
        <is>
          <t>V02</t>
        </is>
      </c>
      <c r="D263" t="inlineStr">
        <is>
          <t>P007</t>
        </is>
      </c>
      <c r="E263" t="n">
        <v>2</v>
      </c>
      <c r="F263" s="4" t="n">
        <v>399</v>
      </c>
      <c r="G263">
        <f>_xlfn.XLOOKUP(tbLoja[[#This Row],[Cod_Produto]],tbProdutos[Cod_Produto],tbProdutos[Produto],"Não cadastrado")</f>
        <v/>
      </c>
      <c r="H263">
        <f>_xlfn.XLOOKUP(tbLoja[[#This Row],[Cod_Produto]],tbProdutos[Cod_Produto],tbProdutos[Categoria],"Não cadastrado")</f>
        <v/>
      </c>
      <c r="I263" s="4">
        <f>_xlfn.XLOOKUP(tbLoja[[#This Row],[Cod_Produto]],tbProdutos[Cod_Produto],tbProdutos[Custo Unitário],0)</f>
        <v/>
      </c>
      <c r="J263">
        <f>_xlfn.XLOOKUP(tbLoja[[#This Row],[ID_Vendedor]],tbVendedores[ID_Vendedor],tbVendedores[Vendedor],"Não cadastrado")</f>
        <v/>
      </c>
      <c r="K263" s="4">
        <f>tbLoja[[#This Row],[Quantidade]]*tbLoja[[#This Row],[Preço Unitário]]</f>
        <v/>
      </c>
      <c r="L263" s="4">
        <f>tbLoja[[#This Row],[Faturamento]]-tbLoja[[#This Row],[Quantidade]]*tbLoja[[#This Row],[Custo Unitário]]</f>
        <v/>
      </c>
      <c r="M263">
        <f>MONTH(tbLoja[[#This Row],[Data]])</f>
        <v/>
      </c>
    </row>
    <row r="264">
      <c r="A264" t="inlineStr">
        <is>
          <t>L0263</t>
        </is>
      </c>
      <c r="B264" s="9" t="n">
        <v>46104</v>
      </c>
      <c r="C264" t="inlineStr">
        <is>
          <t>V03</t>
        </is>
      </c>
      <c r="D264" t="inlineStr">
        <is>
          <t>P009</t>
        </is>
      </c>
      <c r="E264" t="n">
        <v>2</v>
      </c>
      <c r="F264" s="4" t="n">
        <v>499</v>
      </c>
      <c r="G264">
        <f>_xlfn.XLOOKUP(tbLoja[[#This Row],[Cod_Produto]],tbProdutos[Cod_Produto],tbProdutos[Produto],"Não cadastrado")</f>
        <v/>
      </c>
      <c r="H264">
        <f>_xlfn.XLOOKUP(tbLoja[[#This Row],[Cod_Produto]],tbProdutos[Cod_Produto],tbProdutos[Categoria],"Não cadastrado")</f>
        <v/>
      </c>
      <c r="I264" s="4">
        <f>_xlfn.XLOOKUP(tbLoja[[#This Row],[Cod_Produto]],tbProdutos[Cod_Produto],tbProdutos[Custo Unitário],0)</f>
        <v/>
      </c>
      <c r="J264">
        <f>_xlfn.XLOOKUP(tbLoja[[#This Row],[ID_Vendedor]],tbVendedores[ID_Vendedor],tbVendedores[Vendedor],"Não cadastrado")</f>
        <v/>
      </c>
      <c r="K264" s="4">
        <f>tbLoja[[#This Row],[Quantidade]]*tbLoja[[#This Row],[Preço Unitário]]</f>
        <v/>
      </c>
      <c r="L264" s="4">
        <f>tbLoja[[#This Row],[Faturamento]]-tbLoja[[#This Row],[Quantidade]]*tbLoja[[#This Row],[Custo Unitário]]</f>
        <v/>
      </c>
      <c r="M264">
        <f>MONTH(tbLoja[[#This Row],[Data]])</f>
        <v/>
      </c>
    </row>
    <row r="265">
      <c r="A265" t="inlineStr">
        <is>
          <t>L0264</t>
        </is>
      </c>
      <c r="B265" s="9" t="n">
        <v>46104</v>
      </c>
      <c r="C265" t="inlineStr">
        <is>
          <t>V03</t>
        </is>
      </c>
      <c r="D265" t="inlineStr">
        <is>
          <t>P002</t>
        </is>
      </c>
      <c r="E265" t="n">
        <v>1</v>
      </c>
      <c r="F265" s="4" t="n">
        <v>3299</v>
      </c>
      <c r="G265">
        <f>_xlfn.XLOOKUP(tbLoja[[#This Row],[Cod_Produto]],tbProdutos[Cod_Produto],tbProdutos[Produto],"Não cadastrado")</f>
        <v/>
      </c>
      <c r="H265">
        <f>_xlfn.XLOOKUP(tbLoja[[#This Row],[Cod_Produto]],tbProdutos[Cod_Produto],tbProdutos[Categoria],"Não cadastrado")</f>
        <v/>
      </c>
      <c r="I265" s="4">
        <f>_xlfn.XLOOKUP(tbLoja[[#This Row],[Cod_Produto]],tbProdutos[Cod_Produto],tbProdutos[Custo Unitário],0)</f>
        <v/>
      </c>
      <c r="J265">
        <f>_xlfn.XLOOKUP(tbLoja[[#This Row],[ID_Vendedor]],tbVendedores[ID_Vendedor],tbVendedores[Vendedor],"Não cadastrado")</f>
        <v/>
      </c>
      <c r="K265" s="4">
        <f>tbLoja[[#This Row],[Quantidade]]*tbLoja[[#This Row],[Preço Unitário]]</f>
        <v/>
      </c>
      <c r="L265" s="4">
        <f>tbLoja[[#This Row],[Faturamento]]-tbLoja[[#This Row],[Quantidade]]*tbLoja[[#This Row],[Custo Unitário]]</f>
        <v/>
      </c>
      <c r="M265">
        <f>MONTH(tbLoja[[#This Row],[Data]])</f>
        <v/>
      </c>
    </row>
    <row r="266">
      <c r="A266" t="inlineStr">
        <is>
          <t>L0265</t>
        </is>
      </c>
      <c r="B266" s="9" t="n">
        <v>46104</v>
      </c>
      <c r="C266" t="inlineStr">
        <is>
          <t>V04</t>
        </is>
      </c>
      <c r="D266" t="inlineStr">
        <is>
          <t>P009</t>
        </is>
      </c>
      <c r="E266" t="n">
        <v>1</v>
      </c>
      <c r="F266" s="4" t="n">
        <v>499</v>
      </c>
      <c r="G266">
        <f>_xlfn.XLOOKUP(tbLoja[[#This Row],[Cod_Produto]],tbProdutos[Cod_Produto],tbProdutos[Produto],"Não cadastrado")</f>
        <v/>
      </c>
      <c r="H266">
        <f>_xlfn.XLOOKUP(tbLoja[[#This Row],[Cod_Produto]],tbProdutos[Cod_Produto],tbProdutos[Categoria],"Não cadastrado")</f>
        <v/>
      </c>
      <c r="I266" s="4">
        <f>_xlfn.XLOOKUP(tbLoja[[#This Row],[Cod_Produto]],tbProdutos[Cod_Produto],tbProdutos[Custo Unitário],0)</f>
        <v/>
      </c>
      <c r="J266">
        <f>_xlfn.XLOOKUP(tbLoja[[#This Row],[ID_Vendedor]],tbVendedores[ID_Vendedor],tbVendedores[Vendedor],"Não cadastrado")</f>
        <v/>
      </c>
      <c r="K266" s="4">
        <f>tbLoja[[#This Row],[Quantidade]]*tbLoja[[#This Row],[Preço Unitário]]</f>
        <v/>
      </c>
      <c r="L266" s="4">
        <f>tbLoja[[#This Row],[Faturamento]]-tbLoja[[#This Row],[Quantidade]]*tbLoja[[#This Row],[Custo Unitário]]</f>
        <v/>
      </c>
      <c r="M266">
        <f>MONTH(tbLoja[[#This Row],[Data]])</f>
        <v/>
      </c>
    </row>
    <row r="267">
      <c r="A267" t="inlineStr">
        <is>
          <t>L0266</t>
        </is>
      </c>
      <c r="B267" s="9" t="n">
        <v>46105</v>
      </c>
      <c r="C267" t="inlineStr">
        <is>
          <t>V03</t>
        </is>
      </c>
      <c r="D267" t="inlineStr">
        <is>
          <t>P003</t>
        </is>
      </c>
      <c r="E267" t="n">
        <v>4</v>
      </c>
      <c r="F267" s="4" t="n">
        <v>1599</v>
      </c>
      <c r="G267">
        <f>_xlfn.XLOOKUP(tbLoja[[#This Row],[Cod_Produto]],tbProdutos[Cod_Produto],tbProdutos[Produto],"Não cadastrado")</f>
        <v/>
      </c>
      <c r="H267">
        <f>_xlfn.XLOOKUP(tbLoja[[#This Row],[Cod_Produto]],tbProdutos[Cod_Produto],tbProdutos[Categoria],"Não cadastrado")</f>
        <v/>
      </c>
      <c r="I267" s="4">
        <f>_xlfn.XLOOKUP(tbLoja[[#This Row],[Cod_Produto]],tbProdutos[Cod_Produto],tbProdutos[Custo Unitário],0)</f>
        <v/>
      </c>
      <c r="J267">
        <f>_xlfn.XLOOKUP(tbLoja[[#This Row],[ID_Vendedor]],tbVendedores[ID_Vendedor],tbVendedores[Vendedor],"Não cadastrado")</f>
        <v/>
      </c>
      <c r="K267" s="4">
        <f>tbLoja[[#This Row],[Quantidade]]*tbLoja[[#This Row],[Preço Unitário]]</f>
        <v/>
      </c>
      <c r="L267" s="4">
        <f>tbLoja[[#This Row],[Faturamento]]-tbLoja[[#This Row],[Quantidade]]*tbLoja[[#This Row],[Custo Unitário]]</f>
        <v/>
      </c>
      <c r="M267">
        <f>MONTH(tbLoja[[#This Row],[Data]])</f>
        <v/>
      </c>
    </row>
    <row r="268">
      <c r="A268" t="inlineStr">
        <is>
          <t>L0267</t>
        </is>
      </c>
      <c r="B268" s="9" t="n">
        <v>46105</v>
      </c>
      <c r="C268" t="inlineStr">
        <is>
          <t>V02</t>
        </is>
      </c>
      <c r="D268" t="inlineStr">
        <is>
          <t>P007</t>
        </is>
      </c>
      <c r="E268" t="n">
        <v>2</v>
      </c>
      <c r="F268" s="4" t="n">
        <v>399</v>
      </c>
      <c r="G268">
        <f>_xlfn.XLOOKUP(tbLoja[[#This Row],[Cod_Produto]],tbProdutos[Cod_Produto],tbProdutos[Produto],"Não cadastrado")</f>
        <v/>
      </c>
      <c r="H268">
        <f>_xlfn.XLOOKUP(tbLoja[[#This Row],[Cod_Produto]],tbProdutos[Cod_Produto],tbProdutos[Categoria],"Não cadastrado")</f>
        <v/>
      </c>
      <c r="I268" s="4">
        <f>_xlfn.XLOOKUP(tbLoja[[#This Row],[Cod_Produto]],tbProdutos[Cod_Produto],tbProdutos[Custo Unitário],0)</f>
        <v/>
      </c>
      <c r="J268">
        <f>_xlfn.XLOOKUP(tbLoja[[#This Row],[ID_Vendedor]],tbVendedores[ID_Vendedor],tbVendedores[Vendedor],"Não cadastrado")</f>
        <v/>
      </c>
      <c r="K268" s="4">
        <f>tbLoja[[#This Row],[Quantidade]]*tbLoja[[#This Row],[Preço Unitário]]</f>
        <v/>
      </c>
      <c r="L268" s="4">
        <f>tbLoja[[#This Row],[Faturamento]]-tbLoja[[#This Row],[Quantidade]]*tbLoja[[#This Row],[Custo Unitário]]</f>
        <v/>
      </c>
      <c r="M268">
        <f>MONTH(tbLoja[[#This Row],[Data]])</f>
        <v/>
      </c>
    </row>
    <row r="269">
      <c r="A269" t="inlineStr">
        <is>
          <t>L0268</t>
        </is>
      </c>
      <c r="B269" s="9" t="n">
        <v>46105</v>
      </c>
      <c r="C269" t="inlineStr">
        <is>
          <t>V03</t>
        </is>
      </c>
      <c r="D269" t="inlineStr">
        <is>
          <t>P003</t>
        </is>
      </c>
      <c r="E269" t="n">
        <v>5</v>
      </c>
      <c r="F269" s="4" t="n">
        <v>1599</v>
      </c>
      <c r="G269">
        <f>_xlfn.XLOOKUP(tbLoja[[#This Row],[Cod_Produto]],tbProdutos[Cod_Produto],tbProdutos[Produto],"Não cadastrado")</f>
        <v/>
      </c>
      <c r="H269">
        <f>_xlfn.XLOOKUP(tbLoja[[#This Row],[Cod_Produto]],tbProdutos[Cod_Produto],tbProdutos[Categoria],"Não cadastrado")</f>
        <v/>
      </c>
      <c r="I269" s="4">
        <f>_xlfn.XLOOKUP(tbLoja[[#This Row],[Cod_Produto]],tbProdutos[Cod_Produto],tbProdutos[Custo Unitário],0)</f>
        <v/>
      </c>
      <c r="J269">
        <f>_xlfn.XLOOKUP(tbLoja[[#This Row],[ID_Vendedor]],tbVendedores[ID_Vendedor],tbVendedores[Vendedor],"Não cadastrado")</f>
        <v/>
      </c>
      <c r="K269" s="4">
        <f>tbLoja[[#This Row],[Quantidade]]*tbLoja[[#This Row],[Preço Unitário]]</f>
        <v/>
      </c>
      <c r="L269" s="4">
        <f>tbLoja[[#This Row],[Faturamento]]-tbLoja[[#This Row],[Quantidade]]*tbLoja[[#This Row],[Custo Unitário]]</f>
        <v/>
      </c>
      <c r="M269">
        <f>MONTH(tbLoja[[#This Row],[Data]])</f>
        <v/>
      </c>
    </row>
    <row r="270">
      <c r="A270" t="inlineStr">
        <is>
          <t>L0269</t>
        </is>
      </c>
      <c r="B270" s="9" t="n">
        <v>46105</v>
      </c>
      <c r="C270" t="inlineStr">
        <is>
          <t>V03</t>
        </is>
      </c>
      <c r="D270" t="inlineStr">
        <is>
          <t>P006</t>
        </is>
      </c>
      <c r="E270" t="n">
        <v>5</v>
      </c>
      <c r="F270" s="4" t="n">
        <v>119</v>
      </c>
      <c r="G270">
        <f>_xlfn.XLOOKUP(tbLoja[[#This Row],[Cod_Produto]],tbProdutos[Cod_Produto],tbProdutos[Produto],"Não cadastrado")</f>
        <v/>
      </c>
      <c r="H270">
        <f>_xlfn.XLOOKUP(tbLoja[[#This Row],[Cod_Produto]],tbProdutos[Cod_Produto],tbProdutos[Categoria],"Não cadastrado")</f>
        <v/>
      </c>
      <c r="I270" s="4">
        <f>_xlfn.XLOOKUP(tbLoja[[#This Row],[Cod_Produto]],tbProdutos[Cod_Produto],tbProdutos[Custo Unitário],0)</f>
        <v/>
      </c>
      <c r="J270">
        <f>_xlfn.XLOOKUP(tbLoja[[#This Row],[ID_Vendedor]],tbVendedores[ID_Vendedor],tbVendedores[Vendedor],"Não cadastrado")</f>
        <v/>
      </c>
      <c r="K270" s="4">
        <f>tbLoja[[#This Row],[Quantidade]]*tbLoja[[#This Row],[Preço Unitário]]</f>
        <v/>
      </c>
      <c r="L270" s="4">
        <f>tbLoja[[#This Row],[Faturamento]]-tbLoja[[#This Row],[Quantidade]]*tbLoja[[#This Row],[Custo Unitário]]</f>
        <v/>
      </c>
      <c r="M270">
        <f>MONTH(tbLoja[[#This Row],[Data]])</f>
        <v/>
      </c>
    </row>
    <row r="271">
      <c r="A271" t="inlineStr">
        <is>
          <t>L0270</t>
        </is>
      </c>
      <c r="B271" s="9" t="n">
        <v>46105</v>
      </c>
      <c r="C271" t="inlineStr">
        <is>
          <t>V03</t>
        </is>
      </c>
      <c r="D271" t="inlineStr">
        <is>
          <t>P006</t>
        </is>
      </c>
      <c r="E271" t="n">
        <v>2</v>
      </c>
      <c r="F271" s="4" t="n">
        <v>119</v>
      </c>
      <c r="G271">
        <f>_xlfn.XLOOKUP(tbLoja[[#This Row],[Cod_Produto]],tbProdutos[Cod_Produto],tbProdutos[Produto],"Não cadastrado")</f>
        <v/>
      </c>
      <c r="H271">
        <f>_xlfn.XLOOKUP(tbLoja[[#This Row],[Cod_Produto]],tbProdutos[Cod_Produto],tbProdutos[Categoria],"Não cadastrado")</f>
        <v/>
      </c>
      <c r="I271" s="4">
        <f>_xlfn.XLOOKUP(tbLoja[[#This Row],[Cod_Produto]],tbProdutos[Cod_Produto],tbProdutos[Custo Unitário],0)</f>
        <v/>
      </c>
      <c r="J271">
        <f>_xlfn.XLOOKUP(tbLoja[[#This Row],[ID_Vendedor]],tbVendedores[ID_Vendedor],tbVendedores[Vendedor],"Não cadastrado")</f>
        <v/>
      </c>
      <c r="K271" s="4">
        <f>tbLoja[[#This Row],[Quantidade]]*tbLoja[[#This Row],[Preço Unitário]]</f>
        <v/>
      </c>
      <c r="L271" s="4">
        <f>tbLoja[[#This Row],[Faturamento]]-tbLoja[[#This Row],[Quantidade]]*tbLoja[[#This Row],[Custo Unitário]]</f>
        <v/>
      </c>
      <c r="M271">
        <f>MONTH(tbLoja[[#This Row],[Data]])</f>
        <v/>
      </c>
    </row>
    <row r="272">
      <c r="A272" t="inlineStr">
        <is>
          <t>L0271</t>
        </is>
      </c>
      <c r="B272" s="9" t="n">
        <v>46105</v>
      </c>
      <c r="C272" t="inlineStr">
        <is>
          <t>V05</t>
        </is>
      </c>
      <c r="D272" t="inlineStr">
        <is>
          <t>P010</t>
        </is>
      </c>
      <c r="E272" t="n">
        <v>1</v>
      </c>
      <c r="F272" s="4" t="n">
        <v>1299</v>
      </c>
      <c r="G272">
        <f>_xlfn.XLOOKUP(tbLoja[[#This Row],[Cod_Produto]],tbProdutos[Cod_Produto],tbProdutos[Produto],"Não cadastrado")</f>
        <v/>
      </c>
      <c r="H272">
        <f>_xlfn.XLOOKUP(tbLoja[[#This Row],[Cod_Produto]],tbProdutos[Cod_Produto],tbProdutos[Categoria],"Não cadastrado")</f>
        <v/>
      </c>
      <c r="I272" s="4">
        <f>_xlfn.XLOOKUP(tbLoja[[#This Row],[Cod_Produto]],tbProdutos[Cod_Produto],tbProdutos[Custo Unitário],0)</f>
        <v/>
      </c>
      <c r="J272">
        <f>_xlfn.XLOOKUP(tbLoja[[#This Row],[ID_Vendedor]],tbVendedores[ID_Vendedor],tbVendedores[Vendedor],"Não cadastrado")</f>
        <v/>
      </c>
      <c r="K272" s="4">
        <f>tbLoja[[#This Row],[Quantidade]]*tbLoja[[#This Row],[Preço Unitário]]</f>
        <v/>
      </c>
      <c r="L272" s="4">
        <f>tbLoja[[#This Row],[Faturamento]]-tbLoja[[#This Row],[Quantidade]]*tbLoja[[#This Row],[Custo Unitário]]</f>
        <v/>
      </c>
      <c r="M272">
        <f>MONTH(tbLoja[[#This Row],[Data]])</f>
        <v/>
      </c>
    </row>
    <row r="273">
      <c r="A273" t="inlineStr">
        <is>
          <t>L0272</t>
        </is>
      </c>
      <c r="B273" s="9" t="n">
        <v>46106</v>
      </c>
      <c r="C273" t="inlineStr">
        <is>
          <t>V02</t>
        </is>
      </c>
      <c r="D273" t="inlineStr">
        <is>
          <t>P006</t>
        </is>
      </c>
      <c r="E273" t="n">
        <v>1</v>
      </c>
      <c r="F273" s="4" t="n">
        <v>119</v>
      </c>
      <c r="G273">
        <f>_xlfn.XLOOKUP(tbLoja[[#This Row],[Cod_Produto]],tbProdutos[Cod_Produto],tbProdutos[Produto],"Não cadastrado")</f>
        <v/>
      </c>
      <c r="H273">
        <f>_xlfn.XLOOKUP(tbLoja[[#This Row],[Cod_Produto]],tbProdutos[Cod_Produto],tbProdutos[Categoria],"Não cadastrado")</f>
        <v/>
      </c>
      <c r="I273" s="4">
        <f>_xlfn.XLOOKUP(tbLoja[[#This Row],[Cod_Produto]],tbProdutos[Cod_Produto],tbProdutos[Custo Unitário],0)</f>
        <v/>
      </c>
      <c r="J273">
        <f>_xlfn.XLOOKUP(tbLoja[[#This Row],[ID_Vendedor]],tbVendedores[ID_Vendedor],tbVendedores[Vendedor],"Não cadastrado")</f>
        <v/>
      </c>
      <c r="K273" s="4">
        <f>tbLoja[[#This Row],[Quantidade]]*tbLoja[[#This Row],[Preço Unitário]]</f>
        <v/>
      </c>
      <c r="L273" s="4">
        <f>tbLoja[[#This Row],[Faturamento]]-tbLoja[[#This Row],[Quantidade]]*tbLoja[[#This Row],[Custo Unitário]]</f>
        <v/>
      </c>
      <c r="M273">
        <f>MONTH(tbLoja[[#This Row],[Data]])</f>
        <v/>
      </c>
    </row>
    <row r="274">
      <c r="A274" t="inlineStr">
        <is>
          <t>L0273</t>
        </is>
      </c>
      <c r="B274" s="9" t="n">
        <v>46106</v>
      </c>
      <c r="C274" t="inlineStr">
        <is>
          <t>V04</t>
        </is>
      </c>
      <c r="D274" t="inlineStr">
        <is>
          <t>P005</t>
        </is>
      </c>
      <c r="E274" t="n">
        <v>2</v>
      </c>
      <c r="F274" s="4" t="n">
        <v>349</v>
      </c>
      <c r="G274">
        <f>_xlfn.XLOOKUP(tbLoja[[#This Row],[Cod_Produto]],tbProdutos[Cod_Produto],tbProdutos[Produto],"Não cadastrado")</f>
        <v/>
      </c>
      <c r="H274">
        <f>_xlfn.XLOOKUP(tbLoja[[#This Row],[Cod_Produto]],tbProdutos[Cod_Produto],tbProdutos[Categoria],"Não cadastrado")</f>
        <v/>
      </c>
      <c r="I274" s="4">
        <f>_xlfn.XLOOKUP(tbLoja[[#This Row],[Cod_Produto]],tbProdutos[Cod_Produto],tbProdutos[Custo Unitário],0)</f>
        <v/>
      </c>
      <c r="J274">
        <f>_xlfn.XLOOKUP(tbLoja[[#This Row],[ID_Vendedor]],tbVendedores[ID_Vendedor],tbVendedores[Vendedor],"Não cadastrado")</f>
        <v/>
      </c>
      <c r="K274" s="4">
        <f>tbLoja[[#This Row],[Quantidade]]*tbLoja[[#This Row],[Preço Unitário]]</f>
        <v/>
      </c>
      <c r="L274" s="4">
        <f>tbLoja[[#This Row],[Faturamento]]-tbLoja[[#This Row],[Quantidade]]*tbLoja[[#This Row],[Custo Unitário]]</f>
        <v/>
      </c>
      <c r="M274">
        <f>MONTH(tbLoja[[#This Row],[Data]])</f>
        <v/>
      </c>
    </row>
    <row r="275">
      <c r="A275" t="inlineStr">
        <is>
          <t>L0274</t>
        </is>
      </c>
      <c r="B275" s="9" t="n">
        <v>46106</v>
      </c>
      <c r="C275" t="inlineStr">
        <is>
          <t>V01</t>
        </is>
      </c>
      <c r="D275" t="inlineStr">
        <is>
          <t>P005</t>
        </is>
      </c>
      <c r="E275" t="n">
        <v>3</v>
      </c>
      <c r="F275" s="4" t="n">
        <v>349</v>
      </c>
      <c r="G275">
        <f>_xlfn.XLOOKUP(tbLoja[[#This Row],[Cod_Produto]],tbProdutos[Cod_Produto],tbProdutos[Produto],"Não cadastrado")</f>
        <v/>
      </c>
      <c r="H275">
        <f>_xlfn.XLOOKUP(tbLoja[[#This Row],[Cod_Produto]],tbProdutos[Cod_Produto],tbProdutos[Categoria],"Não cadastrado")</f>
        <v/>
      </c>
      <c r="I275" s="4">
        <f>_xlfn.XLOOKUP(tbLoja[[#This Row],[Cod_Produto]],tbProdutos[Cod_Produto],tbProdutos[Custo Unitário],0)</f>
        <v/>
      </c>
      <c r="J275">
        <f>_xlfn.XLOOKUP(tbLoja[[#This Row],[ID_Vendedor]],tbVendedores[ID_Vendedor],tbVendedores[Vendedor],"Não cadastrado")</f>
        <v/>
      </c>
      <c r="K275" s="4">
        <f>tbLoja[[#This Row],[Quantidade]]*tbLoja[[#This Row],[Preço Unitário]]</f>
        <v/>
      </c>
      <c r="L275" s="4">
        <f>tbLoja[[#This Row],[Faturamento]]-tbLoja[[#This Row],[Quantidade]]*tbLoja[[#This Row],[Custo Unitário]]</f>
        <v/>
      </c>
      <c r="M275">
        <f>MONTH(tbLoja[[#This Row],[Data]])</f>
        <v/>
      </c>
    </row>
    <row r="276">
      <c r="A276" t="inlineStr">
        <is>
          <t>L0275</t>
        </is>
      </c>
      <c r="B276" s="9" t="n">
        <v>46107</v>
      </c>
      <c r="C276" t="inlineStr">
        <is>
          <t>V02</t>
        </is>
      </c>
      <c r="D276" t="inlineStr">
        <is>
          <t>P009</t>
        </is>
      </c>
      <c r="E276" t="n">
        <v>1</v>
      </c>
      <c r="F276" s="4" t="n">
        <v>499</v>
      </c>
      <c r="G276">
        <f>_xlfn.XLOOKUP(tbLoja[[#This Row],[Cod_Produto]],tbProdutos[Cod_Produto],tbProdutos[Produto],"Não cadastrado")</f>
        <v/>
      </c>
      <c r="H276">
        <f>_xlfn.XLOOKUP(tbLoja[[#This Row],[Cod_Produto]],tbProdutos[Cod_Produto],tbProdutos[Categoria],"Não cadastrado")</f>
        <v/>
      </c>
      <c r="I276" s="4">
        <f>_xlfn.XLOOKUP(tbLoja[[#This Row],[Cod_Produto]],tbProdutos[Cod_Produto],tbProdutos[Custo Unitário],0)</f>
        <v/>
      </c>
      <c r="J276">
        <f>_xlfn.XLOOKUP(tbLoja[[#This Row],[ID_Vendedor]],tbVendedores[ID_Vendedor],tbVendedores[Vendedor],"Não cadastrado")</f>
        <v/>
      </c>
      <c r="K276" s="4">
        <f>tbLoja[[#This Row],[Quantidade]]*tbLoja[[#This Row],[Preço Unitário]]</f>
        <v/>
      </c>
      <c r="L276" s="4">
        <f>tbLoja[[#This Row],[Faturamento]]-tbLoja[[#This Row],[Quantidade]]*tbLoja[[#This Row],[Custo Unitário]]</f>
        <v/>
      </c>
      <c r="M276">
        <f>MONTH(tbLoja[[#This Row],[Data]])</f>
        <v/>
      </c>
    </row>
    <row r="277">
      <c r="A277" t="inlineStr">
        <is>
          <t>L0276</t>
        </is>
      </c>
      <c r="B277" s="9" t="n">
        <v>46107</v>
      </c>
      <c r="C277" t="inlineStr">
        <is>
          <t>V06</t>
        </is>
      </c>
      <c r="D277" t="inlineStr">
        <is>
          <t>P006</t>
        </is>
      </c>
      <c r="E277" t="n">
        <v>2</v>
      </c>
      <c r="F277" s="4" t="n">
        <v>119</v>
      </c>
      <c r="G277">
        <f>_xlfn.XLOOKUP(tbLoja[[#This Row],[Cod_Produto]],tbProdutos[Cod_Produto],tbProdutos[Produto],"Não cadastrado")</f>
        <v/>
      </c>
      <c r="H277">
        <f>_xlfn.XLOOKUP(tbLoja[[#This Row],[Cod_Produto]],tbProdutos[Cod_Produto],tbProdutos[Categoria],"Não cadastrado")</f>
        <v/>
      </c>
      <c r="I277" s="4">
        <f>_xlfn.XLOOKUP(tbLoja[[#This Row],[Cod_Produto]],tbProdutos[Cod_Produto],tbProdutos[Custo Unitário],0)</f>
        <v/>
      </c>
      <c r="J277">
        <f>_xlfn.XLOOKUP(tbLoja[[#This Row],[ID_Vendedor]],tbVendedores[ID_Vendedor],tbVendedores[Vendedor],"Não cadastrado")</f>
        <v/>
      </c>
      <c r="K277" s="4">
        <f>tbLoja[[#This Row],[Quantidade]]*tbLoja[[#This Row],[Preço Unitário]]</f>
        <v/>
      </c>
      <c r="L277" s="4">
        <f>tbLoja[[#This Row],[Faturamento]]-tbLoja[[#This Row],[Quantidade]]*tbLoja[[#This Row],[Custo Unitário]]</f>
        <v/>
      </c>
      <c r="M277">
        <f>MONTH(tbLoja[[#This Row],[Data]])</f>
        <v/>
      </c>
    </row>
    <row r="278">
      <c r="A278" t="inlineStr">
        <is>
          <t>L0277</t>
        </is>
      </c>
      <c r="B278" s="9" t="n">
        <v>46107</v>
      </c>
      <c r="C278" t="inlineStr">
        <is>
          <t>V04</t>
        </is>
      </c>
      <c r="D278" t="inlineStr">
        <is>
          <t>P006</t>
        </is>
      </c>
      <c r="E278" t="n">
        <v>2</v>
      </c>
      <c r="F278" s="4" t="n">
        <v>119</v>
      </c>
      <c r="G278">
        <f>_xlfn.XLOOKUP(tbLoja[[#This Row],[Cod_Produto]],tbProdutos[Cod_Produto],tbProdutos[Produto],"Não cadastrado")</f>
        <v/>
      </c>
      <c r="H278">
        <f>_xlfn.XLOOKUP(tbLoja[[#This Row],[Cod_Produto]],tbProdutos[Cod_Produto],tbProdutos[Categoria],"Não cadastrado")</f>
        <v/>
      </c>
      <c r="I278" s="4">
        <f>_xlfn.XLOOKUP(tbLoja[[#This Row],[Cod_Produto]],tbProdutos[Cod_Produto],tbProdutos[Custo Unitário],0)</f>
        <v/>
      </c>
      <c r="J278">
        <f>_xlfn.XLOOKUP(tbLoja[[#This Row],[ID_Vendedor]],tbVendedores[ID_Vendedor],tbVendedores[Vendedor],"Não cadastrado")</f>
        <v/>
      </c>
      <c r="K278" s="4">
        <f>tbLoja[[#This Row],[Quantidade]]*tbLoja[[#This Row],[Preço Unitário]]</f>
        <v/>
      </c>
      <c r="L278" s="4">
        <f>tbLoja[[#This Row],[Faturamento]]-tbLoja[[#This Row],[Quantidade]]*tbLoja[[#This Row],[Custo Unitário]]</f>
        <v/>
      </c>
      <c r="M278">
        <f>MONTH(tbLoja[[#This Row],[Data]])</f>
        <v/>
      </c>
    </row>
    <row r="279">
      <c r="A279" t="inlineStr">
        <is>
          <t>L0278</t>
        </is>
      </c>
      <c r="B279" s="9" t="n">
        <v>46107</v>
      </c>
      <c r="C279" t="inlineStr">
        <is>
          <t>V06</t>
        </is>
      </c>
      <c r="D279" t="inlineStr">
        <is>
          <t>P008</t>
        </is>
      </c>
      <c r="E279" t="n">
        <v>4</v>
      </c>
      <c r="F279" s="4" t="n">
        <v>259</v>
      </c>
      <c r="G279">
        <f>_xlfn.XLOOKUP(tbLoja[[#This Row],[Cod_Produto]],tbProdutos[Cod_Produto],tbProdutos[Produto],"Não cadastrado")</f>
        <v/>
      </c>
      <c r="H279">
        <f>_xlfn.XLOOKUP(tbLoja[[#This Row],[Cod_Produto]],tbProdutos[Cod_Produto],tbProdutos[Categoria],"Não cadastrado")</f>
        <v/>
      </c>
      <c r="I279" s="4">
        <f>_xlfn.XLOOKUP(tbLoja[[#This Row],[Cod_Produto]],tbProdutos[Cod_Produto],tbProdutos[Custo Unitário],0)</f>
        <v/>
      </c>
      <c r="J279">
        <f>_xlfn.XLOOKUP(tbLoja[[#This Row],[ID_Vendedor]],tbVendedores[ID_Vendedor],tbVendedores[Vendedor],"Não cadastrado")</f>
        <v/>
      </c>
      <c r="K279" s="4">
        <f>tbLoja[[#This Row],[Quantidade]]*tbLoja[[#This Row],[Preço Unitário]]</f>
        <v/>
      </c>
      <c r="L279" s="4">
        <f>tbLoja[[#This Row],[Faturamento]]-tbLoja[[#This Row],[Quantidade]]*tbLoja[[#This Row],[Custo Unitário]]</f>
        <v/>
      </c>
      <c r="M279">
        <f>MONTH(tbLoja[[#This Row],[Data]])</f>
        <v/>
      </c>
    </row>
    <row r="280">
      <c r="A280" t="inlineStr">
        <is>
          <t>L0279</t>
        </is>
      </c>
      <c r="B280" s="9" t="n">
        <v>46107</v>
      </c>
      <c r="C280" t="inlineStr">
        <is>
          <t>V01</t>
        </is>
      </c>
      <c r="D280" t="inlineStr">
        <is>
          <t>P009</t>
        </is>
      </c>
      <c r="E280" t="n">
        <v>2</v>
      </c>
      <c r="F280" s="4" t="n">
        <v>499</v>
      </c>
      <c r="G280">
        <f>_xlfn.XLOOKUP(tbLoja[[#This Row],[Cod_Produto]],tbProdutos[Cod_Produto],tbProdutos[Produto],"Não cadastrado")</f>
        <v/>
      </c>
      <c r="H280">
        <f>_xlfn.XLOOKUP(tbLoja[[#This Row],[Cod_Produto]],tbProdutos[Cod_Produto],tbProdutos[Categoria],"Não cadastrado")</f>
        <v/>
      </c>
      <c r="I280" s="4">
        <f>_xlfn.XLOOKUP(tbLoja[[#This Row],[Cod_Produto]],tbProdutos[Cod_Produto],tbProdutos[Custo Unitário],0)</f>
        <v/>
      </c>
      <c r="J280">
        <f>_xlfn.XLOOKUP(tbLoja[[#This Row],[ID_Vendedor]],tbVendedores[ID_Vendedor],tbVendedores[Vendedor],"Não cadastrado")</f>
        <v/>
      </c>
      <c r="K280" s="4">
        <f>tbLoja[[#This Row],[Quantidade]]*tbLoja[[#This Row],[Preço Unitário]]</f>
        <v/>
      </c>
      <c r="L280" s="4">
        <f>tbLoja[[#This Row],[Faturamento]]-tbLoja[[#This Row],[Quantidade]]*tbLoja[[#This Row],[Custo Unitário]]</f>
        <v/>
      </c>
      <c r="M280">
        <f>MONTH(tbLoja[[#This Row],[Data]])</f>
        <v/>
      </c>
    </row>
    <row r="281">
      <c r="A281" t="inlineStr">
        <is>
          <t>L0280</t>
        </is>
      </c>
      <c r="B281" s="9" t="n">
        <v>46108</v>
      </c>
      <c r="C281" t="inlineStr">
        <is>
          <t>V05</t>
        </is>
      </c>
      <c r="D281" t="inlineStr">
        <is>
          <t>P007</t>
        </is>
      </c>
      <c r="E281" t="n">
        <v>2</v>
      </c>
      <c r="F281" s="4" t="n">
        <v>399</v>
      </c>
      <c r="G281">
        <f>_xlfn.XLOOKUP(tbLoja[[#This Row],[Cod_Produto]],tbProdutos[Cod_Produto],tbProdutos[Produto],"Não cadastrado")</f>
        <v/>
      </c>
      <c r="H281">
        <f>_xlfn.XLOOKUP(tbLoja[[#This Row],[Cod_Produto]],tbProdutos[Cod_Produto],tbProdutos[Categoria],"Não cadastrado")</f>
        <v/>
      </c>
      <c r="I281" s="4">
        <f>_xlfn.XLOOKUP(tbLoja[[#This Row],[Cod_Produto]],tbProdutos[Cod_Produto],tbProdutos[Custo Unitário],0)</f>
        <v/>
      </c>
      <c r="J281">
        <f>_xlfn.XLOOKUP(tbLoja[[#This Row],[ID_Vendedor]],tbVendedores[ID_Vendedor],tbVendedores[Vendedor],"Não cadastrado")</f>
        <v/>
      </c>
      <c r="K281" s="4">
        <f>tbLoja[[#This Row],[Quantidade]]*tbLoja[[#This Row],[Preço Unitário]]</f>
        <v/>
      </c>
      <c r="L281" s="4">
        <f>tbLoja[[#This Row],[Faturamento]]-tbLoja[[#This Row],[Quantidade]]*tbLoja[[#This Row],[Custo Unitário]]</f>
        <v/>
      </c>
      <c r="M281">
        <f>MONTH(tbLoja[[#This Row],[Data]])</f>
        <v/>
      </c>
    </row>
    <row r="282">
      <c r="A282" t="inlineStr">
        <is>
          <t>L0281</t>
        </is>
      </c>
      <c r="B282" s="9" t="n">
        <v>46108</v>
      </c>
      <c r="C282" t="inlineStr">
        <is>
          <t>V03</t>
        </is>
      </c>
      <c r="D282" t="inlineStr">
        <is>
          <t>P001</t>
        </is>
      </c>
      <c r="E282" t="n">
        <v>1</v>
      </c>
      <c r="F282" s="4" t="n">
        <v>5899</v>
      </c>
      <c r="G282">
        <f>_xlfn.XLOOKUP(tbLoja[[#This Row],[Cod_Produto]],tbProdutos[Cod_Produto],tbProdutos[Produto],"Não cadastrado")</f>
        <v/>
      </c>
      <c r="H282">
        <f>_xlfn.XLOOKUP(tbLoja[[#This Row],[Cod_Produto]],tbProdutos[Cod_Produto],tbProdutos[Categoria],"Não cadastrado")</f>
        <v/>
      </c>
      <c r="I282" s="4">
        <f>_xlfn.XLOOKUP(tbLoja[[#This Row],[Cod_Produto]],tbProdutos[Cod_Produto],tbProdutos[Custo Unitário],0)</f>
        <v/>
      </c>
      <c r="J282">
        <f>_xlfn.XLOOKUP(tbLoja[[#This Row],[ID_Vendedor]],tbVendedores[ID_Vendedor],tbVendedores[Vendedor],"Não cadastrado")</f>
        <v/>
      </c>
      <c r="K282" s="4">
        <f>tbLoja[[#This Row],[Quantidade]]*tbLoja[[#This Row],[Preço Unitário]]</f>
        <v/>
      </c>
      <c r="L282" s="4">
        <f>tbLoja[[#This Row],[Faturamento]]-tbLoja[[#This Row],[Quantidade]]*tbLoja[[#This Row],[Custo Unitário]]</f>
        <v/>
      </c>
      <c r="M282">
        <f>MONTH(tbLoja[[#This Row],[Data]])</f>
        <v/>
      </c>
    </row>
    <row r="283">
      <c r="A283" t="inlineStr">
        <is>
          <t>L0282</t>
        </is>
      </c>
      <c r="B283" s="9" t="n">
        <v>46108</v>
      </c>
      <c r="C283" t="inlineStr">
        <is>
          <t>V01</t>
        </is>
      </c>
      <c r="D283" t="inlineStr">
        <is>
          <t>P001</t>
        </is>
      </c>
      <c r="E283" t="n">
        <v>1</v>
      </c>
      <c r="F283" s="4" t="n">
        <v>5899</v>
      </c>
      <c r="G283">
        <f>_xlfn.XLOOKUP(tbLoja[[#This Row],[Cod_Produto]],tbProdutos[Cod_Produto],tbProdutos[Produto],"Não cadastrado")</f>
        <v/>
      </c>
      <c r="H283">
        <f>_xlfn.XLOOKUP(tbLoja[[#This Row],[Cod_Produto]],tbProdutos[Cod_Produto],tbProdutos[Categoria],"Não cadastrado")</f>
        <v/>
      </c>
      <c r="I283" s="4">
        <f>_xlfn.XLOOKUP(tbLoja[[#This Row],[Cod_Produto]],tbProdutos[Cod_Produto],tbProdutos[Custo Unitário],0)</f>
        <v/>
      </c>
      <c r="J283">
        <f>_xlfn.XLOOKUP(tbLoja[[#This Row],[ID_Vendedor]],tbVendedores[ID_Vendedor],tbVendedores[Vendedor],"Não cadastrado")</f>
        <v/>
      </c>
      <c r="K283" s="4">
        <f>tbLoja[[#This Row],[Quantidade]]*tbLoja[[#This Row],[Preço Unitário]]</f>
        <v/>
      </c>
      <c r="L283" s="4">
        <f>tbLoja[[#This Row],[Faturamento]]-tbLoja[[#This Row],[Quantidade]]*tbLoja[[#This Row],[Custo Unitário]]</f>
        <v/>
      </c>
      <c r="M283">
        <f>MONTH(tbLoja[[#This Row],[Data]])</f>
        <v/>
      </c>
    </row>
    <row r="284">
      <c r="A284" t="inlineStr">
        <is>
          <t>L0283</t>
        </is>
      </c>
      <c r="B284" s="9" t="n">
        <v>46109</v>
      </c>
      <c r="C284" t="inlineStr">
        <is>
          <t>V03</t>
        </is>
      </c>
      <c r="D284" t="inlineStr">
        <is>
          <t>P010</t>
        </is>
      </c>
      <c r="E284" t="n">
        <v>2</v>
      </c>
      <c r="F284" s="4" t="n">
        <v>1299</v>
      </c>
      <c r="G284">
        <f>_xlfn.XLOOKUP(tbLoja[[#This Row],[Cod_Produto]],tbProdutos[Cod_Produto],tbProdutos[Produto],"Não cadastrado")</f>
        <v/>
      </c>
      <c r="H284">
        <f>_xlfn.XLOOKUP(tbLoja[[#This Row],[Cod_Produto]],tbProdutos[Cod_Produto],tbProdutos[Categoria],"Não cadastrado")</f>
        <v/>
      </c>
      <c r="I284" s="4">
        <f>_xlfn.XLOOKUP(tbLoja[[#This Row],[Cod_Produto]],tbProdutos[Cod_Produto],tbProdutos[Custo Unitário],0)</f>
        <v/>
      </c>
      <c r="J284">
        <f>_xlfn.XLOOKUP(tbLoja[[#This Row],[ID_Vendedor]],tbVendedores[ID_Vendedor],tbVendedores[Vendedor],"Não cadastrado")</f>
        <v/>
      </c>
      <c r="K284" s="4">
        <f>tbLoja[[#This Row],[Quantidade]]*tbLoja[[#This Row],[Preço Unitário]]</f>
        <v/>
      </c>
      <c r="L284" s="4">
        <f>tbLoja[[#This Row],[Faturamento]]-tbLoja[[#This Row],[Quantidade]]*tbLoja[[#This Row],[Custo Unitário]]</f>
        <v/>
      </c>
      <c r="M284">
        <f>MONTH(tbLoja[[#This Row],[Data]])</f>
        <v/>
      </c>
    </row>
    <row r="285">
      <c r="A285" t="inlineStr">
        <is>
          <t>L0284</t>
        </is>
      </c>
      <c r="B285" s="9" t="n">
        <v>46109</v>
      </c>
      <c r="C285" t="inlineStr">
        <is>
          <t>V02</t>
        </is>
      </c>
      <c r="D285" t="inlineStr">
        <is>
          <t>P009</t>
        </is>
      </c>
      <c r="E285" t="n">
        <v>5</v>
      </c>
      <c r="F285" s="4" t="n">
        <v>499</v>
      </c>
      <c r="G285">
        <f>_xlfn.XLOOKUP(tbLoja[[#This Row],[Cod_Produto]],tbProdutos[Cod_Produto],tbProdutos[Produto],"Não cadastrado")</f>
        <v/>
      </c>
      <c r="H285">
        <f>_xlfn.XLOOKUP(tbLoja[[#This Row],[Cod_Produto]],tbProdutos[Cod_Produto],tbProdutos[Categoria],"Não cadastrado")</f>
        <v/>
      </c>
      <c r="I285" s="4">
        <f>_xlfn.XLOOKUP(tbLoja[[#This Row],[Cod_Produto]],tbProdutos[Cod_Produto],tbProdutos[Custo Unitário],0)</f>
        <v/>
      </c>
      <c r="J285">
        <f>_xlfn.XLOOKUP(tbLoja[[#This Row],[ID_Vendedor]],tbVendedores[ID_Vendedor],tbVendedores[Vendedor],"Não cadastrado")</f>
        <v/>
      </c>
      <c r="K285" s="4">
        <f>tbLoja[[#This Row],[Quantidade]]*tbLoja[[#This Row],[Preço Unitário]]</f>
        <v/>
      </c>
      <c r="L285" s="4">
        <f>tbLoja[[#This Row],[Faturamento]]-tbLoja[[#This Row],[Quantidade]]*tbLoja[[#This Row],[Custo Unitário]]</f>
        <v/>
      </c>
      <c r="M285">
        <f>MONTH(tbLoja[[#This Row],[Data]])</f>
        <v/>
      </c>
    </row>
    <row r="286">
      <c r="A286" t="inlineStr">
        <is>
          <t>L0285</t>
        </is>
      </c>
      <c r="B286" s="9" t="n">
        <v>46109</v>
      </c>
      <c r="C286" t="inlineStr">
        <is>
          <t>V06</t>
        </is>
      </c>
      <c r="D286" t="inlineStr">
        <is>
          <t>P006</t>
        </is>
      </c>
      <c r="E286" t="n">
        <v>1</v>
      </c>
      <c r="F286" s="4" t="n">
        <v>119</v>
      </c>
      <c r="G286">
        <f>_xlfn.XLOOKUP(tbLoja[[#This Row],[Cod_Produto]],tbProdutos[Cod_Produto],tbProdutos[Produto],"Não cadastrado")</f>
        <v/>
      </c>
      <c r="H286">
        <f>_xlfn.XLOOKUP(tbLoja[[#This Row],[Cod_Produto]],tbProdutos[Cod_Produto],tbProdutos[Categoria],"Não cadastrado")</f>
        <v/>
      </c>
      <c r="I286" s="4">
        <f>_xlfn.XLOOKUP(tbLoja[[#This Row],[Cod_Produto]],tbProdutos[Cod_Produto],tbProdutos[Custo Unitário],0)</f>
        <v/>
      </c>
      <c r="J286">
        <f>_xlfn.XLOOKUP(tbLoja[[#This Row],[ID_Vendedor]],tbVendedores[ID_Vendedor],tbVendedores[Vendedor],"Não cadastrado")</f>
        <v/>
      </c>
      <c r="K286" s="4">
        <f>tbLoja[[#This Row],[Quantidade]]*tbLoja[[#This Row],[Preço Unitário]]</f>
        <v/>
      </c>
      <c r="L286" s="4">
        <f>tbLoja[[#This Row],[Faturamento]]-tbLoja[[#This Row],[Quantidade]]*tbLoja[[#This Row],[Custo Unitário]]</f>
        <v/>
      </c>
      <c r="M286">
        <f>MONTH(tbLoja[[#This Row],[Data]])</f>
        <v/>
      </c>
    </row>
    <row r="287">
      <c r="A287" t="inlineStr">
        <is>
          <t>L0286</t>
        </is>
      </c>
      <c r="B287" s="9" t="n">
        <v>46109</v>
      </c>
      <c r="C287" t="inlineStr">
        <is>
          <t>V06</t>
        </is>
      </c>
      <c r="D287" t="inlineStr">
        <is>
          <t>P003</t>
        </is>
      </c>
      <c r="E287" t="n">
        <v>3</v>
      </c>
      <c r="F287" s="4" t="n">
        <v>1599</v>
      </c>
      <c r="G287">
        <f>_xlfn.XLOOKUP(tbLoja[[#This Row],[Cod_Produto]],tbProdutos[Cod_Produto],tbProdutos[Produto],"Não cadastrado")</f>
        <v/>
      </c>
      <c r="H287">
        <f>_xlfn.XLOOKUP(tbLoja[[#This Row],[Cod_Produto]],tbProdutos[Cod_Produto],tbProdutos[Categoria],"Não cadastrado")</f>
        <v/>
      </c>
      <c r="I287" s="4">
        <f>_xlfn.XLOOKUP(tbLoja[[#This Row],[Cod_Produto]],tbProdutos[Cod_Produto],tbProdutos[Custo Unitário],0)</f>
        <v/>
      </c>
      <c r="J287">
        <f>_xlfn.XLOOKUP(tbLoja[[#This Row],[ID_Vendedor]],tbVendedores[ID_Vendedor],tbVendedores[Vendedor],"Não cadastrado")</f>
        <v/>
      </c>
      <c r="K287" s="4">
        <f>tbLoja[[#This Row],[Quantidade]]*tbLoja[[#This Row],[Preço Unitário]]</f>
        <v/>
      </c>
      <c r="L287" s="4">
        <f>tbLoja[[#This Row],[Faturamento]]-tbLoja[[#This Row],[Quantidade]]*tbLoja[[#This Row],[Custo Unitário]]</f>
        <v/>
      </c>
      <c r="M287">
        <f>MONTH(tbLoja[[#This Row],[Data]])</f>
        <v/>
      </c>
    </row>
    <row r="288">
      <c r="A288" t="inlineStr">
        <is>
          <t>L0287</t>
        </is>
      </c>
      <c r="B288" s="9" t="n">
        <v>46109</v>
      </c>
      <c r="C288" t="inlineStr">
        <is>
          <t>V01</t>
        </is>
      </c>
      <c r="D288" t="inlineStr">
        <is>
          <t>P010</t>
        </is>
      </c>
      <c r="E288" t="n">
        <v>1</v>
      </c>
      <c r="F288" s="4" t="n">
        <v>1299</v>
      </c>
      <c r="G288">
        <f>_xlfn.XLOOKUP(tbLoja[[#This Row],[Cod_Produto]],tbProdutos[Cod_Produto],tbProdutos[Produto],"Não cadastrado")</f>
        <v/>
      </c>
      <c r="H288">
        <f>_xlfn.XLOOKUP(tbLoja[[#This Row],[Cod_Produto]],tbProdutos[Cod_Produto],tbProdutos[Categoria],"Não cadastrado")</f>
        <v/>
      </c>
      <c r="I288" s="4">
        <f>_xlfn.XLOOKUP(tbLoja[[#This Row],[Cod_Produto]],tbProdutos[Cod_Produto],tbProdutos[Custo Unitário],0)</f>
        <v/>
      </c>
      <c r="J288">
        <f>_xlfn.XLOOKUP(tbLoja[[#This Row],[ID_Vendedor]],tbVendedores[ID_Vendedor],tbVendedores[Vendedor],"Não cadastrado")</f>
        <v/>
      </c>
      <c r="K288" s="4">
        <f>tbLoja[[#This Row],[Quantidade]]*tbLoja[[#This Row],[Preço Unitário]]</f>
        <v/>
      </c>
      <c r="L288" s="4">
        <f>tbLoja[[#This Row],[Faturamento]]-tbLoja[[#This Row],[Quantidade]]*tbLoja[[#This Row],[Custo Unitário]]</f>
        <v/>
      </c>
      <c r="M288">
        <f>MONTH(tbLoja[[#This Row],[Data]])</f>
        <v/>
      </c>
    </row>
    <row r="289">
      <c r="A289" t="inlineStr">
        <is>
          <t>L0288</t>
        </is>
      </c>
      <c r="B289" s="9" t="n">
        <v>46109</v>
      </c>
      <c r="C289" t="inlineStr">
        <is>
          <t>V02</t>
        </is>
      </c>
      <c r="D289" t="inlineStr">
        <is>
          <t>P001</t>
        </is>
      </c>
      <c r="E289" t="n">
        <v>1</v>
      </c>
      <c r="F289" s="4" t="n">
        <v>5899</v>
      </c>
      <c r="G289">
        <f>_xlfn.XLOOKUP(tbLoja[[#This Row],[Cod_Produto]],tbProdutos[Cod_Produto],tbProdutos[Produto],"Não cadastrado")</f>
        <v/>
      </c>
      <c r="H289">
        <f>_xlfn.XLOOKUP(tbLoja[[#This Row],[Cod_Produto]],tbProdutos[Cod_Produto],tbProdutos[Categoria],"Não cadastrado")</f>
        <v/>
      </c>
      <c r="I289" s="4">
        <f>_xlfn.XLOOKUP(tbLoja[[#This Row],[Cod_Produto]],tbProdutos[Cod_Produto],tbProdutos[Custo Unitário],0)</f>
        <v/>
      </c>
      <c r="J289">
        <f>_xlfn.XLOOKUP(tbLoja[[#This Row],[ID_Vendedor]],tbVendedores[ID_Vendedor],tbVendedores[Vendedor],"Não cadastrado")</f>
        <v/>
      </c>
      <c r="K289" s="4">
        <f>tbLoja[[#This Row],[Quantidade]]*tbLoja[[#This Row],[Preço Unitário]]</f>
        <v/>
      </c>
      <c r="L289" s="4">
        <f>tbLoja[[#This Row],[Faturamento]]-tbLoja[[#This Row],[Quantidade]]*tbLoja[[#This Row],[Custo Unitário]]</f>
        <v/>
      </c>
      <c r="M289">
        <f>MONTH(tbLoja[[#This Row],[Data]])</f>
        <v/>
      </c>
    </row>
    <row r="290">
      <c r="A290" t="inlineStr">
        <is>
          <t>L0289</t>
        </is>
      </c>
      <c r="B290" s="9" t="n">
        <v>46109</v>
      </c>
      <c r="C290" t="inlineStr">
        <is>
          <t>V02</t>
        </is>
      </c>
      <c r="D290" t="inlineStr">
        <is>
          <t>P006</t>
        </is>
      </c>
      <c r="E290" t="n">
        <v>2</v>
      </c>
      <c r="F290" s="4" t="n">
        <v>119</v>
      </c>
      <c r="G290">
        <f>_xlfn.XLOOKUP(tbLoja[[#This Row],[Cod_Produto]],tbProdutos[Cod_Produto],tbProdutos[Produto],"Não cadastrado")</f>
        <v/>
      </c>
      <c r="H290">
        <f>_xlfn.XLOOKUP(tbLoja[[#This Row],[Cod_Produto]],tbProdutos[Cod_Produto],tbProdutos[Categoria],"Não cadastrado")</f>
        <v/>
      </c>
      <c r="I290" s="4">
        <f>_xlfn.XLOOKUP(tbLoja[[#This Row],[Cod_Produto]],tbProdutos[Cod_Produto],tbProdutos[Custo Unitário],0)</f>
        <v/>
      </c>
      <c r="J290">
        <f>_xlfn.XLOOKUP(tbLoja[[#This Row],[ID_Vendedor]],tbVendedores[ID_Vendedor],tbVendedores[Vendedor],"Não cadastrado")</f>
        <v/>
      </c>
      <c r="K290" s="4">
        <f>tbLoja[[#This Row],[Quantidade]]*tbLoja[[#This Row],[Preço Unitário]]</f>
        <v/>
      </c>
      <c r="L290" s="4">
        <f>tbLoja[[#This Row],[Faturamento]]-tbLoja[[#This Row],[Quantidade]]*tbLoja[[#This Row],[Custo Unitário]]</f>
        <v/>
      </c>
      <c r="M290">
        <f>MONTH(tbLoja[[#This Row],[Data]])</f>
        <v/>
      </c>
    </row>
    <row r="291">
      <c r="A291" t="inlineStr">
        <is>
          <t>L0290</t>
        </is>
      </c>
      <c r="B291" s="9" t="n">
        <v>46110</v>
      </c>
      <c r="C291" t="inlineStr">
        <is>
          <t>V06</t>
        </is>
      </c>
      <c r="D291" t="inlineStr">
        <is>
          <t>P004</t>
        </is>
      </c>
      <c r="E291" t="n">
        <v>3</v>
      </c>
      <c r="F291" s="4" t="n">
        <v>999</v>
      </c>
      <c r="G291">
        <f>_xlfn.XLOOKUP(tbLoja[[#This Row],[Cod_Produto]],tbProdutos[Cod_Produto],tbProdutos[Produto],"Não cadastrado")</f>
        <v/>
      </c>
      <c r="H291">
        <f>_xlfn.XLOOKUP(tbLoja[[#This Row],[Cod_Produto]],tbProdutos[Cod_Produto],tbProdutos[Categoria],"Não cadastrado")</f>
        <v/>
      </c>
      <c r="I291" s="4">
        <f>_xlfn.XLOOKUP(tbLoja[[#This Row],[Cod_Produto]],tbProdutos[Cod_Produto],tbProdutos[Custo Unitário],0)</f>
        <v/>
      </c>
      <c r="J291">
        <f>_xlfn.XLOOKUP(tbLoja[[#This Row],[ID_Vendedor]],tbVendedores[ID_Vendedor],tbVendedores[Vendedor],"Não cadastrado")</f>
        <v/>
      </c>
      <c r="K291" s="4">
        <f>tbLoja[[#This Row],[Quantidade]]*tbLoja[[#This Row],[Preço Unitário]]</f>
        <v/>
      </c>
      <c r="L291" s="4">
        <f>tbLoja[[#This Row],[Faturamento]]-tbLoja[[#This Row],[Quantidade]]*tbLoja[[#This Row],[Custo Unitário]]</f>
        <v/>
      </c>
      <c r="M291">
        <f>MONTH(tbLoja[[#This Row],[Data]])</f>
        <v/>
      </c>
    </row>
    <row r="292">
      <c r="A292" t="inlineStr">
        <is>
          <t>L0291</t>
        </is>
      </c>
      <c r="B292" s="9" t="n">
        <v>46110</v>
      </c>
      <c r="C292" t="inlineStr">
        <is>
          <t>V06</t>
        </is>
      </c>
      <c r="D292" t="inlineStr">
        <is>
          <t>P003</t>
        </is>
      </c>
      <c r="E292" t="n">
        <v>2</v>
      </c>
      <c r="F292" s="4" t="n">
        <v>1599</v>
      </c>
      <c r="G292">
        <f>_xlfn.XLOOKUP(tbLoja[[#This Row],[Cod_Produto]],tbProdutos[Cod_Produto],tbProdutos[Produto],"Não cadastrado")</f>
        <v/>
      </c>
      <c r="H292">
        <f>_xlfn.XLOOKUP(tbLoja[[#This Row],[Cod_Produto]],tbProdutos[Cod_Produto],tbProdutos[Categoria],"Não cadastrado")</f>
        <v/>
      </c>
      <c r="I292" s="4">
        <f>_xlfn.XLOOKUP(tbLoja[[#This Row],[Cod_Produto]],tbProdutos[Cod_Produto],tbProdutos[Custo Unitário],0)</f>
        <v/>
      </c>
      <c r="J292">
        <f>_xlfn.XLOOKUP(tbLoja[[#This Row],[ID_Vendedor]],tbVendedores[ID_Vendedor],tbVendedores[Vendedor],"Não cadastrado")</f>
        <v/>
      </c>
      <c r="K292" s="4">
        <f>tbLoja[[#This Row],[Quantidade]]*tbLoja[[#This Row],[Preço Unitário]]</f>
        <v/>
      </c>
      <c r="L292" s="4">
        <f>tbLoja[[#This Row],[Faturamento]]-tbLoja[[#This Row],[Quantidade]]*tbLoja[[#This Row],[Custo Unitário]]</f>
        <v/>
      </c>
      <c r="M292">
        <f>MONTH(tbLoja[[#This Row],[Data]])</f>
        <v/>
      </c>
    </row>
    <row r="293">
      <c r="A293" t="inlineStr">
        <is>
          <t>L0292</t>
        </is>
      </c>
      <c r="B293" s="9" t="n">
        <v>46110</v>
      </c>
      <c r="C293" t="inlineStr">
        <is>
          <t>V03</t>
        </is>
      </c>
      <c r="D293" t="inlineStr">
        <is>
          <t>P003</t>
        </is>
      </c>
      <c r="E293" t="n">
        <v>2</v>
      </c>
      <c r="F293" s="4" t="n">
        <v>1599</v>
      </c>
      <c r="G293">
        <f>_xlfn.XLOOKUP(tbLoja[[#This Row],[Cod_Produto]],tbProdutos[Cod_Produto],tbProdutos[Produto],"Não cadastrado")</f>
        <v/>
      </c>
      <c r="H293">
        <f>_xlfn.XLOOKUP(tbLoja[[#This Row],[Cod_Produto]],tbProdutos[Cod_Produto],tbProdutos[Categoria],"Não cadastrado")</f>
        <v/>
      </c>
      <c r="I293" s="4">
        <f>_xlfn.XLOOKUP(tbLoja[[#This Row],[Cod_Produto]],tbProdutos[Cod_Produto],tbProdutos[Custo Unitário],0)</f>
        <v/>
      </c>
      <c r="J293">
        <f>_xlfn.XLOOKUP(tbLoja[[#This Row],[ID_Vendedor]],tbVendedores[ID_Vendedor],tbVendedores[Vendedor],"Não cadastrado")</f>
        <v/>
      </c>
      <c r="K293" s="4">
        <f>tbLoja[[#This Row],[Quantidade]]*tbLoja[[#This Row],[Preço Unitário]]</f>
        <v/>
      </c>
      <c r="L293" s="4">
        <f>tbLoja[[#This Row],[Faturamento]]-tbLoja[[#This Row],[Quantidade]]*tbLoja[[#This Row],[Custo Unitário]]</f>
        <v/>
      </c>
      <c r="M293">
        <f>MONTH(tbLoja[[#This Row],[Data]])</f>
        <v/>
      </c>
    </row>
    <row r="294">
      <c r="A294" t="inlineStr">
        <is>
          <t>L0293</t>
        </is>
      </c>
      <c r="B294" s="9" t="n">
        <v>46110</v>
      </c>
      <c r="C294" t="inlineStr">
        <is>
          <t>V06</t>
        </is>
      </c>
      <c r="D294" t="inlineStr">
        <is>
          <t>P003</t>
        </is>
      </c>
      <c r="E294" t="n">
        <v>3</v>
      </c>
      <c r="F294" s="4" t="n">
        <v>1599</v>
      </c>
      <c r="G294">
        <f>_xlfn.XLOOKUP(tbLoja[[#This Row],[Cod_Produto]],tbProdutos[Cod_Produto],tbProdutos[Produto],"Não cadastrado")</f>
        <v/>
      </c>
      <c r="H294">
        <f>_xlfn.XLOOKUP(tbLoja[[#This Row],[Cod_Produto]],tbProdutos[Cod_Produto],tbProdutos[Categoria],"Não cadastrado")</f>
        <v/>
      </c>
      <c r="I294" s="4">
        <f>_xlfn.XLOOKUP(tbLoja[[#This Row],[Cod_Produto]],tbProdutos[Cod_Produto],tbProdutos[Custo Unitário],0)</f>
        <v/>
      </c>
      <c r="J294">
        <f>_xlfn.XLOOKUP(tbLoja[[#This Row],[ID_Vendedor]],tbVendedores[ID_Vendedor],tbVendedores[Vendedor],"Não cadastrado")</f>
        <v/>
      </c>
      <c r="K294" s="4">
        <f>tbLoja[[#This Row],[Quantidade]]*tbLoja[[#This Row],[Preço Unitário]]</f>
        <v/>
      </c>
      <c r="L294" s="4">
        <f>tbLoja[[#This Row],[Faturamento]]-tbLoja[[#This Row],[Quantidade]]*tbLoja[[#This Row],[Custo Unitário]]</f>
        <v/>
      </c>
      <c r="M294">
        <f>MONTH(tbLoja[[#This Row],[Data]])</f>
        <v/>
      </c>
    </row>
    <row r="295">
      <c r="A295" t="inlineStr">
        <is>
          <t>L0294</t>
        </is>
      </c>
      <c r="B295" s="9" t="n">
        <v>46110</v>
      </c>
      <c r="C295" t="inlineStr">
        <is>
          <t>V02</t>
        </is>
      </c>
      <c r="D295" t="inlineStr">
        <is>
          <t>P006</t>
        </is>
      </c>
      <c r="E295" t="n">
        <v>1</v>
      </c>
      <c r="F295" s="4" t="n">
        <v>119</v>
      </c>
      <c r="G295">
        <f>_xlfn.XLOOKUP(tbLoja[[#This Row],[Cod_Produto]],tbProdutos[Cod_Produto],tbProdutos[Produto],"Não cadastrado")</f>
        <v/>
      </c>
      <c r="H295">
        <f>_xlfn.XLOOKUP(tbLoja[[#This Row],[Cod_Produto]],tbProdutos[Cod_Produto],tbProdutos[Categoria],"Não cadastrado")</f>
        <v/>
      </c>
      <c r="I295" s="4">
        <f>_xlfn.XLOOKUP(tbLoja[[#This Row],[Cod_Produto]],tbProdutos[Cod_Produto],tbProdutos[Custo Unitário],0)</f>
        <v/>
      </c>
      <c r="J295">
        <f>_xlfn.XLOOKUP(tbLoja[[#This Row],[ID_Vendedor]],tbVendedores[ID_Vendedor],tbVendedores[Vendedor],"Não cadastrado")</f>
        <v/>
      </c>
      <c r="K295" s="4">
        <f>tbLoja[[#This Row],[Quantidade]]*tbLoja[[#This Row],[Preço Unitário]]</f>
        <v/>
      </c>
      <c r="L295" s="4">
        <f>tbLoja[[#This Row],[Faturamento]]-tbLoja[[#This Row],[Quantidade]]*tbLoja[[#This Row],[Custo Unitário]]</f>
        <v/>
      </c>
      <c r="M295">
        <f>MONTH(tbLoja[[#This Row],[Data]])</f>
        <v/>
      </c>
    </row>
    <row r="296">
      <c r="A296" t="inlineStr">
        <is>
          <t>L0295</t>
        </is>
      </c>
      <c r="B296" s="9" t="n">
        <v>46111</v>
      </c>
      <c r="C296" t="inlineStr">
        <is>
          <t>V01</t>
        </is>
      </c>
      <c r="D296" t="inlineStr">
        <is>
          <t>P009</t>
        </is>
      </c>
      <c r="E296" t="n">
        <v>2</v>
      </c>
      <c r="F296" s="4" t="n">
        <v>499</v>
      </c>
      <c r="G296">
        <f>_xlfn.XLOOKUP(tbLoja[[#This Row],[Cod_Produto]],tbProdutos[Cod_Produto],tbProdutos[Produto],"Não cadastrado")</f>
        <v/>
      </c>
      <c r="H296">
        <f>_xlfn.XLOOKUP(tbLoja[[#This Row],[Cod_Produto]],tbProdutos[Cod_Produto],tbProdutos[Categoria],"Não cadastrado")</f>
        <v/>
      </c>
      <c r="I296" s="4">
        <f>_xlfn.XLOOKUP(tbLoja[[#This Row],[Cod_Produto]],tbProdutos[Cod_Produto],tbProdutos[Custo Unitário],0)</f>
        <v/>
      </c>
      <c r="J296">
        <f>_xlfn.XLOOKUP(tbLoja[[#This Row],[ID_Vendedor]],tbVendedores[ID_Vendedor],tbVendedores[Vendedor],"Não cadastrado")</f>
        <v/>
      </c>
      <c r="K296" s="4">
        <f>tbLoja[[#This Row],[Quantidade]]*tbLoja[[#This Row],[Preço Unitário]]</f>
        <v/>
      </c>
      <c r="L296" s="4">
        <f>tbLoja[[#This Row],[Faturamento]]-tbLoja[[#This Row],[Quantidade]]*tbLoja[[#This Row],[Custo Unitário]]</f>
        <v/>
      </c>
      <c r="M296">
        <f>MONTH(tbLoja[[#This Row],[Data]])</f>
        <v/>
      </c>
    </row>
    <row r="297">
      <c r="A297" t="inlineStr">
        <is>
          <t>L0296</t>
        </is>
      </c>
      <c r="B297" s="9" t="n">
        <v>46111</v>
      </c>
      <c r="C297" t="inlineStr">
        <is>
          <t>V02</t>
        </is>
      </c>
      <c r="D297" t="inlineStr">
        <is>
          <t>P007</t>
        </is>
      </c>
      <c r="E297" t="n">
        <v>2</v>
      </c>
      <c r="F297" s="4" t="n">
        <v>399</v>
      </c>
      <c r="G297">
        <f>_xlfn.XLOOKUP(tbLoja[[#This Row],[Cod_Produto]],tbProdutos[Cod_Produto],tbProdutos[Produto],"Não cadastrado")</f>
        <v/>
      </c>
      <c r="H297">
        <f>_xlfn.XLOOKUP(tbLoja[[#This Row],[Cod_Produto]],tbProdutos[Cod_Produto],tbProdutos[Categoria],"Não cadastrado")</f>
        <v/>
      </c>
      <c r="I297" s="4">
        <f>_xlfn.XLOOKUP(tbLoja[[#This Row],[Cod_Produto]],tbProdutos[Cod_Produto],tbProdutos[Custo Unitário],0)</f>
        <v/>
      </c>
      <c r="J297">
        <f>_xlfn.XLOOKUP(tbLoja[[#This Row],[ID_Vendedor]],tbVendedores[ID_Vendedor],tbVendedores[Vendedor],"Não cadastrado")</f>
        <v/>
      </c>
      <c r="K297" s="4">
        <f>tbLoja[[#This Row],[Quantidade]]*tbLoja[[#This Row],[Preço Unitário]]</f>
        <v/>
      </c>
      <c r="L297" s="4">
        <f>tbLoja[[#This Row],[Faturamento]]-tbLoja[[#This Row],[Quantidade]]*tbLoja[[#This Row],[Custo Unitário]]</f>
        <v/>
      </c>
      <c r="M297">
        <f>MONTH(tbLoja[[#This Row],[Data]])</f>
        <v/>
      </c>
    </row>
    <row r="298">
      <c r="A298" t="inlineStr">
        <is>
          <t>L0297</t>
        </is>
      </c>
      <c r="B298" s="9" t="n">
        <v>46112</v>
      </c>
      <c r="C298" t="inlineStr">
        <is>
          <t>V02</t>
        </is>
      </c>
      <c r="D298" t="inlineStr">
        <is>
          <t>P009</t>
        </is>
      </c>
      <c r="E298" t="n">
        <v>4</v>
      </c>
      <c r="F298" s="4" t="n">
        <v>499</v>
      </c>
      <c r="G298">
        <f>_xlfn.XLOOKUP(tbLoja[[#This Row],[Cod_Produto]],tbProdutos[Cod_Produto],tbProdutos[Produto],"Não cadastrado")</f>
        <v/>
      </c>
      <c r="H298">
        <f>_xlfn.XLOOKUP(tbLoja[[#This Row],[Cod_Produto]],tbProdutos[Cod_Produto],tbProdutos[Categoria],"Não cadastrado")</f>
        <v/>
      </c>
      <c r="I298" s="4">
        <f>_xlfn.XLOOKUP(tbLoja[[#This Row],[Cod_Produto]],tbProdutos[Cod_Produto],tbProdutos[Custo Unitário],0)</f>
        <v/>
      </c>
      <c r="J298">
        <f>_xlfn.XLOOKUP(tbLoja[[#This Row],[ID_Vendedor]],tbVendedores[ID_Vendedor],tbVendedores[Vendedor],"Não cadastrado")</f>
        <v/>
      </c>
      <c r="K298" s="4">
        <f>tbLoja[[#This Row],[Quantidade]]*tbLoja[[#This Row],[Preço Unitário]]</f>
        <v/>
      </c>
      <c r="L298" s="4">
        <f>tbLoja[[#This Row],[Faturamento]]-tbLoja[[#This Row],[Quantidade]]*tbLoja[[#This Row],[Custo Unitário]]</f>
        <v/>
      </c>
      <c r="M298">
        <f>MONTH(tbLoja[[#This Row],[Data]])</f>
        <v/>
      </c>
    </row>
    <row r="299">
      <c r="A299" t="inlineStr">
        <is>
          <t>L0298</t>
        </is>
      </c>
      <c r="B299" s="9" t="n">
        <v>46112</v>
      </c>
      <c r="C299" t="inlineStr">
        <is>
          <t>V03</t>
        </is>
      </c>
      <c r="D299" t="inlineStr">
        <is>
          <t>P006</t>
        </is>
      </c>
      <c r="E299" t="n">
        <v>2</v>
      </c>
      <c r="F299" s="4" t="n">
        <v>119</v>
      </c>
      <c r="G299">
        <f>_xlfn.XLOOKUP(tbLoja[[#This Row],[Cod_Produto]],tbProdutos[Cod_Produto],tbProdutos[Produto],"Não cadastrado")</f>
        <v/>
      </c>
      <c r="H299">
        <f>_xlfn.XLOOKUP(tbLoja[[#This Row],[Cod_Produto]],tbProdutos[Cod_Produto],tbProdutos[Categoria],"Não cadastrado")</f>
        <v/>
      </c>
      <c r="I299" s="4">
        <f>_xlfn.XLOOKUP(tbLoja[[#This Row],[Cod_Produto]],tbProdutos[Cod_Produto],tbProdutos[Custo Unitário],0)</f>
        <v/>
      </c>
      <c r="J299">
        <f>_xlfn.XLOOKUP(tbLoja[[#This Row],[ID_Vendedor]],tbVendedores[ID_Vendedor],tbVendedores[Vendedor],"Não cadastrado")</f>
        <v/>
      </c>
      <c r="K299" s="4">
        <f>tbLoja[[#This Row],[Quantidade]]*tbLoja[[#This Row],[Preço Unitário]]</f>
        <v/>
      </c>
      <c r="L299" s="4">
        <f>tbLoja[[#This Row],[Faturamento]]-tbLoja[[#This Row],[Quantidade]]*tbLoja[[#This Row],[Custo Unitário]]</f>
        <v/>
      </c>
      <c r="M299">
        <f>MONTH(tbLoja[[#This Row],[Data]])</f>
        <v/>
      </c>
    </row>
    <row r="300">
      <c r="A300" t="inlineStr">
        <is>
          <t>L0299</t>
        </is>
      </c>
      <c r="B300" s="9" t="n">
        <v>46112</v>
      </c>
      <c r="C300" t="inlineStr">
        <is>
          <t>V02</t>
        </is>
      </c>
      <c r="D300" t="inlineStr">
        <is>
          <t>P004</t>
        </is>
      </c>
      <c r="E300" t="n">
        <v>1</v>
      </c>
      <c r="F300" s="4" t="n">
        <v>999</v>
      </c>
      <c r="G300">
        <f>_xlfn.XLOOKUP(tbLoja[[#This Row],[Cod_Produto]],tbProdutos[Cod_Produto],tbProdutos[Produto],"Não cadastrado")</f>
        <v/>
      </c>
      <c r="H300">
        <f>_xlfn.XLOOKUP(tbLoja[[#This Row],[Cod_Produto]],tbProdutos[Cod_Produto],tbProdutos[Categoria],"Não cadastrado")</f>
        <v/>
      </c>
      <c r="I300" s="4">
        <f>_xlfn.XLOOKUP(tbLoja[[#This Row],[Cod_Produto]],tbProdutos[Cod_Produto],tbProdutos[Custo Unitário],0)</f>
        <v/>
      </c>
      <c r="J300">
        <f>_xlfn.XLOOKUP(tbLoja[[#This Row],[ID_Vendedor]],tbVendedores[ID_Vendedor],tbVendedores[Vendedor],"Não cadastrado")</f>
        <v/>
      </c>
      <c r="K300" s="4">
        <f>tbLoja[[#This Row],[Quantidade]]*tbLoja[[#This Row],[Preço Unitário]]</f>
        <v/>
      </c>
      <c r="L300" s="4">
        <f>tbLoja[[#This Row],[Faturamento]]-tbLoja[[#This Row],[Quantidade]]*tbLoja[[#This Row],[Custo Unitário]]</f>
        <v/>
      </c>
      <c r="M300">
        <f>MONTH(tbLoja[[#This Row],[Data]])</f>
        <v/>
      </c>
    </row>
    <row r="301">
      <c r="A301" t="inlineStr">
        <is>
          <t>L0300</t>
        </is>
      </c>
      <c r="B301" s="9" t="n">
        <v>46112</v>
      </c>
      <c r="C301" t="inlineStr">
        <is>
          <t>V02</t>
        </is>
      </c>
      <c r="D301" t="inlineStr">
        <is>
          <t>P010</t>
        </is>
      </c>
      <c r="E301" t="n">
        <v>2</v>
      </c>
      <c r="F301" s="4" t="n">
        <v>1299</v>
      </c>
      <c r="G301">
        <f>_xlfn.XLOOKUP(tbLoja[[#This Row],[Cod_Produto]],tbProdutos[Cod_Produto],tbProdutos[Produto],"Não cadastrado")</f>
        <v/>
      </c>
      <c r="H301">
        <f>_xlfn.XLOOKUP(tbLoja[[#This Row],[Cod_Produto]],tbProdutos[Cod_Produto],tbProdutos[Categoria],"Não cadastrado")</f>
        <v/>
      </c>
      <c r="I301" s="4">
        <f>_xlfn.XLOOKUP(tbLoja[[#This Row],[Cod_Produto]],tbProdutos[Cod_Produto],tbProdutos[Custo Unitário],0)</f>
        <v/>
      </c>
      <c r="J301">
        <f>_xlfn.XLOOKUP(tbLoja[[#This Row],[ID_Vendedor]],tbVendedores[ID_Vendedor],tbVendedores[Vendedor],"Não cadastrado")</f>
        <v/>
      </c>
      <c r="K301" s="4">
        <f>tbLoja[[#This Row],[Quantidade]]*tbLoja[[#This Row],[Preço Unitário]]</f>
        <v/>
      </c>
      <c r="L301" s="4">
        <f>tbLoja[[#This Row],[Faturamento]]-tbLoja[[#This Row],[Quantidade]]*tbLoja[[#This Row],[Custo Unitário]]</f>
        <v/>
      </c>
      <c r="M301">
        <f>MONTH(tbLoja[[#This Row],[Data]])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15" customWidth="1" min="4" max="4"/>
    <col width="14" customWidth="1" min="5" max="5"/>
  </cols>
  <sheetData>
    <row r="1">
      <c r="A1" t="inlineStr">
        <is>
          <t>Cod_Produto</t>
        </is>
      </c>
      <c r="B1" t="inlineStr">
        <is>
          <t>Produto</t>
        </is>
      </c>
      <c r="C1" t="inlineStr">
        <is>
          <t>Categoria</t>
        </is>
      </c>
      <c r="D1" t="inlineStr">
        <is>
          <t>Custo Unitário</t>
        </is>
      </c>
      <c r="E1" t="inlineStr">
        <is>
          <t>Preço Tabela</t>
        </is>
      </c>
    </row>
    <row r="2">
      <c r="A2" t="inlineStr">
        <is>
          <t>P001</t>
        </is>
      </c>
      <c r="B2" t="inlineStr">
        <is>
          <t>Notebook Pro 14</t>
        </is>
      </c>
      <c r="C2" t="inlineStr">
        <is>
          <t>Computadores</t>
        </is>
      </c>
      <c r="D2" s="4" t="n">
        <v>4200</v>
      </c>
      <c r="E2" s="4" t="n">
        <v>5899</v>
      </c>
    </row>
    <row r="3">
      <c r="A3" t="inlineStr">
        <is>
          <t>P002</t>
        </is>
      </c>
      <c r="B3" t="inlineStr">
        <is>
          <t>Notebook Basic 15</t>
        </is>
      </c>
      <c r="C3" t="inlineStr">
        <is>
          <t>Computadores</t>
        </is>
      </c>
      <c r="D3" s="4" t="n">
        <v>2300</v>
      </c>
      <c r="E3" s="4" t="n">
        <v>3299</v>
      </c>
    </row>
    <row r="4">
      <c r="A4" t="inlineStr">
        <is>
          <t>P003</t>
        </is>
      </c>
      <c r="B4" t="inlineStr">
        <is>
          <t>Monitor 27 pol</t>
        </is>
      </c>
      <c r="C4" t="inlineStr">
        <is>
          <t>Monitores</t>
        </is>
      </c>
      <c r="D4" s="4" t="n">
        <v>1050</v>
      </c>
      <c r="E4" s="4" t="n">
        <v>1599</v>
      </c>
    </row>
    <row r="5">
      <c r="A5" t="inlineStr">
        <is>
          <t>P004</t>
        </is>
      </c>
      <c r="B5" t="inlineStr">
        <is>
          <t>Monitor 24 pol</t>
        </is>
      </c>
      <c r="C5" t="inlineStr">
        <is>
          <t>Monitores</t>
        </is>
      </c>
      <c r="D5" s="4" t="n">
        <v>620</v>
      </c>
      <c r="E5" s="4" t="n">
        <v>999</v>
      </c>
    </row>
    <row r="6">
      <c r="A6" t="inlineStr">
        <is>
          <t>P005</t>
        </is>
      </c>
      <c r="B6" t="inlineStr">
        <is>
          <t>Teclado Mecânico</t>
        </is>
      </c>
      <c r="C6" t="inlineStr">
        <is>
          <t>Periféricos</t>
        </is>
      </c>
      <c r="D6" s="4" t="n">
        <v>180</v>
      </c>
      <c r="E6" s="4" t="n">
        <v>349</v>
      </c>
    </row>
    <row r="7">
      <c r="A7" t="inlineStr">
        <is>
          <t>P006</t>
        </is>
      </c>
      <c r="B7" t="inlineStr">
        <is>
          <t>Mouse Sem Fio</t>
        </is>
      </c>
      <c r="C7" t="inlineStr">
        <is>
          <t>Periféricos</t>
        </is>
      </c>
      <c r="D7" s="4" t="n">
        <v>45</v>
      </c>
      <c r="E7" s="4" t="n">
        <v>119</v>
      </c>
    </row>
    <row r="8">
      <c r="A8" t="inlineStr">
        <is>
          <t>P007</t>
        </is>
      </c>
      <c r="B8" t="inlineStr">
        <is>
          <t>Headset Gamer</t>
        </is>
      </c>
      <c r="C8" t="inlineStr">
        <is>
          <t>Periféricos</t>
        </is>
      </c>
      <c r="D8" s="4" t="n">
        <v>210</v>
      </c>
      <c r="E8" s="4" t="n">
        <v>399</v>
      </c>
    </row>
    <row r="9">
      <c r="A9" t="inlineStr">
        <is>
          <t>P008</t>
        </is>
      </c>
      <c r="B9" t="inlineStr">
        <is>
          <t>Webcam Full HD</t>
        </is>
      </c>
      <c r="C9" t="inlineStr">
        <is>
          <t>Periféricos</t>
        </is>
      </c>
      <c r="D9" s="4" t="n">
        <v>130</v>
      </c>
      <c r="E9" s="4" t="n">
        <v>259</v>
      </c>
    </row>
    <row r="10">
      <c r="A10" t="inlineStr">
        <is>
          <t>P009</t>
        </is>
      </c>
      <c r="B10" t="inlineStr">
        <is>
          <t>SSD 1TB</t>
        </is>
      </c>
      <c r="C10" t="inlineStr">
        <is>
          <t>Armazenamento</t>
        </is>
      </c>
      <c r="D10" s="4" t="n">
        <v>290</v>
      </c>
      <c r="E10" s="4" t="n">
        <v>499</v>
      </c>
    </row>
    <row r="11">
      <c r="A11" t="inlineStr">
        <is>
          <t>P010</t>
        </is>
      </c>
      <c r="B11" t="inlineStr">
        <is>
          <t>Impressora Laser</t>
        </is>
      </c>
      <c r="C11" t="inlineStr">
        <is>
          <t>Impressão</t>
        </is>
      </c>
      <c r="D11" s="4" t="n">
        <v>780</v>
      </c>
      <c r="E11" s="4" t="n">
        <v>1299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4" customWidth="1" min="4" max="4"/>
  </cols>
  <sheetData>
    <row r="1">
      <c r="A1" t="inlineStr">
        <is>
          <t>ID_Vendedor</t>
        </is>
      </c>
      <c r="B1" t="inlineStr">
        <is>
          <t>Vendedor</t>
        </is>
      </c>
      <c r="C1" t="inlineStr">
        <is>
          <t>Região</t>
        </is>
      </c>
      <c r="D1" t="inlineStr">
        <is>
          <t>Meta Mensal</t>
        </is>
      </c>
    </row>
    <row r="2">
      <c r="A2" t="inlineStr">
        <is>
          <t>V01</t>
        </is>
      </c>
      <c r="B2" t="inlineStr">
        <is>
          <t>Ana Souza</t>
        </is>
      </c>
      <c r="C2" t="inlineStr">
        <is>
          <t>Sudeste</t>
        </is>
      </c>
      <c r="D2" s="4" t="n">
        <v>35000</v>
      </c>
    </row>
    <row r="3">
      <c r="A3" t="inlineStr">
        <is>
          <t>V02</t>
        </is>
      </c>
      <c r="B3" t="inlineStr">
        <is>
          <t>Bruno Lima</t>
        </is>
      </c>
      <c r="C3" t="inlineStr">
        <is>
          <t>Sudeste</t>
        </is>
      </c>
      <c r="D3" s="4" t="n">
        <v>50000</v>
      </c>
    </row>
    <row r="4">
      <c r="A4" t="inlineStr">
        <is>
          <t>V03</t>
        </is>
      </c>
      <c r="B4" t="inlineStr">
        <is>
          <t>Carla Mendes</t>
        </is>
      </c>
      <c r="C4" t="inlineStr">
        <is>
          <t>Sul</t>
        </is>
      </c>
      <c r="D4" s="4" t="n">
        <v>35000</v>
      </c>
    </row>
    <row r="5">
      <c r="A5" t="inlineStr">
        <is>
          <t>V04</t>
        </is>
      </c>
      <c r="B5" t="inlineStr">
        <is>
          <t>Diego Rocha</t>
        </is>
      </c>
      <c r="C5" t="inlineStr">
        <is>
          <t>Nordeste</t>
        </is>
      </c>
      <c r="D5" s="4" t="n">
        <v>22000</v>
      </c>
    </row>
    <row r="6">
      <c r="A6" t="inlineStr">
        <is>
          <t>V05</t>
        </is>
      </c>
      <c r="B6" t="inlineStr">
        <is>
          <t>Elisa Prado</t>
        </is>
      </c>
      <c r="C6" t="inlineStr">
        <is>
          <t>Centro-Oeste</t>
        </is>
      </c>
      <c r="D6" s="4" t="n">
        <v>20000</v>
      </c>
    </row>
    <row r="7">
      <c r="A7" t="inlineStr">
        <is>
          <t>V06</t>
        </is>
      </c>
      <c r="B7" t="inlineStr">
        <is>
          <t>Felipe Nunes</t>
        </is>
      </c>
      <c r="C7" t="inlineStr">
        <is>
          <t>Norte</t>
        </is>
      </c>
      <c r="D7" s="4" t="n">
        <v>20000</v>
      </c>
    </row>
    <row r="8">
      <c r="A8" t="inlineStr">
        <is>
          <t>V07</t>
        </is>
      </c>
      <c r="B8" t="inlineStr">
        <is>
          <t>E-commerce</t>
        </is>
      </c>
      <c r="C8" t="inlineStr">
        <is>
          <t>Online</t>
        </is>
      </c>
      <c r="D8" s="4" t="n">
        <v>160000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2026-10-14T16:16:09Z</dcterms:created>
  <dcterms:modified xmlns:dcterms="http://purl.org/dc/terms/" xmlns:xsi="http://www.w3.org/2001/XMLSchema-instance" xsi:type="dcterms:W3CDTF">2026-10-14T16:16:09Z</dcterms:modified>
</cp:coreProperties>
</file>