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rofessor\Downloads\excel05-10\"/>
    </mc:Choice>
  </mc:AlternateContent>
  <xr:revisionPtr revIDLastSave="0" documentId="8_{75B84CB8-8F95-4FDB-9473-4105EC1A10E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ientes" sheetId="1" r:id="rId1"/>
    <sheet name="Pacotes" sheetId="2" r:id="rId2"/>
    <sheet name="TD_Categoria" sheetId="4" r:id="rId3"/>
    <sheet name="Dashboard" sheetId="7" r:id="rId4"/>
    <sheet name="TD_Mes" sheetId="5" r:id="rId5"/>
    <sheet name="TD_Canal" sheetId="6" r:id="rId6"/>
    <sheet name="Vendas" sheetId="3" r:id="rId7"/>
  </sheets>
  <definedNames>
    <definedName name="SegmentaçãodeDados_Anos__Data_Venda">#N/A</definedName>
    <definedName name="SegmentaçãodeDados_Status">#N/A</definedName>
    <definedName name="SegmentaçãodeDados_UF">#N/A</definedName>
  </definedNames>
  <calcPr calcId="191029"/>
  <pivotCaches>
    <pivotCache cacheId="1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N3" i="3"/>
  <c r="N4" i="3"/>
  <c r="N2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</calcChain>
</file>

<file path=xl/sharedStrings.xml><?xml version="1.0" encoding="utf-8"?>
<sst xmlns="http://schemas.openxmlformats.org/spreadsheetml/2006/main" count="3909" uniqueCount="277">
  <si>
    <t>ID_Cliente</t>
  </si>
  <si>
    <t>Nome</t>
  </si>
  <si>
    <t>Sexo</t>
  </si>
  <si>
    <t>Idade</t>
  </si>
  <si>
    <t>Cidade</t>
  </si>
  <si>
    <t>UF</t>
  </si>
  <si>
    <t>Tipo_Cliente</t>
  </si>
  <si>
    <t>Larissa Silva</t>
  </si>
  <si>
    <t>F</t>
  </si>
  <si>
    <t>Brasília</t>
  </si>
  <si>
    <t>DF</t>
  </si>
  <si>
    <t>Pessoa Física</t>
  </si>
  <si>
    <t>Camila Silva</t>
  </si>
  <si>
    <t>Rio de Janeiro</t>
  </si>
  <si>
    <t>RJ</t>
  </si>
  <si>
    <t>Gabriela Santos</t>
  </si>
  <si>
    <t>São Paulo</t>
  </si>
  <si>
    <t>SP</t>
  </si>
  <si>
    <t>Carla Ribeiro</t>
  </si>
  <si>
    <t>Henrique Silva</t>
  </si>
  <si>
    <t>M</t>
  </si>
  <si>
    <t>Belo Horizonte</t>
  </si>
  <si>
    <t>MG</t>
  </si>
  <si>
    <t>Sofia Silva</t>
  </si>
  <si>
    <t>Santos</t>
  </si>
  <si>
    <t>Corporativo</t>
  </si>
  <si>
    <t>Pedro Almeida</t>
  </si>
  <si>
    <t>Sofia Oliveira</t>
  </si>
  <si>
    <t>Campinas</t>
  </si>
  <si>
    <t>Sofia Santos</t>
  </si>
  <si>
    <t>Beatriz Souza</t>
  </si>
  <si>
    <t>Gustavo Ferreira</t>
  </si>
  <si>
    <t>Rodrigo Martins</t>
  </si>
  <si>
    <t>Beatriz Lima</t>
  </si>
  <si>
    <t>Porto Alegre</t>
  </si>
  <si>
    <t>RS</t>
  </si>
  <si>
    <t>Otávio Lima</t>
  </si>
  <si>
    <t>Recife</t>
  </si>
  <si>
    <t>PE</t>
  </si>
  <si>
    <t>Carla Martins</t>
  </si>
  <si>
    <t>Eduarda Carvalho</t>
  </si>
  <si>
    <t>Júlia Rocha</t>
  </si>
  <si>
    <t>Larissa Ribeiro</t>
  </si>
  <si>
    <t>Curitiba</t>
  </si>
  <si>
    <t>PR</t>
  </si>
  <si>
    <t>Natália Lima</t>
  </si>
  <si>
    <t>Beatriz Gomes</t>
  </si>
  <si>
    <t>Vitória Ferreira</t>
  </si>
  <si>
    <t>Beatriz Silva</t>
  </si>
  <si>
    <t>Lucas Silva</t>
  </si>
  <si>
    <t>Júlia Costa</t>
  </si>
  <si>
    <t>Rodrigo Ferreira</t>
  </si>
  <si>
    <t>Rafael Costa</t>
  </si>
  <si>
    <t>Isabela Carvalho</t>
  </si>
  <si>
    <t>Henrique Souza</t>
  </si>
  <si>
    <t>Henrique Oliveira</t>
  </si>
  <si>
    <t>João Pereira</t>
  </si>
  <si>
    <t>Sofia Rocha</t>
  </si>
  <si>
    <t>Thiago Ferreira</t>
  </si>
  <si>
    <t>Pedro Costa</t>
  </si>
  <si>
    <t>Mariana Silva</t>
  </si>
  <si>
    <t>Carla Santos</t>
  </si>
  <si>
    <t>Thiago Oliveira</t>
  </si>
  <si>
    <t>Diego Santos</t>
  </si>
  <si>
    <t>Thiago Pereira</t>
  </si>
  <si>
    <t>Lucas Ferreira</t>
  </si>
  <si>
    <t>Otávio Santos</t>
  </si>
  <si>
    <t>Larissa Gomes</t>
  </si>
  <si>
    <t>Paula Almeida</t>
  </si>
  <si>
    <t>Eduarda Martins</t>
  </si>
  <si>
    <t>João Gomes</t>
  </si>
  <si>
    <t>Paula Martins</t>
  </si>
  <si>
    <t>Rafael Carvalho</t>
  </si>
  <si>
    <t>Thiago Rocha</t>
  </si>
  <si>
    <t>Salvador</t>
  </si>
  <si>
    <t>BA</t>
  </si>
  <si>
    <t>Leonardo Martins</t>
  </si>
  <si>
    <t>Gabriela Silva</t>
  </si>
  <si>
    <t>Leonardo Gomes</t>
  </si>
  <si>
    <t>Lucas Pereira</t>
  </si>
  <si>
    <t>Carla Souza</t>
  </si>
  <si>
    <t>Gabriela Ribeiro</t>
  </si>
  <si>
    <t>Ana Martins</t>
  </si>
  <si>
    <t>Carla Costa</t>
  </si>
  <si>
    <t>Beatriz Oliveira</t>
  </si>
  <si>
    <t>Natália Gomes</t>
  </si>
  <si>
    <t>Felipe Ribeiro</t>
  </si>
  <si>
    <t>Leonardo Ribeiro</t>
  </si>
  <si>
    <t>Gustavo Almeida</t>
  </si>
  <si>
    <t>Ana Carvalho</t>
  </si>
  <si>
    <t>Paula Rocha</t>
  </si>
  <si>
    <t>Camila Souza</t>
  </si>
  <si>
    <t>Paula Lima</t>
  </si>
  <si>
    <t>Mateus Gomes</t>
  </si>
  <si>
    <t>Fernanda Barbosa</t>
  </si>
  <si>
    <t>Mateus Oliveira</t>
  </si>
  <si>
    <t>Eduarda Ferreira</t>
  </si>
  <si>
    <t>Felipe Oliveira</t>
  </si>
  <si>
    <t>Eduarda Almeida</t>
  </si>
  <si>
    <t>Larissa Ferreira</t>
  </si>
  <si>
    <t>Júlia Souza</t>
  </si>
  <si>
    <t>Isabela Ferreira</t>
  </si>
  <si>
    <t>Ana Ferreira</t>
  </si>
  <si>
    <t>Thiago Souza</t>
  </si>
  <si>
    <t>Henrique Barbosa</t>
  </si>
  <si>
    <t>Rodrigo Rocha</t>
  </si>
  <si>
    <t>Eduarda Pereira</t>
  </si>
  <si>
    <t>Gustavo Carvalho</t>
  </si>
  <si>
    <t>Gustavo Oliveira</t>
  </si>
  <si>
    <t>Mateus Costa</t>
  </si>
  <si>
    <t>Paula Santos</t>
  </si>
  <si>
    <t>Rodrigo Santos</t>
  </si>
  <si>
    <t>Isabela Oliveira</t>
  </si>
  <si>
    <t>Júlia Barbosa</t>
  </si>
  <si>
    <t>Camila Almeida</t>
  </si>
  <si>
    <t>Sofia Lima</t>
  </si>
  <si>
    <t>Leonardo Santos</t>
  </si>
  <si>
    <t>Ana Santos</t>
  </si>
  <si>
    <t>Pedro Santos</t>
  </si>
  <si>
    <t>Ana Barbosa</t>
  </si>
  <si>
    <t>Felipe Barbosa</t>
  </si>
  <si>
    <t>Vitória Lima</t>
  </si>
  <si>
    <t>Isabela Almeida</t>
  </si>
  <si>
    <t>Gabriela Ferreira</t>
  </si>
  <si>
    <t>Camila Lima</t>
  </si>
  <si>
    <t>Gabriela Rocha</t>
  </si>
  <si>
    <t>Caio Pereira</t>
  </si>
  <si>
    <t>Camila Gomes</t>
  </si>
  <si>
    <t>Mateus Rocha</t>
  </si>
  <si>
    <t>Pedro Ribeiro</t>
  </si>
  <si>
    <t>Natália Pereira</t>
  </si>
  <si>
    <t>Larissa Lima</t>
  </si>
  <si>
    <t>Lucas Santos</t>
  </si>
  <si>
    <t>Ana Oliveira</t>
  </si>
  <si>
    <t>Henrique Rocha</t>
  </si>
  <si>
    <t>Eduarda Barbosa</t>
  </si>
  <si>
    <t>Mariana Ferreira</t>
  </si>
  <si>
    <t>João Silva</t>
  </si>
  <si>
    <t>Camila Costa</t>
  </si>
  <si>
    <t>Beatriz Almeida</t>
  </si>
  <si>
    <t>Paula Silva</t>
  </si>
  <si>
    <t>Vitória Oliveira</t>
  </si>
  <si>
    <t>Bruno Carvalho</t>
  </si>
  <si>
    <t>Rodrigo Carvalho</t>
  </si>
  <si>
    <t>Pedro Souza</t>
  </si>
  <si>
    <t>Caio Rocha</t>
  </si>
  <si>
    <t>Thiago Ribeiro</t>
  </si>
  <si>
    <t>Sofia Ferreira</t>
  </si>
  <si>
    <t>Beatriz Ferreira</t>
  </si>
  <si>
    <t>Diego Lima</t>
  </si>
  <si>
    <t>Carla Pereira</t>
  </si>
  <si>
    <t>Thiago Barbosa</t>
  </si>
  <si>
    <t>Beatriz Barbosa</t>
  </si>
  <si>
    <t>Natália Costa</t>
  </si>
  <si>
    <t>Lucas Rocha</t>
  </si>
  <si>
    <t>Isabela Lima</t>
  </si>
  <si>
    <t>Rodrigo Costa</t>
  </si>
  <si>
    <t>Larissa Costa</t>
  </si>
  <si>
    <t>Leonardo Barbosa</t>
  </si>
  <si>
    <t>Rafael Barbosa</t>
  </si>
  <si>
    <t>Mateus Carvalho</t>
  </si>
  <si>
    <t>Otávio Oliveira</t>
  </si>
  <si>
    <t>Caio Carvalho</t>
  </si>
  <si>
    <t>João Santos</t>
  </si>
  <si>
    <t>Vitória Barbosa</t>
  </si>
  <si>
    <t>Otávio Pereira</t>
  </si>
  <si>
    <t>Natália Souza</t>
  </si>
  <si>
    <t>Felipe Souza</t>
  </si>
  <si>
    <t>Isabela Silva</t>
  </si>
  <si>
    <t>Sofia Almeida</t>
  </si>
  <si>
    <t>Vitória Santos</t>
  </si>
  <si>
    <t>Fernanda Ferreira</t>
  </si>
  <si>
    <t>Bruno Martins</t>
  </si>
  <si>
    <t>Sofia Barbosa</t>
  </si>
  <si>
    <t>Paula Souza</t>
  </si>
  <si>
    <t>Diego Carvalho</t>
  </si>
  <si>
    <t>Camila Martins</t>
  </si>
  <si>
    <t>Henrique Gomes</t>
  </si>
  <si>
    <t>Eduarda Costa</t>
  </si>
  <si>
    <t>Júlia Almeida</t>
  </si>
  <si>
    <t>Ana Lima</t>
  </si>
  <si>
    <t>Vitória Almeida</t>
  </si>
  <si>
    <t>Rafael Gomes</t>
  </si>
  <si>
    <t>João Barbosa</t>
  </si>
  <si>
    <t>Vitória Carvalho</t>
  </si>
  <si>
    <t>Rodrigo Gomes</t>
  </si>
  <si>
    <t>Otávio Rocha</t>
  </si>
  <si>
    <t>Diego Oliveira</t>
  </si>
  <si>
    <t>Otávio Ribeiro</t>
  </si>
  <si>
    <t>Rodrigo Ribeiro</t>
  </si>
  <si>
    <t>Fernanda Santos</t>
  </si>
  <si>
    <t>ID_Pacote</t>
  </si>
  <si>
    <t>Pacote</t>
  </si>
  <si>
    <t>Destino</t>
  </si>
  <si>
    <t>Pais</t>
  </si>
  <si>
    <t>Tipo_Destino</t>
  </si>
  <si>
    <t>Categoria</t>
  </si>
  <si>
    <t>Dias</t>
  </si>
  <si>
    <t>Preco_Pessoa</t>
  </si>
  <si>
    <t>Custo_Pessoa</t>
  </si>
  <si>
    <t>Nordeste Encantado</t>
  </si>
  <si>
    <t>Porto de Galinhas</t>
  </si>
  <si>
    <t>Brasil</t>
  </si>
  <si>
    <t>Nacional</t>
  </si>
  <si>
    <t>Praia</t>
  </si>
  <si>
    <t>Rio Cidade Maravilhosa</t>
  </si>
  <si>
    <t>Cultural</t>
  </si>
  <si>
    <t>Serra Gaúcha</t>
  </si>
  <si>
    <t>Gramado</t>
  </si>
  <si>
    <t>Inverno</t>
  </si>
  <si>
    <t>Fernando de Noronha</t>
  </si>
  <si>
    <t>Bonito Aventura</t>
  </si>
  <si>
    <t>Bonito</t>
  </si>
  <si>
    <t>Aventura</t>
  </si>
  <si>
    <t>Foz do Iguaçu</t>
  </si>
  <si>
    <t>Natureza</t>
  </si>
  <si>
    <t>Buenos Aires Clássica</t>
  </si>
  <si>
    <t>Buenos Aires</t>
  </si>
  <si>
    <t>Argentina</t>
  </si>
  <si>
    <t>Internacional</t>
  </si>
  <si>
    <t>Santiago e Neve</t>
  </si>
  <si>
    <t>Santiago</t>
  </si>
  <si>
    <t>Chile</t>
  </si>
  <si>
    <t>Cancún All Inclusive</t>
  </si>
  <si>
    <t>Cancún</t>
  </si>
  <si>
    <t>México</t>
  </si>
  <si>
    <t>Orlando Parques</t>
  </si>
  <si>
    <t>Orlando</t>
  </si>
  <si>
    <t>EUA</t>
  </si>
  <si>
    <t>Parques</t>
  </si>
  <si>
    <t>Paris e Londres</t>
  </si>
  <si>
    <t>Paris</t>
  </si>
  <si>
    <t>França</t>
  </si>
  <si>
    <t>Lisboa e Porto</t>
  </si>
  <si>
    <t>Lisboa</t>
  </si>
  <si>
    <t>Portugal</t>
  </si>
  <si>
    <t>Machu Picchu</t>
  </si>
  <si>
    <t>Cusco</t>
  </si>
  <si>
    <t>Peru</t>
  </si>
  <si>
    <t>Lençóis Maranhenses</t>
  </si>
  <si>
    <t>Barreirinhas</t>
  </si>
  <si>
    <t>Jericoacoara</t>
  </si>
  <si>
    <t>Jijoca</t>
  </si>
  <si>
    <t>ID_Venda</t>
  </si>
  <si>
    <t>Data_Venda</t>
  </si>
  <si>
    <t>Data_Viagem</t>
  </si>
  <si>
    <t>Qtd_Passageiros</t>
  </si>
  <si>
    <t>Valor_Bruto</t>
  </si>
  <si>
    <t>Desconto</t>
  </si>
  <si>
    <t>Valor_Venda</t>
  </si>
  <si>
    <t>Canal</t>
  </si>
  <si>
    <t>Status</t>
  </si>
  <si>
    <t>Avaliacao</t>
  </si>
  <si>
    <t>Site</t>
  </si>
  <si>
    <t>Confirmada</t>
  </si>
  <si>
    <t>WhatsApp</t>
  </si>
  <si>
    <t>Agente Corporativo</t>
  </si>
  <si>
    <t>Loja</t>
  </si>
  <si>
    <t>Cancelada</t>
  </si>
  <si>
    <t>Rótulos de Linha</t>
  </si>
  <si>
    <t>Total Geral</t>
  </si>
  <si>
    <t>Soma de Valor_Venda</t>
  </si>
  <si>
    <t>2025</t>
  </si>
  <si>
    <t>2026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</si>
  <si>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</si>
  <si>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</si>
  <si>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</si>
  <si>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</si>
  <si>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</si>
  <si>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</si>
  <si>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</si>
  <si>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</si>
  <si>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</si>
  <si>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</si>
  <si>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</si>
  <si>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</si>
  <si>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Dashboard de Vendas – Agência de Viagens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</si>
</sst>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6E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de Tabela Dinamica.xlsx]TD_Categoria!Tabela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TD_Categoria!$B$3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TD_Categoria!$A$4:$A$10</c:f>
              <c:strCache>
                <c:ptCount val="6"/>
                <c:pt idx="0">
                  <c:v>Praia</c:v>
                </c:pt>
                <c:pt idx="1">
                  <c:v>Cultural</c:v>
                </c:pt>
                <c:pt idx="2">
                  <c:v>Parques</c:v>
                </c:pt>
                <c:pt idx="3">
                  <c:v>Inverno</c:v>
                </c:pt>
                <c:pt idx="4">
                  <c:v>Aventura</c:v>
                </c:pt>
                <c:pt idx="5">
                  <c:v>Natureza</c:v>
                </c:pt>
              </c:strCache>
            </c:strRef>
          </c:cat>
          <c:val>
            <c:numRef>
              <c:f>TD_Categoria!$B$4:$B$10</c:f>
              <c:numCache>
                <c:formatCode>"R$"\ #,##0.00</c:formatCode>
                <c:ptCount val="6"/>
                <c:pt idx="0">
                  <c:v>4667165</c:v>
                </c:pt>
                <c:pt idx="1">
                  <c:v>4632000</c:v>
                </c:pt>
                <c:pt idx="2">
                  <c:v>1590450</c:v>
                </c:pt>
                <c:pt idx="3">
                  <c:v>1362595</c:v>
                </c:pt>
                <c:pt idx="4">
                  <c:v>1276975</c:v>
                </c:pt>
                <c:pt idx="5">
                  <c:v>894325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2-4BBE-9906-8D0560E87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345664"/>
        <c:axId val="197372432"/>
      </c:barChart>
      <c:catAx>
        <c:axId val="4623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372432"/>
        <c:crosses val="autoZero"/>
        <c:auto val="1"/>
        <c:lblAlgn val="ctr"/>
        <c:lblOffset val="100"/>
        <c:noMultiLvlLbl val="0"/>
      </c:catAx>
      <c:valAx>
        <c:axId val="1973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23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de Tabela Dinamica.xlsx]TD_Canal!Tabela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TD_Canal!$B$3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96-417D-AAA7-9B9BAB253E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96-417D-AAA7-9B9BAB253E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96-417D-AAA7-9B9BAB253E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96-417D-AAA7-9B9BAB253E90}"/>
              </c:ext>
            </c:extLst>
          </c:dPt>
          <c:cat>
            <c:strRef>
              <c:f>TD_Canal!$A$4:$A$8</c:f>
              <c:strCache>
                <c:ptCount val="4"/>
                <c:pt idx="0">
                  <c:v>Agente Corporativo</c:v>
                </c:pt>
                <c:pt idx="1">
                  <c:v>Loja</c:v>
                </c:pt>
                <c:pt idx="2">
                  <c:v>Site</c:v>
                </c:pt>
                <c:pt idx="3">
                  <c:v>WhatsApp</c:v>
                </c:pt>
              </c:strCache>
            </c:strRef>
          </c:cat>
          <c:val>
            <c:numRef>
              <c:f>TD_Canal!$B$4:$B$8</c:f>
              <c:numCache>
                <c:formatCode>"R$"\ #,##0.00</c:formatCode>
                <c:ptCount val="4"/>
                <c:pt idx="0">
                  <c:v>1001630</c:v>
                </c:pt>
                <c:pt idx="1">
                  <c:v>3149025</c:v>
                </c:pt>
                <c:pt idx="2">
                  <c:v>6519345</c:v>
                </c:pt>
                <c:pt idx="3">
                  <c:v>3753510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96-417D-AAA7-9B9BAB253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de Tabela Dinamica.xlsx]TD_Mes!Tabela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TD_Mes!$B$3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TD_Mes!$A$4:$A$27</c:f>
              <c:multiLvlStrCache>
                <c:ptCount val="21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set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TD_Mes!$B$4:$B$27</c:f>
              <c:numCache>
                <c:formatCode>"R$"\ #,##0.00</c:formatCode>
                <c:ptCount val="21"/>
                <c:pt idx="0">
                  <c:v>586080</c:v>
                </c:pt>
                <c:pt idx="1">
                  <c:v>594415</c:v>
                </c:pt>
                <c:pt idx="2">
                  <c:v>335950</c:v>
                </c:pt>
                <c:pt idx="3">
                  <c:v>838425</c:v>
                </c:pt>
                <c:pt idx="4">
                  <c:v>583475</c:v>
                </c:pt>
                <c:pt idx="5">
                  <c:v>728720</c:v>
                </c:pt>
                <c:pt idx="6">
                  <c:v>1084470</c:v>
                </c:pt>
                <c:pt idx="7">
                  <c:v>760955</c:v>
                </c:pt>
                <c:pt idx="8">
                  <c:v>705940</c:v>
                </c:pt>
                <c:pt idx="9">
                  <c:v>439995</c:v>
                </c:pt>
                <c:pt idx="10">
                  <c:v>890310</c:v>
                </c:pt>
                <c:pt idx="11">
                  <c:v>840930</c:v>
                </c:pt>
                <c:pt idx="12">
                  <c:v>355990</c:v>
                </c:pt>
                <c:pt idx="13">
                  <c:v>491885</c:v>
                </c:pt>
                <c:pt idx="14">
                  <c:v>703555</c:v>
                </c:pt>
                <c:pt idx="15">
                  <c:v>702775</c:v>
                </c:pt>
                <c:pt idx="16">
                  <c:v>675310</c:v>
                </c:pt>
                <c:pt idx="17">
                  <c:v>951610</c:v>
                </c:pt>
                <c:pt idx="18">
                  <c:v>1160595</c:v>
                </c:pt>
                <c:pt idx="19">
                  <c:v>461425</c:v>
                </c:pt>
                <c:pt idx="20">
                  <c:v>530700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0-4BAC-B169-FF7ACF23F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293184"/>
        <c:axId val="197419472"/>
      </c:lineChart>
      <c:catAx>
        <c:axId val="31529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419472"/>
        <c:crosses val="autoZero"/>
        <c:auto val="1"/>
        <c:lblAlgn val="ctr"/>
        <c:lblOffset val="100"/>
        <c:noMultiLvlLbl val="0"/>
      </c:catAx>
      <c:valAx>
        <c:axId val="1974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529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0A93C6-28C0-483A-B3B1-333F1D6CE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18</xdr:col>
      <xdr:colOff>304800</xdr:colOff>
      <xdr:row>18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6480BA-4A2B-4F82-BAA7-AF0C909B7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18</xdr:col>
      <xdr:colOff>293914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EBD5E7-5EE7-4A02-9735-B440EFE74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457200</xdr:colOff>
      <xdr:row>2</xdr:row>
      <xdr:rowOff>167640</xdr:rowOff>
    </xdr:from>
    <xdr:to>
      <xdr:col>21</xdr:col>
      <xdr:colOff>457200</xdr:colOff>
      <xdr:row>8</xdr:row>
      <xdr:rowOff>43543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tatus">
              <a:extLst>
                <a:ext uri="{FF2B5EF4-FFF2-40B4-BE49-F238E27FC236}">
                  <a16:creationId xmlns:a16="http://schemas.microsoft.com/office/drawing/2014/main" id="{66478012-DAF6-EFE6-DC2C-A99E6164C7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744583"/>
              <a:ext cx="1828800" cy="9862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501831</xdr:colOff>
      <xdr:row>14</xdr:row>
      <xdr:rowOff>137160</xdr:rowOff>
    </xdr:from>
    <xdr:to>
      <xdr:col>21</xdr:col>
      <xdr:colOff>501831</xdr:colOff>
      <xdr:row>28</xdr:row>
      <xdr:rowOff>41638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UF">
              <a:extLst>
                <a:ext uri="{FF2B5EF4-FFF2-40B4-BE49-F238E27FC236}">
                  <a16:creationId xmlns:a16="http://schemas.microsoft.com/office/drawing/2014/main" id="{F4225C40-F2AB-5258-BAAE-DD8A4DC66B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F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4631" y="2934789"/>
              <a:ext cx="1828800" cy="2495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475706</xdr:colOff>
      <xdr:row>8</xdr:row>
      <xdr:rowOff>156756</xdr:rowOff>
    </xdr:from>
    <xdr:to>
      <xdr:col>21</xdr:col>
      <xdr:colOff>475706</xdr:colOff>
      <xdr:row>14</xdr:row>
      <xdr:rowOff>54429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Anos (Data_Venda)">
              <a:extLst>
                <a:ext uri="{FF2B5EF4-FFF2-40B4-BE49-F238E27FC236}">
                  <a16:creationId xmlns:a16="http://schemas.microsoft.com/office/drawing/2014/main" id="{06DC5BB9-7399-6850-F401-AB1C8CA496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_Vend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8506" y="1844042"/>
              <a:ext cx="1828800" cy="1008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fessor" refreshedDate="46299.764822916666" createdVersion="8" refreshedVersion="8" minRefreshableVersion="3" recordCount="1380" xr:uid="{97964F15-7131-43F3-91C2-E9F2DB70F74A}">
  <cacheSource type="worksheet">
    <worksheetSource name="tVendas"/>
  </cacheSource>
  <cacheFields count="17">
    <cacheField name="ID_Venda" numFmtId="0">
      <sharedItems containsSemiMixedTypes="0" containsString="0" containsNumber="1" containsInteger="1" minValue="1" maxValue="1380"/>
    </cacheField>
    <cacheField name="Data_Venda" numFmtId="14">
      <sharedItems containsSemiMixedTypes="0" containsNonDate="0" containsDate="1" containsString="0" minDate="2025-01-01T00:00:00" maxDate="2026-10-01T00:00:00" count="549">
        <d v="2025-01-01T00:00:00"/>
        <d v="2025-01-02T00:00:00"/>
        <d v="2025-01-03T00:00:00"/>
        <d v="2025-01-05T00:00:00"/>
        <d v="2025-01-06T00:00:00"/>
        <d v="2025-01-07T00:00:00"/>
        <d v="2025-01-08T00:00:00"/>
        <d v="2025-01-10T00:00:00"/>
        <d v="2025-01-11T00:00:00"/>
        <d v="2025-01-14T00:00:00"/>
        <d v="2025-01-16T00:00:00"/>
        <d v="2025-01-17T00:00:00"/>
        <d v="2025-01-18T00:00:00"/>
        <d v="2025-01-19T00:00:00"/>
        <d v="2025-01-20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8T00:00:00"/>
        <d v="2025-02-10T00:00:00"/>
        <d v="2025-02-11T00:00:00"/>
        <d v="2025-02-13T00:00:00"/>
        <d v="2025-02-14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6T00:00:00"/>
        <d v="2025-03-17T00:00:00"/>
        <d v="2025-03-18T00:00:00"/>
        <d v="2025-03-21T00:00:00"/>
        <d v="2025-03-22T00:00:00"/>
        <d v="2025-03-24T00:00:00"/>
        <d v="2025-03-26T00:00:00"/>
        <d v="2025-03-28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2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1T00:00:00"/>
        <d v="2025-07-12T00:00:00"/>
        <d v="2025-07-13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2T00:00:00"/>
        <d v="2025-08-03T00:00:00"/>
        <d v="2025-08-05T00:00:00"/>
        <d v="2025-08-06T00:00:00"/>
        <d v="2025-08-07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20T00:00:00"/>
        <d v="2025-08-21T00:00:00"/>
        <d v="2025-08-22T00:00:00"/>
        <d v="2025-08-23T00:00:00"/>
        <d v="2025-08-24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2T00:00:00"/>
        <d v="2025-10-13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5T00:00:00"/>
        <d v="2025-10-26T00:00:00"/>
        <d v="2025-10-28T00:00:00"/>
        <d v="2025-10-29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3T00:00:00"/>
        <d v="2025-11-25T00:00:00"/>
        <d v="2025-11-26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3T00:00:00"/>
        <d v="2025-12-24T00:00:00"/>
        <d v="2025-12-25T00:00:00"/>
        <d v="2025-12-26T00:00:00"/>
        <d v="2025-12-27T00:00:00"/>
        <d v="2025-12-28T00:00:00"/>
        <d v="2025-12-30T00:00:00"/>
        <d v="2025-12-31T00:00:00"/>
        <d v="2026-01-01T00:00:00"/>
        <d v="2026-01-02T00:00:00"/>
        <d v="2026-01-03T00:00:00"/>
        <d v="2026-01-04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4T00:00:00"/>
        <d v="2026-01-16T00:00:00"/>
        <d v="2026-01-18T00:00:00"/>
        <d v="2026-01-20T00:00:00"/>
        <d v="2026-01-21T00:00:00"/>
        <d v="2026-01-22T00:00:00"/>
        <d v="2026-01-23T00:00:00"/>
        <d v="2026-01-25T00:00:00"/>
        <d v="2026-01-26T00:00:00"/>
        <d v="2026-01-27T00:00:00"/>
        <d v="2026-01-30T00:00:00"/>
        <d v="2026-01-31T00:00:00"/>
        <d v="2026-02-01T00:00:00"/>
        <d v="2026-02-03T00:00:00"/>
        <d v="2026-02-04T00:00:00"/>
        <d v="2026-02-05T00:00:00"/>
        <d v="2026-02-06T00:00:00"/>
        <d v="2026-02-08T00:00:00"/>
        <d v="2026-02-09T00:00:00"/>
        <d v="2026-02-10T00:00:00"/>
        <d v="2026-02-11T00:00:00"/>
        <d v="2026-02-13T00:00:00"/>
        <d v="2026-02-14T00:00:00"/>
        <d v="2026-02-15T00:00:00"/>
        <d v="2026-02-16T00:00:00"/>
        <d v="2026-02-18T00:00:00"/>
        <d v="2026-02-19T00:00:00"/>
        <d v="2026-02-20T00:00:00"/>
        <d v="2026-02-21T00:00:00"/>
        <d v="2026-02-22T00:00:00"/>
        <d v="2026-02-23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2T00:00:00"/>
        <d v="2026-04-24T00:00:00"/>
        <d v="2026-04-25T00:00:00"/>
        <d v="2026-04-26T00:00:00"/>
        <d v="2026-04-27T00:00:00"/>
        <d v="2026-04-29T00:00:00"/>
        <d v="2026-04-30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4T00:00:00"/>
        <d v="2026-05-15T00:00:00"/>
        <d v="2026-05-16T00:00:00"/>
        <d v="2026-05-17T00:00:00"/>
        <d v="2026-05-19T00:00:00"/>
        <d v="2026-05-20T00:00:00"/>
        <d v="2026-05-21T00:00:00"/>
        <d v="2026-05-22T00:00:00"/>
        <d v="2026-05-23T00:00:00"/>
        <d v="2026-05-24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5T00:00:00"/>
        <d v="2026-08-26T00:00:00"/>
        <d v="2026-08-27T00:00:00"/>
        <d v="2026-08-28T00:00:00"/>
        <d v="2026-08-29T00:00:00"/>
        <d v="2026-08-30T00:00:00"/>
        <d v="2026-09-01T00:00:00"/>
        <d v="2026-09-02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5T00:00:00"/>
        <d v="2026-09-16T00:00:00"/>
        <d v="2026-09-20T00:00:00"/>
        <d v="2026-09-22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  <fieldGroup par="16"/>
    </cacheField>
    <cacheField name="Data_Viagem" numFmtId="14">
      <sharedItems containsSemiMixedTypes="0" containsNonDate="0" containsDate="1" containsString="0" minDate="2025-01-04T00:00:00" maxDate="2027-02-13T00:00:00"/>
    </cacheField>
    <cacheField name="ID_Cliente" numFmtId="0">
      <sharedItems containsSemiMixedTypes="0" containsString="0" containsNumber="1" containsInteger="1" minValue="1" maxValue="200"/>
    </cacheField>
    <cacheField name="ID_Pacote" numFmtId="0">
      <sharedItems containsSemiMixedTypes="0" containsString="0" containsNumber="1" containsInteger="1" minValue="1" maxValue="15"/>
    </cacheField>
    <cacheField name="Qtd_Passageiros" numFmtId="0">
      <sharedItems containsSemiMixedTypes="0" containsString="0" containsNumber="1" containsInteger="1" minValue="1" maxValue="5"/>
    </cacheField>
    <cacheField name="Valor_Bruto" numFmtId="164">
      <sharedItems containsSemiMixedTypes="0" containsString="0" containsNumber="1" containsInteger="1" minValue="1800" maxValue="79000"/>
    </cacheField>
    <cacheField name="Desconto" numFmtId="9">
      <sharedItems containsSemiMixedTypes="0" containsString="0" containsNumber="1" minValue="0" maxValue="0.15"/>
    </cacheField>
    <cacheField name="Valor_Venda" numFmtId="164">
      <sharedItems containsSemiMixedTypes="0" containsString="0" containsNumber="1" containsInteger="1" minValue="1530" maxValue="79000"/>
    </cacheField>
    <cacheField name="Canal" numFmtId="0">
      <sharedItems count="4">
        <s v="Site"/>
        <s v="WhatsApp"/>
        <s v="Agente Corporativo"/>
        <s v="Loja"/>
      </sharedItems>
    </cacheField>
    <cacheField name="Status" numFmtId="0">
      <sharedItems count="2">
        <s v="Confirmada"/>
        <s v="Cancelada"/>
      </sharedItems>
    </cacheField>
    <cacheField name="Avaliacao" numFmtId="0">
      <sharedItems containsString="0" containsBlank="1" containsNumber="1" containsInteger="1" minValue="1" maxValue="5"/>
    </cacheField>
    <cacheField name="Pacote" numFmtId="0">
      <sharedItems/>
    </cacheField>
    <cacheField name="Categoria" numFmtId="0">
      <sharedItems count="6">
        <s v="Natureza"/>
        <s v="Aventura"/>
        <s v="Praia"/>
        <s v="Inverno"/>
        <s v="Cultural"/>
        <s v="Parques"/>
      </sharedItems>
    </cacheField>
    <cacheField name="UF" numFmtId="0">
      <sharedItems count="8">
        <s v="RJ"/>
        <s v="SP"/>
        <s v="DF"/>
        <s v="PR"/>
        <s v="MG"/>
        <s v="BA"/>
        <s v="RS"/>
        <s v="PE"/>
      </sharedItems>
    </cacheField>
    <cacheField name="Meses (Data_Venda)" numFmtId="0" databaseField="0">
      <fieldGroup base="1">
        <rangePr groupBy="months" startDate="2025-01-01T00:00:00" endDate="2026-10-01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6"/>
        </groupItems>
      </fieldGroup>
    </cacheField>
    <cacheField name="Anos (Data_Venda)" numFmtId="0" databaseField="0">
      <fieldGroup base="1">
        <rangePr groupBy="years" startDate="2025-01-01T00:00:00" endDate="2026-10-01T00:00:00"/>
        <groupItems count="4">
          <s v="&lt;01/01/2025"/>
          <s v="2025"/>
          <s v="2026"/>
          <s v="&gt;01/10/2026"/>
        </groupItems>
      </fieldGroup>
    </cacheField>
  </cacheFields>
  <extLst>
    <ext xmlns:x14="http://schemas.microsoft.com/office/spreadsheetml/2009/9/main" uri="{725AE2AE-9491-48be-B2B4-4EB974FC3084}">
      <x14:pivotCacheDefinition pivotCacheId="1924891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0">
  <r>
    <n v="1"/>
    <x v="0"/>
    <d v="2025-04-15T00:00:00"/>
    <n v="166"/>
    <n v="6"/>
    <n v="2"/>
    <n v="4200"/>
    <n v="0.1"/>
    <n v="3780"/>
    <x v="0"/>
    <x v="0"/>
    <n v="5"/>
    <s v="Foz do Iguaçu"/>
    <x v="0"/>
    <x v="0"/>
  </r>
  <r>
    <n v="2"/>
    <x v="0"/>
    <d v="2025-01-22T00:00:00"/>
    <n v="148"/>
    <n v="13"/>
    <n v="2"/>
    <n v="14600"/>
    <n v="0.15"/>
    <n v="12410"/>
    <x v="1"/>
    <x v="0"/>
    <n v="5"/>
    <s v="Machu Picchu"/>
    <x v="1"/>
    <x v="1"/>
  </r>
  <r>
    <n v="3"/>
    <x v="0"/>
    <d v="2025-01-04T00:00:00"/>
    <n v="16"/>
    <n v="1"/>
    <n v="1"/>
    <n v="3200"/>
    <n v="0"/>
    <n v="3200"/>
    <x v="0"/>
    <x v="0"/>
    <n v="2"/>
    <s v="Nordeste Encantado"/>
    <x v="2"/>
    <x v="2"/>
  </r>
  <r>
    <n v="4"/>
    <x v="1"/>
    <d v="2025-05-13T00:00:00"/>
    <n v="78"/>
    <n v="14"/>
    <n v="2"/>
    <n v="5800"/>
    <n v="0.05"/>
    <n v="5510"/>
    <x v="2"/>
    <x v="0"/>
    <n v="5"/>
    <s v="Lençóis Maranhenses"/>
    <x v="0"/>
    <x v="3"/>
  </r>
  <r>
    <n v="5"/>
    <x v="2"/>
    <d v="2025-01-17T00:00:00"/>
    <n v="21"/>
    <n v="1"/>
    <n v="2"/>
    <n v="6400"/>
    <n v="0"/>
    <n v="6400"/>
    <x v="1"/>
    <x v="0"/>
    <n v="4"/>
    <s v="Nordeste Encantado"/>
    <x v="2"/>
    <x v="4"/>
  </r>
  <r>
    <n v="6"/>
    <x v="2"/>
    <d v="2025-05-08T00:00:00"/>
    <n v="8"/>
    <n v="1"/>
    <n v="2"/>
    <n v="6400"/>
    <n v="0.1"/>
    <n v="5760"/>
    <x v="3"/>
    <x v="0"/>
    <n v="2"/>
    <s v="Nordeste Encantado"/>
    <x v="2"/>
    <x v="1"/>
  </r>
  <r>
    <n v="7"/>
    <x v="2"/>
    <d v="2025-02-16T00:00:00"/>
    <n v="24"/>
    <n v="1"/>
    <n v="2"/>
    <n v="6400"/>
    <n v="0.1"/>
    <n v="5760"/>
    <x v="3"/>
    <x v="0"/>
    <n v="4"/>
    <s v="Nordeste Encantado"/>
    <x v="2"/>
    <x v="1"/>
  </r>
  <r>
    <n v="8"/>
    <x v="2"/>
    <d v="2025-01-23T00:00:00"/>
    <n v="146"/>
    <n v="3"/>
    <n v="4"/>
    <n v="10400"/>
    <n v="0.05"/>
    <n v="9880"/>
    <x v="0"/>
    <x v="0"/>
    <n v="4"/>
    <s v="Serra Gaúcha"/>
    <x v="3"/>
    <x v="5"/>
  </r>
  <r>
    <n v="9"/>
    <x v="3"/>
    <d v="2025-04-26T00:00:00"/>
    <n v="141"/>
    <n v="5"/>
    <n v="1"/>
    <n v="3400"/>
    <n v="0"/>
    <n v="3400"/>
    <x v="1"/>
    <x v="0"/>
    <n v="3"/>
    <s v="Bonito Aventura"/>
    <x v="1"/>
    <x v="2"/>
  </r>
  <r>
    <n v="10"/>
    <x v="3"/>
    <d v="2025-01-20T00:00:00"/>
    <n v="170"/>
    <n v="2"/>
    <n v="1"/>
    <n v="1800"/>
    <n v="0"/>
    <n v="1800"/>
    <x v="0"/>
    <x v="0"/>
    <n v="2"/>
    <s v="Rio Cidade Maravilhosa"/>
    <x v="4"/>
    <x v="1"/>
  </r>
  <r>
    <n v="11"/>
    <x v="3"/>
    <d v="2025-04-03T00:00:00"/>
    <n v="44"/>
    <n v="6"/>
    <n v="2"/>
    <n v="4200"/>
    <n v="0.1"/>
    <n v="3780"/>
    <x v="0"/>
    <x v="0"/>
    <n v="4"/>
    <s v="Foz do Iguaçu"/>
    <x v="0"/>
    <x v="2"/>
  </r>
  <r>
    <n v="12"/>
    <x v="4"/>
    <d v="2025-03-07T00:00:00"/>
    <n v="129"/>
    <n v="2"/>
    <n v="5"/>
    <n v="9000"/>
    <n v="0.05"/>
    <n v="8550"/>
    <x v="1"/>
    <x v="0"/>
    <n v="5"/>
    <s v="Rio Cidade Maravilhosa"/>
    <x v="4"/>
    <x v="4"/>
  </r>
  <r>
    <n v="13"/>
    <x v="5"/>
    <d v="2025-02-10T00:00:00"/>
    <n v="153"/>
    <n v="1"/>
    <n v="1"/>
    <n v="3200"/>
    <n v="0.15"/>
    <n v="2720"/>
    <x v="2"/>
    <x v="0"/>
    <n v="5"/>
    <s v="Nordeste Encantado"/>
    <x v="2"/>
    <x v="1"/>
  </r>
  <r>
    <n v="14"/>
    <x v="5"/>
    <d v="2025-06-20T00:00:00"/>
    <n v="26"/>
    <n v="3"/>
    <n v="1"/>
    <n v="2600"/>
    <n v="0"/>
    <n v="2600"/>
    <x v="0"/>
    <x v="0"/>
    <n v="3"/>
    <s v="Serra Gaúcha"/>
    <x v="3"/>
    <x v="1"/>
  </r>
  <r>
    <n v="15"/>
    <x v="6"/>
    <d v="2025-04-20T00:00:00"/>
    <n v="200"/>
    <n v="2"/>
    <n v="3"/>
    <n v="5400"/>
    <n v="0"/>
    <n v="5400"/>
    <x v="3"/>
    <x v="0"/>
    <n v="3"/>
    <s v="Rio Cidade Maravilhosa"/>
    <x v="4"/>
    <x v="3"/>
  </r>
  <r>
    <n v="16"/>
    <x v="7"/>
    <d v="2025-04-07T00:00:00"/>
    <n v="23"/>
    <n v="12"/>
    <n v="2"/>
    <n v="24800"/>
    <n v="0"/>
    <n v="24800"/>
    <x v="0"/>
    <x v="0"/>
    <n v="5"/>
    <s v="Lisboa e Porto"/>
    <x v="4"/>
    <x v="1"/>
  </r>
  <r>
    <n v="17"/>
    <x v="7"/>
    <d v="2025-02-12T00:00:00"/>
    <n v="156"/>
    <n v="3"/>
    <n v="1"/>
    <n v="2600"/>
    <n v="0.1"/>
    <n v="2340"/>
    <x v="2"/>
    <x v="0"/>
    <n v="5"/>
    <s v="Serra Gaúcha"/>
    <x v="3"/>
    <x v="1"/>
  </r>
  <r>
    <n v="18"/>
    <x v="8"/>
    <d v="2025-02-07T00:00:00"/>
    <n v="135"/>
    <n v="9"/>
    <n v="2"/>
    <n v="17800"/>
    <n v="0.1"/>
    <n v="16020"/>
    <x v="3"/>
    <x v="0"/>
    <n v="3"/>
    <s v="Cancún All Inclusive"/>
    <x v="2"/>
    <x v="0"/>
  </r>
  <r>
    <n v="19"/>
    <x v="8"/>
    <d v="2025-05-21T00:00:00"/>
    <n v="193"/>
    <n v="7"/>
    <n v="2"/>
    <n v="8400"/>
    <n v="0"/>
    <n v="8400"/>
    <x v="0"/>
    <x v="0"/>
    <n v="5"/>
    <s v="Buenos Aires Clássica"/>
    <x v="4"/>
    <x v="1"/>
  </r>
  <r>
    <n v="20"/>
    <x v="8"/>
    <d v="2025-01-22T00:00:00"/>
    <n v="45"/>
    <n v="1"/>
    <n v="4"/>
    <n v="12800"/>
    <n v="0.1"/>
    <n v="11520"/>
    <x v="0"/>
    <x v="1"/>
    <m/>
    <s v="Nordeste Encantado"/>
    <x v="2"/>
    <x v="1"/>
  </r>
  <r>
    <n v="21"/>
    <x v="8"/>
    <d v="2025-01-29T00:00:00"/>
    <n v="94"/>
    <n v="3"/>
    <n v="2"/>
    <n v="5200"/>
    <n v="0"/>
    <n v="5200"/>
    <x v="3"/>
    <x v="0"/>
    <n v="4"/>
    <s v="Serra Gaúcha"/>
    <x v="3"/>
    <x v="0"/>
  </r>
  <r>
    <n v="22"/>
    <x v="9"/>
    <d v="2025-03-11T00:00:00"/>
    <n v="36"/>
    <n v="4"/>
    <n v="4"/>
    <n v="27600"/>
    <n v="0"/>
    <n v="27600"/>
    <x v="0"/>
    <x v="0"/>
    <n v="4"/>
    <s v="Fernando de Noronha"/>
    <x v="2"/>
    <x v="1"/>
  </r>
  <r>
    <n v="23"/>
    <x v="9"/>
    <d v="2025-03-03T00:00:00"/>
    <n v="58"/>
    <n v="5"/>
    <n v="2"/>
    <n v="6800"/>
    <n v="0.1"/>
    <n v="6120"/>
    <x v="0"/>
    <x v="0"/>
    <n v="4"/>
    <s v="Bonito Aventura"/>
    <x v="1"/>
    <x v="1"/>
  </r>
  <r>
    <n v="24"/>
    <x v="9"/>
    <d v="2025-03-07T00:00:00"/>
    <n v="150"/>
    <n v="7"/>
    <n v="2"/>
    <n v="8400"/>
    <n v="0"/>
    <n v="8400"/>
    <x v="0"/>
    <x v="0"/>
    <n v="3"/>
    <s v="Buenos Aires Clássica"/>
    <x v="4"/>
    <x v="1"/>
  </r>
  <r>
    <n v="25"/>
    <x v="9"/>
    <d v="2025-03-02T00:00:00"/>
    <n v="21"/>
    <n v="6"/>
    <n v="5"/>
    <n v="10500"/>
    <n v="0.05"/>
    <n v="9975"/>
    <x v="0"/>
    <x v="0"/>
    <n v="4"/>
    <s v="Foz do Iguaçu"/>
    <x v="0"/>
    <x v="4"/>
  </r>
  <r>
    <n v="26"/>
    <x v="10"/>
    <d v="2025-01-22T00:00:00"/>
    <n v="3"/>
    <n v="5"/>
    <n v="1"/>
    <n v="3400"/>
    <n v="0.05"/>
    <n v="3230"/>
    <x v="0"/>
    <x v="0"/>
    <n v="5"/>
    <s v="Bonito Aventura"/>
    <x v="1"/>
    <x v="1"/>
  </r>
  <r>
    <n v="27"/>
    <x v="11"/>
    <d v="2025-03-11T00:00:00"/>
    <n v="130"/>
    <n v="6"/>
    <n v="1"/>
    <n v="2100"/>
    <n v="0"/>
    <n v="2100"/>
    <x v="1"/>
    <x v="0"/>
    <n v="4"/>
    <s v="Foz do Iguaçu"/>
    <x v="0"/>
    <x v="1"/>
  </r>
  <r>
    <n v="28"/>
    <x v="11"/>
    <d v="2025-02-25T00:00:00"/>
    <n v="83"/>
    <n v="1"/>
    <n v="2"/>
    <n v="6400"/>
    <n v="0"/>
    <n v="6400"/>
    <x v="3"/>
    <x v="0"/>
    <n v="5"/>
    <s v="Nordeste Encantado"/>
    <x v="2"/>
    <x v="1"/>
  </r>
  <r>
    <n v="29"/>
    <x v="12"/>
    <d v="2025-01-30T00:00:00"/>
    <n v="19"/>
    <n v="14"/>
    <n v="2"/>
    <n v="5800"/>
    <n v="0.1"/>
    <n v="5220"/>
    <x v="3"/>
    <x v="0"/>
    <n v="5"/>
    <s v="Lençóis Maranhenses"/>
    <x v="0"/>
    <x v="1"/>
  </r>
  <r>
    <n v="30"/>
    <x v="13"/>
    <d v="2025-01-27T00:00:00"/>
    <n v="200"/>
    <n v="9"/>
    <n v="5"/>
    <n v="44500"/>
    <n v="0.1"/>
    <n v="40050"/>
    <x v="1"/>
    <x v="0"/>
    <n v="5"/>
    <s v="Cancún All Inclusive"/>
    <x v="2"/>
    <x v="3"/>
  </r>
  <r>
    <n v="31"/>
    <x v="14"/>
    <d v="2025-01-24T00:00:00"/>
    <n v="127"/>
    <n v="7"/>
    <n v="2"/>
    <n v="8400"/>
    <n v="0.1"/>
    <n v="7560"/>
    <x v="3"/>
    <x v="0"/>
    <n v="4"/>
    <s v="Buenos Aires Clássica"/>
    <x v="4"/>
    <x v="1"/>
  </r>
  <r>
    <n v="32"/>
    <x v="15"/>
    <d v="2025-03-07T00:00:00"/>
    <n v="73"/>
    <n v="4"/>
    <n v="3"/>
    <n v="20700"/>
    <n v="0"/>
    <n v="20700"/>
    <x v="3"/>
    <x v="0"/>
    <n v="5"/>
    <s v="Fernando de Noronha"/>
    <x v="2"/>
    <x v="1"/>
  </r>
  <r>
    <n v="33"/>
    <x v="15"/>
    <d v="2025-02-01T00:00:00"/>
    <n v="23"/>
    <n v="3"/>
    <n v="1"/>
    <n v="2600"/>
    <n v="0.1"/>
    <n v="2340"/>
    <x v="0"/>
    <x v="0"/>
    <n v="3"/>
    <s v="Serra Gaúcha"/>
    <x v="3"/>
    <x v="1"/>
  </r>
  <r>
    <n v="34"/>
    <x v="16"/>
    <d v="2025-02-24T00:00:00"/>
    <n v="63"/>
    <n v="11"/>
    <n v="2"/>
    <n v="31600"/>
    <n v="0.1"/>
    <n v="28440"/>
    <x v="0"/>
    <x v="0"/>
    <n v="4"/>
    <s v="Paris e Londres"/>
    <x v="4"/>
    <x v="6"/>
  </r>
  <r>
    <n v="35"/>
    <x v="16"/>
    <d v="2025-02-21T00:00:00"/>
    <n v="184"/>
    <n v="13"/>
    <n v="4"/>
    <n v="29200"/>
    <n v="0.05"/>
    <n v="27740"/>
    <x v="0"/>
    <x v="0"/>
    <n v="4"/>
    <s v="Machu Picchu"/>
    <x v="1"/>
    <x v="1"/>
  </r>
  <r>
    <n v="36"/>
    <x v="16"/>
    <d v="2025-03-20T00:00:00"/>
    <n v="79"/>
    <n v="5"/>
    <n v="1"/>
    <n v="3400"/>
    <n v="0.1"/>
    <n v="3060"/>
    <x v="0"/>
    <x v="0"/>
    <n v="5"/>
    <s v="Bonito Aventura"/>
    <x v="1"/>
    <x v="0"/>
  </r>
  <r>
    <n v="37"/>
    <x v="16"/>
    <d v="2025-02-12T00:00:00"/>
    <n v="138"/>
    <n v="2"/>
    <n v="5"/>
    <n v="9000"/>
    <n v="0.15"/>
    <n v="7650"/>
    <x v="0"/>
    <x v="0"/>
    <n v="3"/>
    <s v="Rio Cidade Maravilhosa"/>
    <x v="4"/>
    <x v="1"/>
  </r>
  <r>
    <n v="38"/>
    <x v="17"/>
    <d v="2025-02-16T00:00:00"/>
    <n v="54"/>
    <n v="15"/>
    <n v="2"/>
    <n v="6200"/>
    <n v="0"/>
    <n v="6200"/>
    <x v="1"/>
    <x v="0"/>
    <n v="2"/>
    <s v="Jericoacoara"/>
    <x v="2"/>
    <x v="0"/>
  </r>
  <r>
    <n v="39"/>
    <x v="18"/>
    <d v="2025-03-28T00:00:00"/>
    <n v="166"/>
    <n v="10"/>
    <n v="4"/>
    <n v="46000"/>
    <n v="0"/>
    <n v="46000"/>
    <x v="0"/>
    <x v="0"/>
    <n v="4"/>
    <s v="Orlando Parques"/>
    <x v="5"/>
    <x v="0"/>
  </r>
  <r>
    <n v="40"/>
    <x v="18"/>
    <d v="2025-03-23T00:00:00"/>
    <n v="197"/>
    <n v="3"/>
    <n v="1"/>
    <n v="2600"/>
    <n v="0"/>
    <n v="2600"/>
    <x v="1"/>
    <x v="0"/>
    <n v="4"/>
    <s v="Serra Gaúcha"/>
    <x v="3"/>
    <x v="1"/>
  </r>
  <r>
    <n v="41"/>
    <x v="18"/>
    <d v="2025-03-10T00:00:00"/>
    <n v="11"/>
    <n v="2"/>
    <n v="1"/>
    <n v="1800"/>
    <n v="0.1"/>
    <n v="1620"/>
    <x v="1"/>
    <x v="0"/>
    <n v="4"/>
    <s v="Rio Cidade Maravilhosa"/>
    <x v="4"/>
    <x v="0"/>
  </r>
  <r>
    <n v="42"/>
    <x v="19"/>
    <d v="2025-02-03T00:00:00"/>
    <n v="181"/>
    <n v="15"/>
    <n v="3"/>
    <n v="9300"/>
    <n v="0.05"/>
    <n v="8835"/>
    <x v="3"/>
    <x v="0"/>
    <n v="5"/>
    <s v="Jericoacoara"/>
    <x v="2"/>
    <x v="0"/>
  </r>
  <r>
    <n v="43"/>
    <x v="19"/>
    <d v="2025-05-17T00:00:00"/>
    <n v="95"/>
    <n v="11"/>
    <n v="2"/>
    <n v="31600"/>
    <n v="0"/>
    <n v="31600"/>
    <x v="0"/>
    <x v="0"/>
    <n v="4"/>
    <s v="Paris e Londres"/>
    <x v="4"/>
    <x v="3"/>
  </r>
  <r>
    <n v="44"/>
    <x v="19"/>
    <d v="2025-02-13T00:00:00"/>
    <n v="138"/>
    <n v="3"/>
    <n v="2"/>
    <n v="5200"/>
    <n v="0.15"/>
    <n v="4420"/>
    <x v="0"/>
    <x v="0"/>
    <n v="5"/>
    <s v="Serra Gaúcha"/>
    <x v="3"/>
    <x v="1"/>
  </r>
  <r>
    <n v="45"/>
    <x v="19"/>
    <d v="2025-03-14T00:00:00"/>
    <n v="100"/>
    <n v="11"/>
    <n v="2"/>
    <n v="31600"/>
    <n v="0"/>
    <n v="31600"/>
    <x v="1"/>
    <x v="0"/>
    <n v="5"/>
    <s v="Paris e Londres"/>
    <x v="4"/>
    <x v="1"/>
  </r>
  <r>
    <n v="46"/>
    <x v="20"/>
    <d v="2025-02-23T00:00:00"/>
    <n v="36"/>
    <n v="1"/>
    <n v="5"/>
    <n v="16000"/>
    <n v="0"/>
    <n v="16000"/>
    <x v="3"/>
    <x v="0"/>
    <n v="3"/>
    <s v="Nordeste Encantado"/>
    <x v="2"/>
    <x v="1"/>
  </r>
  <r>
    <n v="47"/>
    <x v="21"/>
    <d v="2025-03-21T00:00:00"/>
    <n v="123"/>
    <n v="8"/>
    <n v="2"/>
    <n v="11800"/>
    <n v="0"/>
    <n v="11800"/>
    <x v="0"/>
    <x v="0"/>
    <n v="4"/>
    <s v="Santiago e Neve"/>
    <x v="3"/>
    <x v="3"/>
  </r>
  <r>
    <n v="48"/>
    <x v="21"/>
    <d v="2025-03-14T00:00:00"/>
    <n v="110"/>
    <n v="15"/>
    <n v="3"/>
    <n v="9300"/>
    <n v="0"/>
    <n v="9300"/>
    <x v="3"/>
    <x v="1"/>
    <m/>
    <s v="Jericoacoara"/>
    <x v="2"/>
    <x v="1"/>
  </r>
  <r>
    <n v="49"/>
    <x v="22"/>
    <d v="2025-06-29T00:00:00"/>
    <n v="13"/>
    <n v="13"/>
    <n v="2"/>
    <n v="14600"/>
    <n v="0"/>
    <n v="14600"/>
    <x v="1"/>
    <x v="0"/>
    <n v="5"/>
    <s v="Machu Picchu"/>
    <x v="1"/>
    <x v="6"/>
  </r>
  <r>
    <n v="50"/>
    <x v="22"/>
    <d v="2025-02-01T00:00:00"/>
    <n v="170"/>
    <n v="14"/>
    <n v="4"/>
    <n v="11600"/>
    <n v="0.1"/>
    <n v="10440"/>
    <x v="0"/>
    <x v="0"/>
    <n v="5"/>
    <s v="Lençóis Maranhenses"/>
    <x v="0"/>
    <x v="1"/>
  </r>
  <r>
    <n v="51"/>
    <x v="23"/>
    <d v="2025-03-11T00:00:00"/>
    <n v="146"/>
    <n v="9"/>
    <n v="3"/>
    <n v="26700"/>
    <n v="0.1"/>
    <n v="24030"/>
    <x v="3"/>
    <x v="0"/>
    <n v="3"/>
    <s v="Cancún All Inclusive"/>
    <x v="2"/>
    <x v="5"/>
  </r>
  <r>
    <n v="52"/>
    <x v="24"/>
    <d v="2025-04-30T00:00:00"/>
    <n v="80"/>
    <n v="2"/>
    <n v="1"/>
    <n v="1800"/>
    <n v="0.05"/>
    <n v="1710"/>
    <x v="3"/>
    <x v="0"/>
    <n v="4"/>
    <s v="Rio Cidade Maravilhosa"/>
    <x v="4"/>
    <x v="1"/>
  </r>
  <r>
    <n v="53"/>
    <x v="24"/>
    <d v="2025-02-20T00:00:00"/>
    <n v="177"/>
    <n v="8"/>
    <n v="1"/>
    <n v="5900"/>
    <n v="0.1"/>
    <n v="5310"/>
    <x v="1"/>
    <x v="0"/>
    <n v="3"/>
    <s v="Santiago e Neve"/>
    <x v="3"/>
    <x v="0"/>
  </r>
  <r>
    <n v="54"/>
    <x v="24"/>
    <d v="2025-04-25T00:00:00"/>
    <n v="37"/>
    <n v="6"/>
    <n v="2"/>
    <n v="4200"/>
    <n v="0"/>
    <n v="4200"/>
    <x v="3"/>
    <x v="0"/>
    <n v="5"/>
    <s v="Foz do Iguaçu"/>
    <x v="0"/>
    <x v="2"/>
  </r>
  <r>
    <n v="55"/>
    <x v="25"/>
    <d v="2025-02-16T00:00:00"/>
    <n v="64"/>
    <n v="8"/>
    <n v="2"/>
    <n v="11800"/>
    <n v="0"/>
    <n v="11800"/>
    <x v="1"/>
    <x v="0"/>
    <n v="2"/>
    <s v="Santiago e Neve"/>
    <x v="3"/>
    <x v="7"/>
  </r>
  <r>
    <n v="56"/>
    <x v="25"/>
    <d v="2025-03-31T00:00:00"/>
    <n v="52"/>
    <n v="5"/>
    <n v="3"/>
    <n v="10200"/>
    <n v="0"/>
    <n v="10200"/>
    <x v="1"/>
    <x v="0"/>
    <n v="3"/>
    <s v="Bonito Aventura"/>
    <x v="1"/>
    <x v="1"/>
  </r>
  <r>
    <n v="57"/>
    <x v="25"/>
    <d v="2025-02-11T00:00:00"/>
    <n v="65"/>
    <n v="1"/>
    <n v="2"/>
    <n v="6400"/>
    <n v="0"/>
    <n v="6400"/>
    <x v="3"/>
    <x v="1"/>
    <m/>
    <s v="Nordeste Encantado"/>
    <x v="2"/>
    <x v="1"/>
  </r>
  <r>
    <n v="58"/>
    <x v="26"/>
    <d v="2025-03-18T00:00:00"/>
    <n v="26"/>
    <n v="3"/>
    <n v="2"/>
    <n v="5200"/>
    <n v="0"/>
    <n v="5200"/>
    <x v="0"/>
    <x v="0"/>
    <n v="5"/>
    <s v="Serra Gaúcha"/>
    <x v="3"/>
    <x v="1"/>
  </r>
  <r>
    <n v="59"/>
    <x v="27"/>
    <d v="2025-03-09T00:00:00"/>
    <n v="198"/>
    <n v="14"/>
    <n v="2"/>
    <n v="5800"/>
    <n v="0"/>
    <n v="5800"/>
    <x v="3"/>
    <x v="0"/>
    <n v="5"/>
    <s v="Lençóis Maranhenses"/>
    <x v="0"/>
    <x v="1"/>
  </r>
  <r>
    <n v="60"/>
    <x v="27"/>
    <d v="2025-05-17T00:00:00"/>
    <n v="13"/>
    <n v="14"/>
    <n v="2"/>
    <n v="5800"/>
    <n v="0"/>
    <n v="5800"/>
    <x v="3"/>
    <x v="1"/>
    <m/>
    <s v="Lençóis Maranhenses"/>
    <x v="0"/>
    <x v="6"/>
  </r>
  <r>
    <n v="61"/>
    <x v="27"/>
    <d v="2025-02-07T00:00:00"/>
    <n v="141"/>
    <n v="11"/>
    <n v="2"/>
    <n v="31600"/>
    <n v="0"/>
    <n v="31600"/>
    <x v="0"/>
    <x v="1"/>
    <m/>
    <s v="Paris e Londres"/>
    <x v="4"/>
    <x v="2"/>
  </r>
  <r>
    <n v="62"/>
    <x v="28"/>
    <d v="2025-03-30T00:00:00"/>
    <n v="33"/>
    <n v="12"/>
    <n v="2"/>
    <n v="24800"/>
    <n v="0"/>
    <n v="24800"/>
    <x v="0"/>
    <x v="0"/>
    <n v="5"/>
    <s v="Lisboa e Porto"/>
    <x v="4"/>
    <x v="3"/>
  </r>
  <r>
    <n v="63"/>
    <x v="28"/>
    <d v="2025-02-18T00:00:00"/>
    <n v="184"/>
    <n v="10"/>
    <n v="2"/>
    <n v="23000"/>
    <n v="0.05"/>
    <n v="21850"/>
    <x v="0"/>
    <x v="0"/>
    <n v="4"/>
    <s v="Orlando Parques"/>
    <x v="5"/>
    <x v="1"/>
  </r>
  <r>
    <n v="64"/>
    <x v="29"/>
    <d v="2025-05-07T00:00:00"/>
    <n v="29"/>
    <n v="1"/>
    <n v="1"/>
    <n v="3200"/>
    <n v="0"/>
    <n v="3200"/>
    <x v="0"/>
    <x v="1"/>
    <m/>
    <s v="Nordeste Encantado"/>
    <x v="2"/>
    <x v="1"/>
  </r>
  <r>
    <n v="65"/>
    <x v="30"/>
    <d v="2025-07-15T00:00:00"/>
    <n v="200"/>
    <n v="6"/>
    <n v="2"/>
    <n v="4200"/>
    <n v="0.05"/>
    <n v="3990"/>
    <x v="0"/>
    <x v="0"/>
    <n v="5"/>
    <s v="Foz do Iguaçu"/>
    <x v="0"/>
    <x v="3"/>
  </r>
  <r>
    <n v="66"/>
    <x v="30"/>
    <d v="2025-08-02T00:00:00"/>
    <n v="120"/>
    <n v="3"/>
    <n v="1"/>
    <n v="2600"/>
    <n v="0"/>
    <n v="2600"/>
    <x v="3"/>
    <x v="0"/>
    <n v="4"/>
    <s v="Serra Gaúcha"/>
    <x v="3"/>
    <x v="3"/>
  </r>
  <r>
    <n v="67"/>
    <x v="31"/>
    <d v="2025-03-22T00:00:00"/>
    <n v="111"/>
    <n v="8"/>
    <n v="2"/>
    <n v="11800"/>
    <n v="0.05"/>
    <n v="11210"/>
    <x v="0"/>
    <x v="1"/>
    <m/>
    <s v="Santiago e Neve"/>
    <x v="3"/>
    <x v="0"/>
  </r>
  <r>
    <n v="68"/>
    <x v="31"/>
    <d v="2025-02-16T00:00:00"/>
    <n v="116"/>
    <n v="2"/>
    <n v="3"/>
    <n v="5400"/>
    <n v="0"/>
    <n v="5400"/>
    <x v="0"/>
    <x v="0"/>
    <n v="5"/>
    <s v="Rio Cidade Maravilhosa"/>
    <x v="4"/>
    <x v="0"/>
  </r>
  <r>
    <n v="69"/>
    <x v="32"/>
    <d v="2025-02-24T00:00:00"/>
    <n v="22"/>
    <n v="8"/>
    <n v="3"/>
    <n v="17700"/>
    <n v="0.05"/>
    <n v="16815"/>
    <x v="1"/>
    <x v="0"/>
    <n v="1"/>
    <s v="Santiago e Neve"/>
    <x v="3"/>
    <x v="1"/>
  </r>
  <r>
    <n v="70"/>
    <x v="32"/>
    <d v="2025-03-25T00:00:00"/>
    <n v="76"/>
    <n v="14"/>
    <n v="3"/>
    <n v="8700"/>
    <n v="0"/>
    <n v="8700"/>
    <x v="0"/>
    <x v="0"/>
    <n v="5"/>
    <s v="Lençóis Maranhenses"/>
    <x v="0"/>
    <x v="2"/>
  </r>
  <r>
    <n v="71"/>
    <x v="32"/>
    <d v="2025-07-03T00:00:00"/>
    <n v="158"/>
    <n v="1"/>
    <n v="4"/>
    <n v="12800"/>
    <n v="0.1"/>
    <n v="11520"/>
    <x v="1"/>
    <x v="0"/>
    <n v="3"/>
    <s v="Nordeste Encantado"/>
    <x v="2"/>
    <x v="6"/>
  </r>
  <r>
    <n v="72"/>
    <x v="32"/>
    <d v="2025-06-25T00:00:00"/>
    <n v="169"/>
    <n v="9"/>
    <n v="4"/>
    <n v="35600"/>
    <n v="0"/>
    <n v="35600"/>
    <x v="3"/>
    <x v="0"/>
    <n v="5"/>
    <s v="Cancún All Inclusive"/>
    <x v="2"/>
    <x v="5"/>
  </r>
  <r>
    <n v="73"/>
    <x v="33"/>
    <d v="2025-08-01T00:00:00"/>
    <n v="37"/>
    <n v="3"/>
    <n v="3"/>
    <n v="7800"/>
    <n v="0"/>
    <n v="7800"/>
    <x v="1"/>
    <x v="0"/>
    <n v="4"/>
    <s v="Serra Gaúcha"/>
    <x v="3"/>
    <x v="2"/>
  </r>
  <r>
    <n v="74"/>
    <x v="33"/>
    <d v="2025-06-05T00:00:00"/>
    <n v="94"/>
    <n v="6"/>
    <n v="2"/>
    <n v="4200"/>
    <n v="0"/>
    <n v="4200"/>
    <x v="0"/>
    <x v="0"/>
    <n v="4"/>
    <s v="Foz do Iguaçu"/>
    <x v="0"/>
    <x v="0"/>
  </r>
  <r>
    <n v="75"/>
    <x v="33"/>
    <d v="2025-02-26T00:00:00"/>
    <n v="54"/>
    <n v="4"/>
    <n v="2"/>
    <n v="13800"/>
    <n v="0.05"/>
    <n v="13110"/>
    <x v="0"/>
    <x v="0"/>
    <n v="4"/>
    <s v="Fernando de Noronha"/>
    <x v="2"/>
    <x v="0"/>
  </r>
  <r>
    <n v="76"/>
    <x v="33"/>
    <d v="2025-03-19T00:00:00"/>
    <n v="122"/>
    <n v="2"/>
    <n v="3"/>
    <n v="5400"/>
    <n v="0"/>
    <n v="5400"/>
    <x v="3"/>
    <x v="0"/>
    <n v="4"/>
    <s v="Rio Cidade Maravilhosa"/>
    <x v="4"/>
    <x v="3"/>
  </r>
  <r>
    <n v="77"/>
    <x v="33"/>
    <d v="2025-03-03T00:00:00"/>
    <n v="70"/>
    <n v="6"/>
    <n v="3"/>
    <n v="6300"/>
    <n v="0"/>
    <n v="6300"/>
    <x v="1"/>
    <x v="0"/>
    <n v="4"/>
    <s v="Foz do Iguaçu"/>
    <x v="0"/>
    <x v="4"/>
  </r>
  <r>
    <n v="78"/>
    <x v="33"/>
    <d v="2025-04-19T00:00:00"/>
    <n v="186"/>
    <n v="7"/>
    <n v="1"/>
    <n v="4200"/>
    <n v="0"/>
    <n v="4200"/>
    <x v="0"/>
    <x v="0"/>
    <n v="3"/>
    <s v="Buenos Aires Clássica"/>
    <x v="4"/>
    <x v="0"/>
  </r>
  <r>
    <n v="79"/>
    <x v="34"/>
    <d v="2025-02-24T00:00:00"/>
    <n v="159"/>
    <n v="6"/>
    <n v="1"/>
    <n v="2100"/>
    <n v="0"/>
    <n v="2100"/>
    <x v="3"/>
    <x v="0"/>
    <n v="5"/>
    <s v="Foz do Iguaçu"/>
    <x v="0"/>
    <x v="1"/>
  </r>
  <r>
    <n v="80"/>
    <x v="34"/>
    <d v="2025-03-02T00:00:00"/>
    <n v="93"/>
    <n v="3"/>
    <n v="3"/>
    <n v="7800"/>
    <n v="0"/>
    <n v="7800"/>
    <x v="0"/>
    <x v="0"/>
    <n v="4"/>
    <s v="Serra Gaúcha"/>
    <x v="3"/>
    <x v="2"/>
  </r>
  <r>
    <n v="81"/>
    <x v="35"/>
    <d v="2025-02-22T00:00:00"/>
    <n v="20"/>
    <n v="11"/>
    <n v="2"/>
    <n v="31600"/>
    <n v="0"/>
    <n v="31600"/>
    <x v="1"/>
    <x v="0"/>
    <n v="5"/>
    <s v="Paris e Londres"/>
    <x v="4"/>
    <x v="3"/>
  </r>
  <r>
    <n v="82"/>
    <x v="35"/>
    <d v="2025-04-16T00:00:00"/>
    <n v="53"/>
    <n v="4"/>
    <n v="1"/>
    <n v="6900"/>
    <n v="0"/>
    <n v="6900"/>
    <x v="2"/>
    <x v="1"/>
    <m/>
    <s v="Fernando de Noronha"/>
    <x v="2"/>
    <x v="0"/>
  </r>
  <r>
    <n v="83"/>
    <x v="36"/>
    <d v="2025-08-13T00:00:00"/>
    <n v="122"/>
    <n v="2"/>
    <n v="2"/>
    <n v="3600"/>
    <n v="0.05"/>
    <n v="3420"/>
    <x v="3"/>
    <x v="0"/>
    <n v="4"/>
    <s v="Rio Cidade Maravilhosa"/>
    <x v="4"/>
    <x v="3"/>
  </r>
  <r>
    <n v="84"/>
    <x v="36"/>
    <d v="2025-02-26T00:00:00"/>
    <n v="130"/>
    <n v="9"/>
    <n v="2"/>
    <n v="17800"/>
    <n v="0"/>
    <n v="17800"/>
    <x v="0"/>
    <x v="0"/>
    <n v="2"/>
    <s v="Cancún All Inclusive"/>
    <x v="2"/>
    <x v="1"/>
  </r>
  <r>
    <n v="85"/>
    <x v="37"/>
    <d v="2025-03-02T00:00:00"/>
    <n v="52"/>
    <n v="5"/>
    <n v="1"/>
    <n v="3400"/>
    <n v="0.15"/>
    <n v="2890"/>
    <x v="1"/>
    <x v="0"/>
    <n v="2"/>
    <s v="Bonito Aventura"/>
    <x v="1"/>
    <x v="1"/>
  </r>
  <r>
    <n v="86"/>
    <x v="38"/>
    <d v="2025-07-11T00:00:00"/>
    <n v="133"/>
    <n v="3"/>
    <n v="4"/>
    <n v="10400"/>
    <n v="0.05"/>
    <n v="9880"/>
    <x v="1"/>
    <x v="0"/>
    <n v="3"/>
    <s v="Serra Gaúcha"/>
    <x v="3"/>
    <x v="1"/>
  </r>
  <r>
    <n v="87"/>
    <x v="38"/>
    <d v="2025-03-10T00:00:00"/>
    <n v="144"/>
    <n v="14"/>
    <n v="1"/>
    <n v="2900"/>
    <n v="0"/>
    <n v="2900"/>
    <x v="2"/>
    <x v="1"/>
    <m/>
    <s v="Lençóis Maranhenses"/>
    <x v="0"/>
    <x v="2"/>
  </r>
  <r>
    <n v="88"/>
    <x v="39"/>
    <d v="2025-04-13T00:00:00"/>
    <n v="185"/>
    <n v="15"/>
    <n v="4"/>
    <n v="12400"/>
    <n v="0.1"/>
    <n v="11160"/>
    <x v="1"/>
    <x v="0"/>
    <n v="4"/>
    <s v="Jericoacoara"/>
    <x v="2"/>
    <x v="1"/>
  </r>
  <r>
    <n v="89"/>
    <x v="40"/>
    <d v="2025-03-06T00:00:00"/>
    <n v="102"/>
    <n v="5"/>
    <n v="2"/>
    <n v="6800"/>
    <n v="0.1"/>
    <n v="6120"/>
    <x v="3"/>
    <x v="0"/>
    <n v="5"/>
    <s v="Bonito Aventura"/>
    <x v="1"/>
    <x v="3"/>
  </r>
  <r>
    <n v="90"/>
    <x v="41"/>
    <d v="2025-03-11T00:00:00"/>
    <n v="74"/>
    <n v="15"/>
    <n v="4"/>
    <n v="12400"/>
    <n v="0.05"/>
    <n v="11780"/>
    <x v="0"/>
    <x v="0"/>
    <n v="5"/>
    <s v="Jericoacoara"/>
    <x v="2"/>
    <x v="1"/>
  </r>
  <r>
    <n v="91"/>
    <x v="41"/>
    <d v="2025-03-11T00:00:00"/>
    <n v="25"/>
    <n v="7"/>
    <n v="4"/>
    <n v="16800"/>
    <n v="0"/>
    <n v="16800"/>
    <x v="1"/>
    <x v="0"/>
    <n v="1"/>
    <s v="Buenos Aires Clássica"/>
    <x v="4"/>
    <x v="7"/>
  </r>
  <r>
    <n v="92"/>
    <x v="42"/>
    <d v="2025-08-16T00:00:00"/>
    <n v="3"/>
    <n v="10"/>
    <n v="3"/>
    <n v="34500"/>
    <n v="0"/>
    <n v="34500"/>
    <x v="3"/>
    <x v="0"/>
    <n v="5"/>
    <s v="Orlando Parques"/>
    <x v="5"/>
    <x v="1"/>
  </r>
  <r>
    <n v="93"/>
    <x v="42"/>
    <d v="2025-03-31T00:00:00"/>
    <n v="87"/>
    <n v="11"/>
    <n v="3"/>
    <n v="47400"/>
    <n v="0.05"/>
    <n v="45030"/>
    <x v="1"/>
    <x v="1"/>
    <m/>
    <s v="Paris e Londres"/>
    <x v="4"/>
    <x v="1"/>
  </r>
  <r>
    <n v="94"/>
    <x v="43"/>
    <d v="2025-03-15T00:00:00"/>
    <n v="135"/>
    <n v="7"/>
    <n v="2"/>
    <n v="8400"/>
    <n v="0.05"/>
    <n v="7980"/>
    <x v="1"/>
    <x v="0"/>
    <n v="4"/>
    <s v="Buenos Aires Clássica"/>
    <x v="4"/>
    <x v="0"/>
  </r>
  <r>
    <n v="95"/>
    <x v="44"/>
    <d v="2025-05-14T00:00:00"/>
    <n v="52"/>
    <n v="7"/>
    <n v="4"/>
    <n v="16800"/>
    <n v="0"/>
    <n v="16800"/>
    <x v="1"/>
    <x v="0"/>
    <n v="5"/>
    <s v="Buenos Aires Clássica"/>
    <x v="4"/>
    <x v="1"/>
  </r>
  <r>
    <n v="96"/>
    <x v="44"/>
    <d v="2025-03-03T00:00:00"/>
    <n v="19"/>
    <n v="1"/>
    <n v="4"/>
    <n v="12800"/>
    <n v="0.1"/>
    <n v="11520"/>
    <x v="0"/>
    <x v="0"/>
    <n v="4"/>
    <s v="Nordeste Encantado"/>
    <x v="2"/>
    <x v="1"/>
  </r>
  <r>
    <n v="97"/>
    <x v="45"/>
    <d v="2025-05-07T00:00:00"/>
    <n v="137"/>
    <n v="12"/>
    <n v="2"/>
    <n v="24800"/>
    <n v="0"/>
    <n v="24800"/>
    <x v="0"/>
    <x v="0"/>
    <n v="5"/>
    <s v="Lisboa e Porto"/>
    <x v="4"/>
    <x v="1"/>
  </r>
  <r>
    <n v="98"/>
    <x v="45"/>
    <d v="2025-05-17T00:00:00"/>
    <n v="142"/>
    <n v="2"/>
    <n v="2"/>
    <n v="3600"/>
    <n v="0"/>
    <n v="3600"/>
    <x v="3"/>
    <x v="0"/>
    <n v="3"/>
    <s v="Rio Cidade Maravilhosa"/>
    <x v="4"/>
    <x v="0"/>
  </r>
  <r>
    <n v="99"/>
    <x v="45"/>
    <d v="2025-03-18T00:00:00"/>
    <n v="51"/>
    <n v="1"/>
    <n v="2"/>
    <n v="6400"/>
    <n v="0.1"/>
    <n v="5760"/>
    <x v="2"/>
    <x v="0"/>
    <n v="4"/>
    <s v="Nordeste Encantado"/>
    <x v="2"/>
    <x v="0"/>
  </r>
  <r>
    <n v="100"/>
    <x v="46"/>
    <d v="2025-03-14T00:00:00"/>
    <n v="64"/>
    <n v="5"/>
    <n v="3"/>
    <n v="10200"/>
    <n v="0.1"/>
    <n v="9180"/>
    <x v="0"/>
    <x v="0"/>
    <n v="4"/>
    <s v="Bonito Aventura"/>
    <x v="1"/>
    <x v="7"/>
  </r>
  <r>
    <n v="101"/>
    <x v="47"/>
    <d v="2025-03-25T00:00:00"/>
    <n v="41"/>
    <n v="11"/>
    <n v="2"/>
    <n v="31600"/>
    <n v="0"/>
    <n v="31600"/>
    <x v="0"/>
    <x v="0"/>
    <n v="5"/>
    <s v="Paris e Londres"/>
    <x v="4"/>
    <x v="6"/>
  </r>
  <r>
    <n v="102"/>
    <x v="47"/>
    <d v="2025-03-19T00:00:00"/>
    <n v="125"/>
    <n v="1"/>
    <n v="2"/>
    <n v="6400"/>
    <n v="0"/>
    <n v="6400"/>
    <x v="0"/>
    <x v="0"/>
    <n v="3"/>
    <s v="Nordeste Encantado"/>
    <x v="2"/>
    <x v="4"/>
  </r>
  <r>
    <n v="103"/>
    <x v="47"/>
    <d v="2025-05-16T00:00:00"/>
    <n v="29"/>
    <n v="3"/>
    <n v="1"/>
    <n v="2600"/>
    <n v="0"/>
    <n v="2600"/>
    <x v="0"/>
    <x v="1"/>
    <m/>
    <s v="Serra Gaúcha"/>
    <x v="3"/>
    <x v="1"/>
  </r>
  <r>
    <n v="104"/>
    <x v="48"/>
    <d v="2025-07-13T00:00:00"/>
    <n v="26"/>
    <n v="13"/>
    <n v="2"/>
    <n v="14600"/>
    <n v="0.1"/>
    <n v="13140"/>
    <x v="1"/>
    <x v="0"/>
    <n v="4"/>
    <s v="Machu Picchu"/>
    <x v="1"/>
    <x v="1"/>
  </r>
  <r>
    <n v="105"/>
    <x v="48"/>
    <d v="2025-03-19T00:00:00"/>
    <n v="68"/>
    <n v="15"/>
    <n v="1"/>
    <n v="3100"/>
    <n v="0.15"/>
    <n v="2635"/>
    <x v="0"/>
    <x v="0"/>
    <n v="5"/>
    <s v="Jericoacoara"/>
    <x v="2"/>
    <x v="5"/>
  </r>
  <r>
    <n v="106"/>
    <x v="49"/>
    <d v="2025-04-25T00:00:00"/>
    <n v="171"/>
    <n v="4"/>
    <n v="1"/>
    <n v="6900"/>
    <n v="0"/>
    <n v="6900"/>
    <x v="0"/>
    <x v="0"/>
    <n v="5"/>
    <s v="Fernando de Noronha"/>
    <x v="2"/>
    <x v="1"/>
  </r>
  <r>
    <n v="107"/>
    <x v="49"/>
    <d v="2025-06-09T00:00:00"/>
    <n v="168"/>
    <n v="12"/>
    <n v="1"/>
    <n v="12400"/>
    <n v="0.05"/>
    <n v="11780"/>
    <x v="1"/>
    <x v="0"/>
    <n v="4"/>
    <s v="Lisboa e Porto"/>
    <x v="4"/>
    <x v="1"/>
  </r>
  <r>
    <n v="108"/>
    <x v="49"/>
    <d v="2025-07-20T00:00:00"/>
    <n v="8"/>
    <n v="8"/>
    <n v="4"/>
    <n v="23600"/>
    <n v="0.1"/>
    <n v="21240"/>
    <x v="0"/>
    <x v="0"/>
    <n v="5"/>
    <s v="Santiago e Neve"/>
    <x v="3"/>
    <x v="1"/>
  </r>
  <r>
    <n v="109"/>
    <x v="50"/>
    <d v="2025-04-16T00:00:00"/>
    <n v="108"/>
    <n v="1"/>
    <n v="1"/>
    <n v="3200"/>
    <n v="0"/>
    <n v="3200"/>
    <x v="0"/>
    <x v="1"/>
    <m/>
    <s v="Nordeste Encantado"/>
    <x v="2"/>
    <x v="4"/>
  </r>
  <r>
    <n v="110"/>
    <x v="50"/>
    <d v="2025-07-25T00:00:00"/>
    <n v="21"/>
    <n v="2"/>
    <n v="2"/>
    <n v="3600"/>
    <n v="0.1"/>
    <n v="3240"/>
    <x v="1"/>
    <x v="0"/>
    <n v="4"/>
    <s v="Rio Cidade Maravilhosa"/>
    <x v="4"/>
    <x v="4"/>
  </r>
  <r>
    <n v="111"/>
    <x v="51"/>
    <d v="2025-03-18T00:00:00"/>
    <n v="19"/>
    <n v="12"/>
    <n v="2"/>
    <n v="24800"/>
    <n v="0.1"/>
    <n v="22320"/>
    <x v="3"/>
    <x v="0"/>
    <n v="5"/>
    <s v="Lisboa e Porto"/>
    <x v="4"/>
    <x v="1"/>
  </r>
  <r>
    <n v="112"/>
    <x v="52"/>
    <d v="2025-06-17T00:00:00"/>
    <n v="135"/>
    <n v="9"/>
    <n v="2"/>
    <n v="17800"/>
    <n v="0"/>
    <n v="17800"/>
    <x v="3"/>
    <x v="0"/>
    <n v="4"/>
    <s v="Cancún All Inclusive"/>
    <x v="2"/>
    <x v="0"/>
  </r>
  <r>
    <n v="113"/>
    <x v="53"/>
    <d v="2025-03-26T00:00:00"/>
    <n v="22"/>
    <n v="15"/>
    <n v="1"/>
    <n v="3100"/>
    <n v="0"/>
    <n v="3100"/>
    <x v="1"/>
    <x v="0"/>
    <n v="5"/>
    <s v="Jericoacoara"/>
    <x v="2"/>
    <x v="1"/>
  </r>
  <r>
    <n v="114"/>
    <x v="54"/>
    <d v="2025-04-05T00:00:00"/>
    <n v="156"/>
    <n v="3"/>
    <n v="1"/>
    <n v="2600"/>
    <n v="0.1"/>
    <n v="2340"/>
    <x v="0"/>
    <x v="0"/>
    <n v="4"/>
    <s v="Serra Gaúcha"/>
    <x v="3"/>
    <x v="1"/>
  </r>
  <r>
    <n v="115"/>
    <x v="55"/>
    <d v="2025-04-11T00:00:00"/>
    <n v="188"/>
    <n v="15"/>
    <n v="1"/>
    <n v="3100"/>
    <n v="0"/>
    <n v="3100"/>
    <x v="2"/>
    <x v="0"/>
    <n v="5"/>
    <s v="Jericoacoara"/>
    <x v="2"/>
    <x v="1"/>
  </r>
  <r>
    <n v="116"/>
    <x v="55"/>
    <d v="2025-03-24T00:00:00"/>
    <n v="194"/>
    <n v="14"/>
    <n v="2"/>
    <n v="5800"/>
    <n v="0.15"/>
    <n v="4930"/>
    <x v="0"/>
    <x v="1"/>
    <m/>
    <s v="Lençóis Maranhenses"/>
    <x v="0"/>
    <x v="2"/>
  </r>
  <r>
    <n v="117"/>
    <x v="55"/>
    <d v="2025-05-29T00:00:00"/>
    <n v="6"/>
    <n v="14"/>
    <n v="1"/>
    <n v="2900"/>
    <n v="0.1"/>
    <n v="2610"/>
    <x v="0"/>
    <x v="1"/>
    <m/>
    <s v="Lençóis Maranhenses"/>
    <x v="0"/>
    <x v="1"/>
  </r>
  <r>
    <n v="118"/>
    <x v="56"/>
    <d v="2025-04-30T00:00:00"/>
    <n v="100"/>
    <n v="1"/>
    <n v="2"/>
    <n v="6400"/>
    <n v="0"/>
    <n v="6400"/>
    <x v="0"/>
    <x v="1"/>
    <m/>
    <s v="Nordeste Encantado"/>
    <x v="2"/>
    <x v="1"/>
  </r>
  <r>
    <n v="119"/>
    <x v="56"/>
    <d v="2025-03-29T00:00:00"/>
    <n v="155"/>
    <n v="11"/>
    <n v="1"/>
    <n v="15800"/>
    <n v="0"/>
    <n v="15800"/>
    <x v="2"/>
    <x v="0"/>
    <n v="5"/>
    <s v="Paris e Londres"/>
    <x v="4"/>
    <x v="1"/>
  </r>
  <r>
    <n v="120"/>
    <x v="56"/>
    <d v="2025-08-24T00:00:00"/>
    <n v="179"/>
    <n v="8"/>
    <n v="4"/>
    <n v="23600"/>
    <n v="0"/>
    <n v="23600"/>
    <x v="3"/>
    <x v="0"/>
    <n v="1"/>
    <s v="Santiago e Neve"/>
    <x v="3"/>
    <x v="1"/>
  </r>
  <r>
    <n v="121"/>
    <x v="56"/>
    <d v="2025-06-03T00:00:00"/>
    <n v="115"/>
    <n v="15"/>
    <n v="2"/>
    <n v="6200"/>
    <n v="0"/>
    <n v="6200"/>
    <x v="1"/>
    <x v="0"/>
    <n v="4"/>
    <s v="Jericoacoara"/>
    <x v="2"/>
    <x v="1"/>
  </r>
  <r>
    <n v="122"/>
    <x v="57"/>
    <d v="2025-04-18T00:00:00"/>
    <n v="82"/>
    <n v="13"/>
    <n v="2"/>
    <n v="14600"/>
    <n v="0.05"/>
    <n v="13870"/>
    <x v="1"/>
    <x v="0"/>
    <n v="1"/>
    <s v="Machu Picchu"/>
    <x v="1"/>
    <x v="1"/>
  </r>
  <r>
    <n v="123"/>
    <x v="58"/>
    <d v="2025-04-10T00:00:00"/>
    <n v="25"/>
    <n v="14"/>
    <n v="1"/>
    <n v="2900"/>
    <n v="0.05"/>
    <n v="2755"/>
    <x v="0"/>
    <x v="0"/>
    <n v="3"/>
    <s v="Lençóis Maranhenses"/>
    <x v="0"/>
    <x v="7"/>
  </r>
  <r>
    <n v="124"/>
    <x v="58"/>
    <d v="2025-06-14T00:00:00"/>
    <n v="112"/>
    <n v="8"/>
    <n v="2"/>
    <n v="11800"/>
    <n v="0.1"/>
    <n v="10620"/>
    <x v="0"/>
    <x v="1"/>
    <m/>
    <s v="Santiago e Neve"/>
    <x v="3"/>
    <x v="1"/>
  </r>
  <r>
    <n v="125"/>
    <x v="58"/>
    <d v="2025-03-25T00:00:00"/>
    <n v="197"/>
    <n v="15"/>
    <n v="4"/>
    <n v="12400"/>
    <n v="0"/>
    <n v="12400"/>
    <x v="0"/>
    <x v="0"/>
    <n v="4"/>
    <s v="Jericoacoara"/>
    <x v="2"/>
    <x v="1"/>
  </r>
  <r>
    <n v="126"/>
    <x v="59"/>
    <d v="2025-03-30T00:00:00"/>
    <n v="137"/>
    <n v="3"/>
    <n v="2"/>
    <n v="5200"/>
    <n v="0.05"/>
    <n v="4940"/>
    <x v="1"/>
    <x v="0"/>
    <n v="5"/>
    <s v="Serra Gaúcha"/>
    <x v="3"/>
    <x v="1"/>
  </r>
  <r>
    <n v="127"/>
    <x v="60"/>
    <d v="2025-08-09T00:00:00"/>
    <n v="17"/>
    <n v="2"/>
    <n v="1"/>
    <n v="1800"/>
    <n v="0"/>
    <n v="1800"/>
    <x v="0"/>
    <x v="0"/>
    <n v="4"/>
    <s v="Rio Cidade Maravilhosa"/>
    <x v="4"/>
    <x v="0"/>
  </r>
  <r>
    <n v="128"/>
    <x v="60"/>
    <d v="2025-03-29T00:00:00"/>
    <n v="78"/>
    <n v="7"/>
    <n v="1"/>
    <n v="4200"/>
    <n v="0.15"/>
    <n v="3570"/>
    <x v="0"/>
    <x v="0"/>
    <n v="5"/>
    <s v="Buenos Aires Clássica"/>
    <x v="4"/>
    <x v="3"/>
  </r>
  <r>
    <n v="129"/>
    <x v="61"/>
    <d v="2025-03-22T00:00:00"/>
    <n v="2"/>
    <n v="15"/>
    <n v="2"/>
    <n v="6200"/>
    <n v="0.1"/>
    <n v="5580"/>
    <x v="3"/>
    <x v="0"/>
    <n v="4"/>
    <s v="Jericoacoara"/>
    <x v="2"/>
    <x v="0"/>
  </r>
  <r>
    <n v="130"/>
    <x v="62"/>
    <d v="2025-05-11T00:00:00"/>
    <n v="175"/>
    <n v="1"/>
    <n v="2"/>
    <n v="6400"/>
    <n v="0.1"/>
    <n v="5760"/>
    <x v="2"/>
    <x v="0"/>
    <n v="5"/>
    <s v="Nordeste Encantado"/>
    <x v="2"/>
    <x v="5"/>
  </r>
  <r>
    <n v="131"/>
    <x v="62"/>
    <d v="2025-03-29T00:00:00"/>
    <n v="130"/>
    <n v="15"/>
    <n v="2"/>
    <n v="6200"/>
    <n v="0"/>
    <n v="6200"/>
    <x v="1"/>
    <x v="1"/>
    <m/>
    <s v="Jericoacoara"/>
    <x v="2"/>
    <x v="1"/>
  </r>
  <r>
    <n v="132"/>
    <x v="62"/>
    <d v="2025-03-25T00:00:00"/>
    <n v="171"/>
    <n v="7"/>
    <n v="1"/>
    <n v="4200"/>
    <n v="0.05"/>
    <n v="3990"/>
    <x v="1"/>
    <x v="0"/>
    <n v="5"/>
    <s v="Buenos Aires Clássica"/>
    <x v="4"/>
    <x v="1"/>
  </r>
  <r>
    <n v="133"/>
    <x v="62"/>
    <d v="2025-03-21T00:00:00"/>
    <n v="142"/>
    <n v="7"/>
    <n v="2"/>
    <n v="8400"/>
    <n v="0.15"/>
    <n v="7140"/>
    <x v="0"/>
    <x v="0"/>
    <n v="5"/>
    <s v="Buenos Aires Clássica"/>
    <x v="4"/>
    <x v="0"/>
  </r>
  <r>
    <n v="134"/>
    <x v="63"/>
    <d v="2025-06-24T00:00:00"/>
    <n v="56"/>
    <n v="4"/>
    <n v="1"/>
    <n v="6900"/>
    <n v="0"/>
    <n v="6900"/>
    <x v="0"/>
    <x v="0"/>
    <n v="4"/>
    <s v="Fernando de Noronha"/>
    <x v="2"/>
    <x v="6"/>
  </r>
  <r>
    <n v="135"/>
    <x v="64"/>
    <d v="2025-04-16T00:00:00"/>
    <n v="180"/>
    <n v="4"/>
    <n v="2"/>
    <n v="13800"/>
    <n v="0.1"/>
    <n v="12420"/>
    <x v="3"/>
    <x v="0"/>
    <n v="4"/>
    <s v="Fernando de Noronha"/>
    <x v="2"/>
    <x v="3"/>
  </r>
  <r>
    <n v="136"/>
    <x v="64"/>
    <d v="2025-05-14T00:00:00"/>
    <n v="79"/>
    <n v="5"/>
    <n v="1"/>
    <n v="3400"/>
    <n v="0"/>
    <n v="3400"/>
    <x v="2"/>
    <x v="0"/>
    <n v="5"/>
    <s v="Bonito Aventura"/>
    <x v="1"/>
    <x v="0"/>
  </r>
  <r>
    <n v="137"/>
    <x v="64"/>
    <d v="2025-04-03T00:00:00"/>
    <n v="76"/>
    <n v="3"/>
    <n v="1"/>
    <n v="2600"/>
    <n v="0"/>
    <n v="2600"/>
    <x v="1"/>
    <x v="1"/>
    <m/>
    <s v="Serra Gaúcha"/>
    <x v="3"/>
    <x v="2"/>
  </r>
  <r>
    <n v="138"/>
    <x v="65"/>
    <d v="2025-04-20T00:00:00"/>
    <n v="179"/>
    <n v="6"/>
    <n v="2"/>
    <n v="4200"/>
    <n v="0"/>
    <n v="4200"/>
    <x v="0"/>
    <x v="1"/>
    <m/>
    <s v="Foz do Iguaçu"/>
    <x v="0"/>
    <x v="1"/>
  </r>
  <r>
    <n v="139"/>
    <x v="65"/>
    <d v="2025-04-12T00:00:00"/>
    <n v="9"/>
    <n v="8"/>
    <n v="1"/>
    <n v="5900"/>
    <n v="0"/>
    <n v="5900"/>
    <x v="1"/>
    <x v="0"/>
    <n v="5"/>
    <s v="Santiago e Neve"/>
    <x v="3"/>
    <x v="4"/>
  </r>
  <r>
    <n v="140"/>
    <x v="66"/>
    <d v="2025-06-07T00:00:00"/>
    <n v="171"/>
    <n v="2"/>
    <n v="1"/>
    <n v="1800"/>
    <n v="0.1"/>
    <n v="1620"/>
    <x v="0"/>
    <x v="1"/>
    <m/>
    <s v="Rio Cidade Maravilhosa"/>
    <x v="4"/>
    <x v="1"/>
  </r>
  <r>
    <n v="141"/>
    <x v="66"/>
    <d v="2025-03-30T00:00:00"/>
    <n v="194"/>
    <n v="6"/>
    <n v="2"/>
    <n v="4200"/>
    <n v="0.05"/>
    <n v="3990"/>
    <x v="1"/>
    <x v="0"/>
    <n v="5"/>
    <s v="Foz do Iguaçu"/>
    <x v="0"/>
    <x v="2"/>
  </r>
  <r>
    <n v="142"/>
    <x v="67"/>
    <d v="2025-07-01T00:00:00"/>
    <n v="84"/>
    <n v="2"/>
    <n v="2"/>
    <n v="3600"/>
    <n v="0"/>
    <n v="3600"/>
    <x v="1"/>
    <x v="0"/>
    <n v="5"/>
    <s v="Rio Cidade Maravilhosa"/>
    <x v="4"/>
    <x v="6"/>
  </r>
  <r>
    <n v="143"/>
    <x v="68"/>
    <d v="2025-05-13T00:00:00"/>
    <n v="166"/>
    <n v="5"/>
    <n v="2"/>
    <n v="6800"/>
    <n v="0"/>
    <n v="6800"/>
    <x v="1"/>
    <x v="0"/>
    <n v="5"/>
    <s v="Bonito Aventura"/>
    <x v="1"/>
    <x v="0"/>
  </r>
  <r>
    <n v="144"/>
    <x v="68"/>
    <d v="2025-04-03T00:00:00"/>
    <n v="36"/>
    <n v="5"/>
    <n v="2"/>
    <n v="6800"/>
    <n v="0"/>
    <n v="6800"/>
    <x v="3"/>
    <x v="0"/>
    <n v="5"/>
    <s v="Bonito Aventura"/>
    <x v="1"/>
    <x v="1"/>
  </r>
  <r>
    <n v="145"/>
    <x v="68"/>
    <d v="2025-05-06T00:00:00"/>
    <n v="165"/>
    <n v="15"/>
    <n v="2"/>
    <n v="6200"/>
    <n v="0"/>
    <n v="6200"/>
    <x v="1"/>
    <x v="1"/>
    <m/>
    <s v="Jericoacoara"/>
    <x v="2"/>
    <x v="1"/>
  </r>
  <r>
    <n v="146"/>
    <x v="69"/>
    <d v="2025-04-12T00:00:00"/>
    <n v="162"/>
    <n v="12"/>
    <n v="1"/>
    <n v="12400"/>
    <n v="0"/>
    <n v="12400"/>
    <x v="1"/>
    <x v="0"/>
    <n v="4"/>
    <s v="Lisboa e Porto"/>
    <x v="4"/>
    <x v="1"/>
  </r>
  <r>
    <n v="147"/>
    <x v="69"/>
    <d v="2025-04-06T00:00:00"/>
    <n v="35"/>
    <n v="7"/>
    <n v="2"/>
    <n v="8400"/>
    <n v="0.1"/>
    <n v="7560"/>
    <x v="0"/>
    <x v="0"/>
    <n v="3"/>
    <s v="Buenos Aires Clássica"/>
    <x v="4"/>
    <x v="2"/>
  </r>
  <r>
    <n v="148"/>
    <x v="69"/>
    <d v="2025-06-23T00:00:00"/>
    <n v="106"/>
    <n v="3"/>
    <n v="1"/>
    <n v="2600"/>
    <n v="0"/>
    <n v="2600"/>
    <x v="2"/>
    <x v="0"/>
    <n v="5"/>
    <s v="Serra Gaúcha"/>
    <x v="3"/>
    <x v="7"/>
  </r>
  <r>
    <n v="149"/>
    <x v="70"/>
    <d v="2025-04-27T00:00:00"/>
    <n v="152"/>
    <n v="1"/>
    <n v="3"/>
    <n v="9600"/>
    <n v="0"/>
    <n v="9600"/>
    <x v="3"/>
    <x v="0"/>
    <n v="4"/>
    <s v="Nordeste Encantado"/>
    <x v="2"/>
    <x v="1"/>
  </r>
  <r>
    <n v="150"/>
    <x v="71"/>
    <d v="2025-06-06T00:00:00"/>
    <n v="25"/>
    <n v="10"/>
    <n v="2"/>
    <n v="23000"/>
    <n v="0"/>
    <n v="23000"/>
    <x v="3"/>
    <x v="0"/>
    <n v="5"/>
    <s v="Orlando Parques"/>
    <x v="5"/>
    <x v="7"/>
  </r>
  <r>
    <n v="151"/>
    <x v="72"/>
    <d v="2025-05-19T00:00:00"/>
    <n v="83"/>
    <n v="6"/>
    <n v="1"/>
    <n v="2100"/>
    <n v="0"/>
    <n v="2100"/>
    <x v="0"/>
    <x v="0"/>
    <n v="3"/>
    <s v="Foz do Iguaçu"/>
    <x v="0"/>
    <x v="1"/>
  </r>
  <r>
    <n v="152"/>
    <x v="72"/>
    <d v="2025-08-21T00:00:00"/>
    <n v="143"/>
    <n v="13"/>
    <n v="4"/>
    <n v="29200"/>
    <n v="0"/>
    <n v="29200"/>
    <x v="0"/>
    <x v="0"/>
    <n v="5"/>
    <s v="Machu Picchu"/>
    <x v="1"/>
    <x v="2"/>
  </r>
  <r>
    <n v="153"/>
    <x v="72"/>
    <d v="2025-04-07T00:00:00"/>
    <n v="99"/>
    <n v="10"/>
    <n v="4"/>
    <n v="46000"/>
    <n v="0"/>
    <n v="46000"/>
    <x v="1"/>
    <x v="0"/>
    <n v="3"/>
    <s v="Orlando Parques"/>
    <x v="5"/>
    <x v="1"/>
  </r>
  <r>
    <n v="154"/>
    <x v="73"/>
    <d v="2025-05-07T00:00:00"/>
    <n v="127"/>
    <n v="7"/>
    <n v="5"/>
    <n v="21000"/>
    <n v="0.1"/>
    <n v="18900"/>
    <x v="0"/>
    <x v="1"/>
    <m/>
    <s v="Buenos Aires Clássica"/>
    <x v="4"/>
    <x v="1"/>
  </r>
  <r>
    <n v="155"/>
    <x v="73"/>
    <d v="2025-04-15T00:00:00"/>
    <n v="31"/>
    <n v="11"/>
    <n v="4"/>
    <n v="63200"/>
    <n v="0.05"/>
    <n v="60040"/>
    <x v="3"/>
    <x v="1"/>
    <m/>
    <s v="Paris e Londres"/>
    <x v="4"/>
    <x v="1"/>
  </r>
  <r>
    <n v="156"/>
    <x v="73"/>
    <d v="2025-05-20T00:00:00"/>
    <n v="2"/>
    <n v="12"/>
    <n v="4"/>
    <n v="49600"/>
    <n v="0"/>
    <n v="49600"/>
    <x v="0"/>
    <x v="1"/>
    <m/>
    <s v="Lisboa e Porto"/>
    <x v="4"/>
    <x v="0"/>
  </r>
  <r>
    <n v="157"/>
    <x v="73"/>
    <d v="2025-06-13T00:00:00"/>
    <n v="118"/>
    <n v="8"/>
    <n v="2"/>
    <n v="11800"/>
    <n v="0.15"/>
    <n v="10030"/>
    <x v="0"/>
    <x v="0"/>
    <n v="5"/>
    <s v="Santiago e Neve"/>
    <x v="3"/>
    <x v="1"/>
  </r>
  <r>
    <n v="158"/>
    <x v="73"/>
    <d v="2025-04-19T00:00:00"/>
    <n v="192"/>
    <n v="12"/>
    <n v="2"/>
    <n v="24800"/>
    <n v="0"/>
    <n v="24800"/>
    <x v="0"/>
    <x v="0"/>
    <n v="4"/>
    <s v="Lisboa e Porto"/>
    <x v="4"/>
    <x v="1"/>
  </r>
  <r>
    <n v="159"/>
    <x v="74"/>
    <d v="2025-08-30T00:00:00"/>
    <n v="90"/>
    <n v="9"/>
    <n v="1"/>
    <n v="8900"/>
    <n v="0.1"/>
    <n v="8010"/>
    <x v="0"/>
    <x v="0"/>
    <n v="5"/>
    <s v="Cancún All Inclusive"/>
    <x v="2"/>
    <x v="6"/>
  </r>
  <r>
    <n v="160"/>
    <x v="74"/>
    <d v="2025-05-20T00:00:00"/>
    <n v="57"/>
    <n v="1"/>
    <n v="2"/>
    <n v="6400"/>
    <n v="0.05"/>
    <n v="6080"/>
    <x v="3"/>
    <x v="0"/>
    <n v="4"/>
    <s v="Nordeste Encantado"/>
    <x v="2"/>
    <x v="4"/>
  </r>
  <r>
    <n v="161"/>
    <x v="74"/>
    <d v="2025-08-16T00:00:00"/>
    <n v="128"/>
    <n v="2"/>
    <n v="4"/>
    <n v="7200"/>
    <n v="0"/>
    <n v="7200"/>
    <x v="3"/>
    <x v="0"/>
    <n v="4"/>
    <s v="Rio Cidade Maravilhosa"/>
    <x v="4"/>
    <x v="2"/>
  </r>
  <r>
    <n v="162"/>
    <x v="75"/>
    <d v="2025-08-19T00:00:00"/>
    <n v="72"/>
    <n v="2"/>
    <n v="3"/>
    <n v="5400"/>
    <n v="0"/>
    <n v="5400"/>
    <x v="0"/>
    <x v="0"/>
    <n v="5"/>
    <s v="Rio Cidade Maravilhosa"/>
    <x v="4"/>
    <x v="3"/>
  </r>
  <r>
    <n v="163"/>
    <x v="75"/>
    <d v="2025-04-20T00:00:00"/>
    <n v="91"/>
    <n v="7"/>
    <n v="2"/>
    <n v="8400"/>
    <n v="0"/>
    <n v="8400"/>
    <x v="2"/>
    <x v="0"/>
    <n v="3"/>
    <s v="Buenos Aires Clássica"/>
    <x v="4"/>
    <x v="1"/>
  </r>
  <r>
    <n v="164"/>
    <x v="75"/>
    <d v="2025-09-29T00:00:00"/>
    <n v="40"/>
    <n v="13"/>
    <n v="2"/>
    <n v="14600"/>
    <n v="0.1"/>
    <n v="13140"/>
    <x v="0"/>
    <x v="0"/>
    <n v="5"/>
    <s v="Machu Picchu"/>
    <x v="1"/>
    <x v="0"/>
  </r>
  <r>
    <n v="165"/>
    <x v="76"/>
    <d v="2025-05-26T00:00:00"/>
    <n v="39"/>
    <n v="1"/>
    <n v="3"/>
    <n v="9600"/>
    <n v="0"/>
    <n v="9600"/>
    <x v="0"/>
    <x v="0"/>
    <n v="4"/>
    <s v="Nordeste Encantado"/>
    <x v="2"/>
    <x v="0"/>
  </r>
  <r>
    <n v="166"/>
    <x v="76"/>
    <d v="2025-05-09T00:00:00"/>
    <n v="119"/>
    <n v="2"/>
    <n v="2"/>
    <n v="3600"/>
    <n v="0"/>
    <n v="3600"/>
    <x v="2"/>
    <x v="0"/>
    <n v="3"/>
    <s v="Rio Cidade Maravilhosa"/>
    <x v="4"/>
    <x v="1"/>
  </r>
  <r>
    <n v="167"/>
    <x v="76"/>
    <d v="2025-05-18T00:00:00"/>
    <n v="53"/>
    <n v="2"/>
    <n v="2"/>
    <n v="3600"/>
    <n v="0"/>
    <n v="3600"/>
    <x v="2"/>
    <x v="0"/>
    <n v="5"/>
    <s v="Rio Cidade Maravilhosa"/>
    <x v="4"/>
    <x v="0"/>
  </r>
  <r>
    <n v="168"/>
    <x v="77"/>
    <d v="2025-06-06T00:00:00"/>
    <n v="29"/>
    <n v="10"/>
    <n v="1"/>
    <n v="11500"/>
    <n v="0"/>
    <n v="11500"/>
    <x v="2"/>
    <x v="0"/>
    <n v="4"/>
    <s v="Orlando Parques"/>
    <x v="5"/>
    <x v="1"/>
  </r>
  <r>
    <n v="169"/>
    <x v="77"/>
    <d v="2025-07-04T00:00:00"/>
    <n v="14"/>
    <n v="1"/>
    <n v="3"/>
    <n v="9600"/>
    <n v="0"/>
    <n v="9600"/>
    <x v="0"/>
    <x v="0"/>
    <n v="5"/>
    <s v="Nordeste Encantado"/>
    <x v="2"/>
    <x v="7"/>
  </r>
  <r>
    <n v="170"/>
    <x v="77"/>
    <d v="2025-08-02T00:00:00"/>
    <n v="174"/>
    <n v="11"/>
    <n v="3"/>
    <n v="47400"/>
    <n v="0.1"/>
    <n v="42660"/>
    <x v="0"/>
    <x v="0"/>
    <n v="3"/>
    <s v="Paris e Londres"/>
    <x v="4"/>
    <x v="1"/>
  </r>
  <r>
    <n v="171"/>
    <x v="77"/>
    <d v="2025-09-19T00:00:00"/>
    <n v="140"/>
    <n v="12"/>
    <n v="2"/>
    <n v="24800"/>
    <n v="0.1"/>
    <n v="22320"/>
    <x v="1"/>
    <x v="0"/>
    <n v="2"/>
    <s v="Lisboa e Porto"/>
    <x v="4"/>
    <x v="0"/>
  </r>
  <r>
    <n v="172"/>
    <x v="77"/>
    <d v="2025-04-26T00:00:00"/>
    <n v="76"/>
    <n v="8"/>
    <n v="1"/>
    <n v="5900"/>
    <n v="0.1"/>
    <n v="5310"/>
    <x v="0"/>
    <x v="0"/>
    <n v="4"/>
    <s v="Santiago e Neve"/>
    <x v="3"/>
    <x v="2"/>
  </r>
  <r>
    <n v="173"/>
    <x v="78"/>
    <d v="2025-06-08T00:00:00"/>
    <n v="136"/>
    <n v="2"/>
    <n v="1"/>
    <n v="1800"/>
    <n v="0.1"/>
    <n v="1620"/>
    <x v="1"/>
    <x v="1"/>
    <m/>
    <s v="Rio Cidade Maravilhosa"/>
    <x v="4"/>
    <x v="4"/>
  </r>
  <r>
    <n v="174"/>
    <x v="78"/>
    <d v="2025-08-30T00:00:00"/>
    <n v="27"/>
    <n v="3"/>
    <n v="1"/>
    <n v="2600"/>
    <n v="0.1"/>
    <n v="2340"/>
    <x v="2"/>
    <x v="1"/>
    <m/>
    <s v="Serra Gaúcha"/>
    <x v="3"/>
    <x v="3"/>
  </r>
  <r>
    <n v="175"/>
    <x v="78"/>
    <d v="2025-04-18T00:00:00"/>
    <n v="187"/>
    <n v="3"/>
    <n v="2"/>
    <n v="5200"/>
    <n v="0"/>
    <n v="5200"/>
    <x v="0"/>
    <x v="0"/>
    <n v="5"/>
    <s v="Serra Gaúcha"/>
    <x v="3"/>
    <x v="5"/>
  </r>
  <r>
    <n v="176"/>
    <x v="78"/>
    <d v="2025-09-13T00:00:00"/>
    <n v="110"/>
    <n v="14"/>
    <n v="3"/>
    <n v="8700"/>
    <n v="0"/>
    <n v="8700"/>
    <x v="0"/>
    <x v="0"/>
    <n v="5"/>
    <s v="Lençóis Maranhenses"/>
    <x v="0"/>
    <x v="1"/>
  </r>
  <r>
    <n v="177"/>
    <x v="79"/>
    <d v="2025-06-16T00:00:00"/>
    <n v="139"/>
    <n v="1"/>
    <n v="1"/>
    <n v="3200"/>
    <n v="0"/>
    <n v="3200"/>
    <x v="3"/>
    <x v="0"/>
    <n v="3"/>
    <s v="Nordeste Encantado"/>
    <x v="2"/>
    <x v="1"/>
  </r>
  <r>
    <n v="178"/>
    <x v="80"/>
    <d v="2025-04-27T00:00:00"/>
    <n v="181"/>
    <n v="1"/>
    <n v="1"/>
    <n v="3200"/>
    <n v="0.05"/>
    <n v="3040"/>
    <x v="1"/>
    <x v="0"/>
    <n v="4"/>
    <s v="Nordeste Encantado"/>
    <x v="2"/>
    <x v="0"/>
  </r>
  <r>
    <n v="179"/>
    <x v="80"/>
    <d v="2025-05-20T00:00:00"/>
    <n v="1"/>
    <n v="13"/>
    <n v="3"/>
    <n v="21900"/>
    <n v="0.05"/>
    <n v="20805"/>
    <x v="0"/>
    <x v="0"/>
    <n v="5"/>
    <s v="Machu Picchu"/>
    <x v="1"/>
    <x v="2"/>
  </r>
  <r>
    <n v="180"/>
    <x v="81"/>
    <d v="2025-06-09T00:00:00"/>
    <n v="153"/>
    <n v="3"/>
    <n v="2"/>
    <n v="5200"/>
    <n v="0.15"/>
    <n v="4420"/>
    <x v="0"/>
    <x v="0"/>
    <n v="3"/>
    <s v="Serra Gaúcha"/>
    <x v="3"/>
    <x v="1"/>
  </r>
  <r>
    <n v="181"/>
    <x v="81"/>
    <d v="2025-05-25T00:00:00"/>
    <n v="18"/>
    <n v="6"/>
    <n v="2"/>
    <n v="4200"/>
    <n v="0.05"/>
    <n v="3990"/>
    <x v="0"/>
    <x v="0"/>
    <n v="5"/>
    <s v="Foz do Iguaçu"/>
    <x v="0"/>
    <x v="3"/>
  </r>
  <r>
    <n v="182"/>
    <x v="81"/>
    <d v="2025-04-21T00:00:00"/>
    <n v="91"/>
    <n v="10"/>
    <n v="1"/>
    <n v="11500"/>
    <n v="0"/>
    <n v="11500"/>
    <x v="0"/>
    <x v="0"/>
    <n v="4"/>
    <s v="Orlando Parques"/>
    <x v="5"/>
    <x v="1"/>
  </r>
  <r>
    <n v="183"/>
    <x v="82"/>
    <d v="2025-05-25T00:00:00"/>
    <n v="11"/>
    <n v="1"/>
    <n v="2"/>
    <n v="6400"/>
    <n v="0"/>
    <n v="6400"/>
    <x v="0"/>
    <x v="1"/>
    <m/>
    <s v="Nordeste Encantado"/>
    <x v="2"/>
    <x v="0"/>
  </r>
  <r>
    <n v="184"/>
    <x v="82"/>
    <d v="2025-06-08T00:00:00"/>
    <n v="9"/>
    <n v="8"/>
    <n v="4"/>
    <n v="23600"/>
    <n v="0.05"/>
    <n v="22420"/>
    <x v="3"/>
    <x v="0"/>
    <n v="3"/>
    <s v="Santiago e Neve"/>
    <x v="3"/>
    <x v="4"/>
  </r>
  <r>
    <n v="185"/>
    <x v="83"/>
    <d v="2025-09-03T00:00:00"/>
    <n v="170"/>
    <n v="11"/>
    <n v="1"/>
    <n v="15800"/>
    <n v="0.05"/>
    <n v="15010"/>
    <x v="0"/>
    <x v="0"/>
    <n v="4"/>
    <s v="Paris e Londres"/>
    <x v="4"/>
    <x v="1"/>
  </r>
  <r>
    <n v="186"/>
    <x v="83"/>
    <d v="2025-05-24T00:00:00"/>
    <n v="71"/>
    <n v="1"/>
    <n v="1"/>
    <n v="3200"/>
    <n v="0.15"/>
    <n v="2720"/>
    <x v="3"/>
    <x v="0"/>
    <n v="1"/>
    <s v="Nordeste Encantado"/>
    <x v="2"/>
    <x v="0"/>
  </r>
  <r>
    <n v="187"/>
    <x v="83"/>
    <d v="2025-05-27T00:00:00"/>
    <n v="133"/>
    <n v="3"/>
    <n v="1"/>
    <n v="2600"/>
    <n v="0.1"/>
    <n v="2340"/>
    <x v="3"/>
    <x v="1"/>
    <m/>
    <s v="Serra Gaúcha"/>
    <x v="3"/>
    <x v="1"/>
  </r>
  <r>
    <n v="188"/>
    <x v="84"/>
    <d v="2025-04-24T00:00:00"/>
    <n v="193"/>
    <n v="6"/>
    <n v="1"/>
    <n v="2100"/>
    <n v="0"/>
    <n v="2100"/>
    <x v="0"/>
    <x v="0"/>
    <n v="5"/>
    <s v="Foz do Iguaçu"/>
    <x v="0"/>
    <x v="1"/>
  </r>
  <r>
    <n v="189"/>
    <x v="84"/>
    <d v="2025-04-29T00:00:00"/>
    <n v="40"/>
    <n v="4"/>
    <n v="4"/>
    <n v="27600"/>
    <n v="0"/>
    <n v="27600"/>
    <x v="1"/>
    <x v="0"/>
    <n v="3"/>
    <s v="Fernando de Noronha"/>
    <x v="2"/>
    <x v="0"/>
  </r>
  <r>
    <n v="190"/>
    <x v="84"/>
    <d v="2025-06-21T00:00:00"/>
    <n v="65"/>
    <n v="12"/>
    <n v="3"/>
    <n v="37200"/>
    <n v="0"/>
    <n v="37200"/>
    <x v="1"/>
    <x v="0"/>
    <n v="5"/>
    <s v="Lisboa e Porto"/>
    <x v="4"/>
    <x v="1"/>
  </r>
  <r>
    <n v="191"/>
    <x v="85"/>
    <d v="2025-06-28T00:00:00"/>
    <n v="62"/>
    <n v="1"/>
    <n v="1"/>
    <n v="3200"/>
    <n v="0.15"/>
    <n v="2720"/>
    <x v="0"/>
    <x v="0"/>
    <n v="3"/>
    <s v="Nordeste Encantado"/>
    <x v="2"/>
    <x v="1"/>
  </r>
  <r>
    <n v="192"/>
    <x v="85"/>
    <d v="2025-09-23T00:00:00"/>
    <n v="163"/>
    <n v="9"/>
    <n v="2"/>
    <n v="17800"/>
    <n v="0"/>
    <n v="17800"/>
    <x v="0"/>
    <x v="0"/>
    <n v="2"/>
    <s v="Cancún All Inclusive"/>
    <x v="2"/>
    <x v="2"/>
  </r>
  <r>
    <n v="193"/>
    <x v="86"/>
    <d v="2025-06-05T00:00:00"/>
    <n v="137"/>
    <n v="7"/>
    <n v="2"/>
    <n v="8400"/>
    <n v="0.05"/>
    <n v="7980"/>
    <x v="0"/>
    <x v="0"/>
    <n v="3"/>
    <s v="Buenos Aires Clássica"/>
    <x v="4"/>
    <x v="1"/>
  </r>
  <r>
    <n v="194"/>
    <x v="87"/>
    <d v="2025-07-30T00:00:00"/>
    <n v="28"/>
    <n v="1"/>
    <n v="4"/>
    <n v="12800"/>
    <n v="0"/>
    <n v="12800"/>
    <x v="3"/>
    <x v="0"/>
    <n v="2"/>
    <s v="Nordeste Encantado"/>
    <x v="2"/>
    <x v="1"/>
  </r>
  <r>
    <n v="195"/>
    <x v="88"/>
    <d v="2025-06-11T00:00:00"/>
    <n v="13"/>
    <n v="5"/>
    <n v="2"/>
    <n v="6800"/>
    <n v="0"/>
    <n v="6800"/>
    <x v="0"/>
    <x v="0"/>
    <n v="5"/>
    <s v="Bonito Aventura"/>
    <x v="1"/>
    <x v="6"/>
  </r>
  <r>
    <n v="196"/>
    <x v="89"/>
    <d v="2025-07-17T00:00:00"/>
    <n v="18"/>
    <n v="7"/>
    <n v="3"/>
    <n v="12600"/>
    <n v="0"/>
    <n v="12600"/>
    <x v="0"/>
    <x v="0"/>
    <n v="5"/>
    <s v="Buenos Aires Clássica"/>
    <x v="4"/>
    <x v="3"/>
  </r>
  <r>
    <n v="197"/>
    <x v="89"/>
    <d v="2025-08-04T00:00:00"/>
    <n v="174"/>
    <n v="7"/>
    <n v="2"/>
    <n v="8400"/>
    <n v="0.05"/>
    <n v="7980"/>
    <x v="3"/>
    <x v="0"/>
    <n v="5"/>
    <s v="Buenos Aires Clássica"/>
    <x v="4"/>
    <x v="1"/>
  </r>
  <r>
    <n v="198"/>
    <x v="89"/>
    <d v="2025-05-11T00:00:00"/>
    <n v="93"/>
    <n v="1"/>
    <n v="3"/>
    <n v="9600"/>
    <n v="0"/>
    <n v="9600"/>
    <x v="0"/>
    <x v="0"/>
    <n v="4"/>
    <s v="Nordeste Encantado"/>
    <x v="2"/>
    <x v="2"/>
  </r>
  <r>
    <n v="199"/>
    <x v="89"/>
    <d v="2025-06-06T00:00:00"/>
    <n v="65"/>
    <n v="7"/>
    <n v="2"/>
    <n v="8400"/>
    <n v="0.1"/>
    <n v="7560"/>
    <x v="0"/>
    <x v="0"/>
    <n v="5"/>
    <s v="Buenos Aires Clássica"/>
    <x v="4"/>
    <x v="1"/>
  </r>
  <r>
    <n v="200"/>
    <x v="90"/>
    <d v="2025-05-10T00:00:00"/>
    <n v="167"/>
    <n v="7"/>
    <n v="1"/>
    <n v="4200"/>
    <n v="0.05"/>
    <n v="3990"/>
    <x v="0"/>
    <x v="0"/>
    <n v="5"/>
    <s v="Buenos Aires Clássica"/>
    <x v="4"/>
    <x v="1"/>
  </r>
  <r>
    <n v="201"/>
    <x v="91"/>
    <d v="2025-06-16T00:00:00"/>
    <n v="76"/>
    <n v="9"/>
    <n v="2"/>
    <n v="17800"/>
    <n v="0.1"/>
    <n v="16020"/>
    <x v="3"/>
    <x v="0"/>
    <n v="5"/>
    <s v="Cancún All Inclusive"/>
    <x v="2"/>
    <x v="2"/>
  </r>
  <r>
    <n v="202"/>
    <x v="91"/>
    <d v="2025-09-23T00:00:00"/>
    <n v="26"/>
    <n v="9"/>
    <n v="1"/>
    <n v="8900"/>
    <n v="0"/>
    <n v="8900"/>
    <x v="0"/>
    <x v="1"/>
    <m/>
    <s v="Cancún All Inclusive"/>
    <x v="2"/>
    <x v="1"/>
  </r>
  <r>
    <n v="203"/>
    <x v="91"/>
    <d v="2025-07-05T00:00:00"/>
    <n v="50"/>
    <n v="2"/>
    <n v="2"/>
    <n v="3600"/>
    <n v="0.15"/>
    <n v="3060"/>
    <x v="0"/>
    <x v="0"/>
    <n v="3"/>
    <s v="Rio Cidade Maravilhosa"/>
    <x v="4"/>
    <x v="1"/>
  </r>
  <r>
    <n v="204"/>
    <x v="92"/>
    <d v="2025-07-14T00:00:00"/>
    <n v="3"/>
    <n v="2"/>
    <n v="3"/>
    <n v="5400"/>
    <n v="0"/>
    <n v="5400"/>
    <x v="0"/>
    <x v="0"/>
    <n v="3"/>
    <s v="Rio Cidade Maravilhosa"/>
    <x v="4"/>
    <x v="1"/>
  </r>
  <r>
    <n v="205"/>
    <x v="92"/>
    <d v="2025-08-25T00:00:00"/>
    <n v="93"/>
    <n v="1"/>
    <n v="1"/>
    <n v="3200"/>
    <n v="0"/>
    <n v="3200"/>
    <x v="1"/>
    <x v="0"/>
    <n v="5"/>
    <s v="Nordeste Encantado"/>
    <x v="2"/>
    <x v="2"/>
  </r>
  <r>
    <n v="206"/>
    <x v="92"/>
    <d v="2025-07-13T00:00:00"/>
    <n v="135"/>
    <n v="1"/>
    <n v="1"/>
    <n v="3200"/>
    <n v="0"/>
    <n v="3200"/>
    <x v="0"/>
    <x v="0"/>
    <n v="5"/>
    <s v="Nordeste Encantado"/>
    <x v="2"/>
    <x v="0"/>
  </r>
  <r>
    <n v="207"/>
    <x v="93"/>
    <d v="2025-06-03T00:00:00"/>
    <n v="166"/>
    <n v="10"/>
    <n v="1"/>
    <n v="11500"/>
    <n v="0"/>
    <n v="11500"/>
    <x v="0"/>
    <x v="0"/>
    <n v="5"/>
    <s v="Orlando Parques"/>
    <x v="5"/>
    <x v="0"/>
  </r>
  <r>
    <n v="208"/>
    <x v="93"/>
    <d v="2025-05-25T00:00:00"/>
    <n v="8"/>
    <n v="7"/>
    <n v="1"/>
    <n v="4200"/>
    <n v="0"/>
    <n v="4200"/>
    <x v="1"/>
    <x v="0"/>
    <n v="4"/>
    <s v="Buenos Aires Clássica"/>
    <x v="4"/>
    <x v="1"/>
  </r>
  <r>
    <n v="209"/>
    <x v="93"/>
    <d v="2025-09-13T00:00:00"/>
    <n v="68"/>
    <n v="3"/>
    <n v="2"/>
    <n v="5200"/>
    <n v="0"/>
    <n v="5200"/>
    <x v="0"/>
    <x v="0"/>
    <n v="3"/>
    <s v="Serra Gaúcha"/>
    <x v="3"/>
    <x v="5"/>
  </r>
  <r>
    <n v="210"/>
    <x v="93"/>
    <d v="2025-07-01T00:00:00"/>
    <n v="172"/>
    <n v="2"/>
    <n v="2"/>
    <n v="3600"/>
    <n v="0"/>
    <n v="3600"/>
    <x v="3"/>
    <x v="0"/>
    <n v="4"/>
    <s v="Rio Cidade Maravilhosa"/>
    <x v="4"/>
    <x v="2"/>
  </r>
  <r>
    <n v="211"/>
    <x v="94"/>
    <d v="2025-05-04T00:00:00"/>
    <n v="176"/>
    <n v="3"/>
    <n v="2"/>
    <n v="5200"/>
    <n v="0.15"/>
    <n v="4420"/>
    <x v="0"/>
    <x v="1"/>
    <m/>
    <s v="Serra Gaúcha"/>
    <x v="3"/>
    <x v="1"/>
  </r>
  <r>
    <n v="212"/>
    <x v="94"/>
    <d v="2025-05-16T00:00:00"/>
    <n v="61"/>
    <n v="11"/>
    <n v="2"/>
    <n v="31600"/>
    <n v="0"/>
    <n v="31600"/>
    <x v="1"/>
    <x v="0"/>
    <n v="4"/>
    <s v="Paris e Londres"/>
    <x v="4"/>
    <x v="2"/>
  </r>
  <r>
    <n v="213"/>
    <x v="95"/>
    <d v="2025-09-07T00:00:00"/>
    <n v="13"/>
    <n v="10"/>
    <n v="2"/>
    <n v="23000"/>
    <n v="0"/>
    <n v="23000"/>
    <x v="1"/>
    <x v="1"/>
    <m/>
    <s v="Orlando Parques"/>
    <x v="5"/>
    <x v="6"/>
  </r>
  <r>
    <n v="214"/>
    <x v="95"/>
    <d v="2025-05-18T00:00:00"/>
    <n v="10"/>
    <n v="15"/>
    <n v="2"/>
    <n v="6200"/>
    <n v="0"/>
    <n v="6200"/>
    <x v="1"/>
    <x v="0"/>
    <n v="4"/>
    <s v="Jericoacoara"/>
    <x v="2"/>
    <x v="1"/>
  </r>
  <r>
    <n v="215"/>
    <x v="96"/>
    <d v="2025-06-16T00:00:00"/>
    <n v="103"/>
    <n v="3"/>
    <n v="2"/>
    <n v="5200"/>
    <n v="0"/>
    <n v="5200"/>
    <x v="0"/>
    <x v="0"/>
    <n v="5"/>
    <s v="Serra Gaúcha"/>
    <x v="3"/>
    <x v="1"/>
  </r>
  <r>
    <n v="216"/>
    <x v="96"/>
    <d v="2025-06-01T00:00:00"/>
    <n v="89"/>
    <n v="2"/>
    <n v="2"/>
    <n v="3600"/>
    <n v="0"/>
    <n v="3600"/>
    <x v="0"/>
    <x v="0"/>
    <n v="4"/>
    <s v="Rio Cidade Maravilhosa"/>
    <x v="4"/>
    <x v="4"/>
  </r>
  <r>
    <n v="217"/>
    <x v="97"/>
    <d v="2025-05-11T00:00:00"/>
    <n v="118"/>
    <n v="9"/>
    <n v="2"/>
    <n v="17800"/>
    <n v="0"/>
    <n v="17800"/>
    <x v="0"/>
    <x v="0"/>
    <n v="5"/>
    <s v="Cancún All Inclusive"/>
    <x v="2"/>
    <x v="1"/>
  </r>
  <r>
    <n v="218"/>
    <x v="97"/>
    <d v="2025-08-08T00:00:00"/>
    <n v="200"/>
    <n v="5"/>
    <n v="1"/>
    <n v="3400"/>
    <n v="0.1"/>
    <n v="3060"/>
    <x v="0"/>
    <x v="1"/>
    <m/>
    <s v="Bonito Aventura"/>
    <x v="1"/>
    <x v="3"/>
  </r>
  <r>
    <n v="219"/>
    <x v="98"/>
    <d v="2025-05-14T00:00:00"/>
    <n v="115"/>
    <n v="7"/>
    <n v="3"/>
    <n v="12600"/>
    <n v="0"/>
    <n v="12600"/>
    <x v="1"/>
    <x v="0"/>
    <n v="3"/>
    <s v="Buenos Aires Clássica"/>
    <x v="4"/>
    <x v="1"/>
  </r>
  <r>
    <n v="220"/>
    <x v="99"/>
    <d v="2025-06-01T00:00:00"/>
    <n v="104"/>
    <n v="7"/>
    <n v="2"/>
    <n v="8400"/>
    <n v="0.05"/>
    <n v="7980"/>
    <x v="1"/>
    <x v="0"/>
    <n v="4"/>
    <s v="Buenos Aires Clássica"/>
    <x v="4"/>
    <x v="0"/>
  </r>
  <r>
    <n v="221"/>
    <x v="99"/>
    <d v="2025-08-22T00:00:00"/>
    <n v="70"/>
    <n v="1"/>
    <n v="5"/>
    <n v="16000"/>
    <n v="0"/>
    <n v="16000"/>
    <x v="1"/>
    <x v="0"/>
    <n v="5"/>
    <s v="Nordeste Encantado"/>
    <x v="2"/>
    <x v="4"/>
  </r>
  <r>
    <n v="222"/>
    <x v="99"/>
    <d v="2025-05-29T00:00:00"/>
    <n v="110"/>
    <n v="6"/>
    <n v="2"/>
    <n v="4200"/>
    <n v="0"/>
    <n v="4200"/>
    <x v="0"/>
    <x v="0"/>
    <n v="2"/>
    <s v="Foz do Iguaçu"/>
    <x v="0"/>
    <x v="1"/>
  </r>
  <r>
    <n v="223"/>
    <x v="99"/>
    <d v="2025-08-08T00:00:00"/>
    <n v="186"/>
    <n v="2"/>
    <n v="2"/>
    <n v="3600"/>
    <n v="0.05"/>
    <n v="3420"/>
    <x v="0"/>
    <x v="0"/>
    <n v="4"/>
    <s v="Rio Cidade Maravilhosa"/>
    <x v="4"/>
    <x v="0"/>
  </r>
  <r>
    <n v="224"/>
    <x v="100"/>
    <d v="2025-08-06T00:00:00"/>
    <n v="87"/>
    <n v="5"/>
    <n v="2"/>
    <n v="6800"/>
    <n v="0.15"/>
    <n v="5780"/>
    <x v="1"/>
    <x v="0"/>
    <n v="3"/>
    <s v="Bonito Aventura"/>
    <x v="1"/>
    <x v="1"/>
  </r>
  <r>
    <n v="225"/>
    <x v="100"/>
    <d v="2025-05-17T00:00:00"/>
    <n v="106"/>
    <n v="10"/>
    <n v="1"/>
    <n v="11500"/>
    <n v="0"/>
    <n v="11500"/>
    <x v="2"/>
    <x v="0"/>
    <n v="3"/>
    <s v="Orlando Parques"/>
    <x v="5"/>
    <x v="7"/>
  </r>
  <r>
    <n v="226"/>
    <x v="101"/>
    <d v="2025-05-15T00:00:00"/>
    <n v="112"/>
    <n v="7"/>
    <n v="2"/>
    <n v="8400"/>
    <n v="0"/>
    <n v="8400"/>
    <x v="3"/>
    <x v="0"/>
    <n v="5"/>
    <s v="Buenos Aires Clássica"/>
    <x v="4"/>
    <x v="1"/>
  </r>
  <r>
    <n v="227"/>
    <x v="102"/>
    <d v="2025-08-26T00:00:00"/>
    <n v="137"/>
    <n v="9"/>
    <n v="1"/>
    <n v="8900"/>
    <n v="0"/>
    <n v="8900"/>
    <x v="0"/>
    <x v="0"/>
    <n v="5"/>
    <s v="Cancún All Inclusive"/>
    <x v="2"/>
    <x v="1"/>
  </r>
  <r>
    <n v="228"/>
    <x v="103"/>
    <d v="2025-05-12T00:00:00"/>
    <n v="81"/>
    <n v="2"/>
    <n v="2"/>
    <n v="3600"/>
    <n v="0"/>
    <n v="3600"/>
    <x v="1"/>
    <x v="1"/>
    <m/>
    <s v="Rio Cidade Maravilhosa"/>
    <x v="4"/>
    <x v="1"/>
  </r>
  <r>
    <n v="229"/>
    <x v="104"/>
    <d v="2025-06-28T00:00:00"/>
    <n v="48"/>
    <n v="6"/>
    <n v="3"/>
    <n v="6300"/>
    <n v="0"/>
    <n v="6300"/>
    <x v="3"/>
    <x v="0"/>
    <n v="4"/>
    <s v="Foz do Iguaçu"/>
    <x v="0"/>
    <x v="1"/>
  </r>
  <r>
    <n v="230"/>
    <x v="105"/>
    <d v="2025-06-28T00:00:00"/>
    <n v="98"/>
    <n v="4"/>
    <n v="3"/>
    <n v="20700"/>
    <n v="0"/>
    <n v="20700"/>
    <x v="0"/>
    <x v="0"/>
    <n v="4"/>
    <s v="Fernando de Noronha"/>
    <x v="2"/>
    <x v="1"/>
  </r>
  <r>
    <n v="231"/>
    <x v="106"/>
    <d v="2025-08-13T00:00:00"/>
    <n v="143"/>
    <n v="12"/>
    <n v="1"/>
    <n v="12400"/>
    <n v="0.05"/>
    <n v="11780"/>
    <x v="0"/>
    <x v="0"/>
    <n v="4"/>
    <s v="Lisboa e Porto"/>
    <x v="4"/>
    <x v="2"/>
  </r>
  <r>
    <n v="232"/>
    <x v="106"/>
    <d v="2025-05-15T00:00:00"/>
    <n v="142"/>
    <n v="5"/>
    <n v="2"/>
    <n v="6800"/>
    <n v="0"/>
    <n v="6800"/>
    <x v="3"/>
    <x v="0"/>
    <n v="4"/>
    <s v="Bonito Aventura"/>
    <x v="1"/>
    <x v="0"/>
  </r>
  <r>
    <n v="233"/>
    <x v="106"/>
    <d v="2025-05-31T00:00:00"/>
    <n v="60"/>
    <n v="2"/>
    <n v="1"/>
    <n v="1800"/>
    <n v="0"/>
    <n v="1800"/>
    <x v="3"/>
    <x v="0"/>
    <n v="5"/>
    <s v="Rio Cidade Maravilhosa"/>
    <x v="4"/>
    <x v="3"/>
  </r>
  <r>
    <n v="234"/>
    <x v="107"/>
    <d v="2025-07-25T00:00:00"/>
    <n v="142"/>
    <n v="1"/>
    <n v="2"/>
    <n v="6400"/>
    <n v="0"/>
    <n v="6400"/>
    <x v="0"/>
    <x v="0"/>
    <n v="4"/>
    <s v="Nordeste Encantado"/>
    <x v="2"/>
    <x v="0"/>
  </r>
  <r>
    <n v="235"/>
    <x v="107"/>
    <d v="2025-05-28T00:00:00"/>
    <n v="91"/>
    <n v="15"/>
    <n v="2"/>
    <n v="6200"/>
    <n v="0"/>
    <n v="6200"/>
    <x v="0"/>
    <x v="0"/>
    <n v="5"/>
    <s v="Jericoacoara"/>
    <x v="2"/>
    <x v="1"/>
  </r>
  <r>
    <n v="236"/>
    <x v="108"/>
    <d v="2025-06-15T00:00:00"/>
    <n v="12"/>
    <n v="7"/>
    <n v="3"/>
    <n v="12600"/>
    <n v="0"/>
    <n v="12600"/>
    <x v="0"/>
    <x v="1"/>
    <m/>
    <s v="Buenos Aires Clássica"/>
    <x v="4"/>
    <x v="0"/>
  </r>
  <r>
    <n v="237"/>
    <x v="108"/>
    <d v="2025-05-26T00:00:00"/>
    <n v="108"/>
    <n v="6"/>
    <n v="1"/>
    <n v="2100"/>
    <n v="0"/>
    <n v="2100"/>
    <x v="1"/>
    <x v="0"/>
    <n v="5"/>
    <s v="Foz do Iguaçu"/>
    <x v="0"/>
    <x v="4"/>
  </r>
  <r>
    <n v="238"/>
    <x v="108"/>
    <d v="2025-07-15T00:00:00"/>
    <n v="42"/>
    <n v="13"/>
    <n v="1"/>
    <n v="7300"/>
    <n v="0"/>
    <n v="7300"/>
    <x v="2"/>
    <x v="0"/>
    <n v="5"/>
    <s v="Machu Picchu"/>
    <x v="1"/>
    <x v="1"/>
  </r>
  <r>
    <n v="239"/>
    <x v="108"/>
    <d v="2025-05-21T00:00:00"/>
    <n v="64"/>
    <n v="6"/>
    <n v="1"/>
    <n v="2100"/>
    <n v="0.1"/>
    <n v="1890"/>
    <x v="0"/>
    <x v="0"/>
    <n v="5"/>
    <s v="Foz do Iguaçu"/>
    <x v="0"/>
    <x v="7"/>
  </r>
  <r>
    <n v="240"/>
    <x v="109"/>
    <d v="2025-06-17T00:00:00"/>
    <n v="132"/>
    <n v="15"/>
    <n v="2"/>
    <n v="6200"/>
    <n v="0.1"/>
    <n v="5580"/>
    <x v="1"/>
    <x v="0"/>
    <n v="4"/>
    <s v="Jericoacoara"/>
    <x v="2"/>
    <x v="6"/>
  </r>
  <r>
    <n v="241"/>
    <x v="110"/>
    <d v="2025-05-30T00:00:00"/>
    <n v="183"/>
    <n v="2"/>
    <n v="4"/>
    <n v="7200"/>
    <n v="0"/>
    <n v="7200"/>
    <x v="1"/>
    <x v="1"/>
    <m/>
    <s v="Rio Cidade Maravilhosa"/>
    <x v="4"/>
    <x v="4"/>
  </r>
  <r>
    <n v="242"/>
    <x v="110"/>
    <d v="2025-06-30T00:00:00"/>
    <n v="183"/>
    <n v="12"/>
    <n v="3"/>
    <n v="37200"/>
    <n v="0"/>
    <n v="37200"/>
    <x v="3"/>
    <x v="0"/>
    <n v="5"/>
    <s v="Lisboa e Porto"/>
    <x v="4"/>
    <x v="4"/>
  </r>
  <r>
    <n v="243"/>
    <x v="111"/>
    <d v="2025-06-09T00:00:00"/>
    <n v="77"/>
    <n v="3"/>
    <n v="1"/>
    <n v="2600"/>
    <n v="0.15"/>
    <n v="2210"/>
    <x v="0"/>
    <x v="0"/>
    <n v="5"/>
    <s v="Serra Gaúcha"/>
    <x v="3"/>
    <x v="0"/>
  </r>
  <r>
    <n v="244"/>
    <x v="111"/>
    <d v="2025-06-02T00:00:00"/>
    <n v="168"/>
    <n v="8"/>
    <n v="2"/>
    <n v="11800"/>
    <n v="0"/>
    <n v="11800"/>
    <x v="0"/>
    <x v="0"/>
    <n v="5"/>
    <s v="Santiago e Neve"/>
    <x v="3"/>
    <x v="1"/>
  </r>
  <r>
    <n v="245"/>
    <x v="111"/>
    <d v="2025-10-21T00:00:00"/>
    <n v="192"/>
    <n v="3"/>
    <n v="3"/>
    <n v="7800"/>
    <n v="0"/>
    <n v="7800"/>
    <x v="0"/>
    <x v="1"/>
    <m/>
    <s v="Serra Gaúcha"/>
    <x v="3"/>
    <x v="1"/>
  </r>
  <r>
    <n v="246"/>
    <x v="111"/>
    <d v="2025-06-24T00:00:00"/>
    <n v="69"/>
    <n v="10"/>
    <n v="3"/>
    <n v="34500"/>
    <n v="0.05"/>
    <n v="32775"/>
    <x v="1"/>
    <x v="0"/>
    <n v="3"/>
    <s v="Orlando Parques"/>
    <x v="5"/>
    <x v="0"/>
  </r>
  <r>
    <n v="247"/>
    <x v="112"/>
    <d v="2025-06-05T00:00:00"/>
    <n v="187"/>
    <n v="7"/>
    <n v="1"/>
    <n v="4200"/>
    <n v="0"/>
    <n v="4200"/>
    <x v="1"/>
    <x v="0"/>
    <n v="3"/>
    <s v="Buenos Aires Clássica"/>
    <x v="4"/>
    <x v="5"/>
  </r>
  <r>
    <n v="248"/>
    <x v="113"/>
    <d v="2025-07-16T00:00:00"/>
    <n v="181"/>
    <n v="13"/>
    <n v="2"/>
    <n v="14600"/>
    <n v="0"/>
    <n v="14600"/>
    <x v="0"/>
    <x v="0"/>
    <n v="4"/>
    <s v="Machu Picchu"/>
    <x v="1"/>
    <x v="0"/>
  </r>
  <r>
    <n v="249"/>
    <x v="113"/>
    <d v="2025-05-27T00:00:00"/>
    <n v="109"/>
    <n v="3"/>
    <n v="4"/>
    <n v="10400"/>
    <n v="0.05"/>
    <n v="9880"/>
    <x v="3"/>
    <x v="0"/>
    <n v="5"/>
    <s v="Serra Gaúcha"/>
    <x v="3"/>
    <x v="1"/>
  </r>
  <r>
    <n v="250"/>
    <x v="114"/>
    <d v="2025-05-26T00:00:00"/>
    <n v="163"/>
    <n v="9"/>
    <n v="1"/>
    <n v="8900"/>
    <n v="0"/>
    <n v="8900"/>
    <x v="3"/>
    <x v="0"/>
    <n v="5"/>
    <s v="Cancún All Inclusive"/>
    <x v="2"/>
    <x v="2"/>
  </r>
  <r>
    <n v="251"/>
    <x v="114"/>
    <d v="2025-11-06T00:00:00"/>
    <n v="150"/>
    <n v="1"/>
    <n v="1"/>
    <n v="3200"/>
    <n v="0"/>
    <n v="3200"/>
    <x v="0"/>
    <x v="0"/>
    <n v="2"/>
    <s v="Nordeste Encantado"/>
    <x v="2"/>
    <x v="1"/>
  </r>
  <r>
    <n v="252"/>
    <x v="115"/>
    <d v="2025-05-27T00:00:00"/>
    <n v="89"/>
    <n v="7"/>
    <n v="3"/>
    <n v="12600"/>
    <n v="0"/>
    <n v="12600"/>
    <x v="0"/>
    <x v="0"/>
    <n v="4"/>
    <s v="Buenos Aires Clássica"/>
    <x v="4"/>
    <x v="4"/>
  </r>
  <r>
    <n v="253"/>
    <x v="115"/>
    <d v="2025-06-08T00:00:00"/>
    <n v="25"/>
    <n v="11"/>
    <n v="2"/>
    <n v="31600"/>
    <n v="0.1"/>
    <n v="28440"/>
    <x v="0"/>
    <x v="0"/>
    <n v="5"/>
    <s v="Paris e Londres"/>
    <x v="4"/>
    <x v="7"/>
  </r>
  <r>
    <n v="254"/>
    <x v="115"/>
    <d v="2025-06-17T00:00:00"/>
    <n v="59"/>
    <n v="2"/>
    <n v="1"/>
    <n v="1800"/>
    <n v="0.1"/>
    <n v="1620"/>
    <x v="1"/>
    <x v="0"/>
    <n v="3"/>
    <s v="Rio Cidade Maravilhosa"/>
    <x v="4"/>
    <x v="2"/>
  </r>
  <r>
    <n v="255"/>
    <x v="115"/>
    <d v="2025-08-24T00:00:00"/>
    <n v="46"/>
    <n v="13"/>
    <n v="1"/>
    <n v="7300"/>
    <n v="0.05"/>
    <n v="6935"/>
    <x v="3"/>
    <x v="0"/>
    <n v="4"/>
    <s v="Machu Picchu"/>
    <x v="1"/>
    <x v="0"/>
  </r>
  <r>
    <n v="256"/>
    <x v="115"/>
    <d v="2025-09-05T00:00:00"/>
    <n v="7"/>
    <n v="13"/>
    <n v="4"/>
    <n v="29200"/>
    <n v="0.1"/>
    <n v="26280"/>
    <x v="0"/>
    <x v="0"/>
    <n v="4"/>
    <s v="Machu Picchu"/>
    <x v="1"/>
    <x v="1"/>
  </r>
  <r>
    <n v="257"/>
    <x v="116"/>
    <d v="2025-09-28T00:00:00"/>
    <n v="78"/>
    <n v="9"/>
    <n v="2"/>
    <n v="17800"/>
    <n v="0"/>
    <n v="17800"/>
    <x v="0"/>
    <x v="0"/>
    <n v="5"/>
    <s v="Cancún All Inclusive"/>
    <x v="2"/>
    <x v="3"/>
  </r>
  <r>
    <n v="258"/>
    <x v="116"/>
    <d v="2025-11-09T00:00:00"/>
    <n v="144"/>
    <n v="2"/>
    <n v="1"/>
    <n v="1800"/>
    <n v="0"/>
    <n v="1800"/>
    <x v="2"/>
    <x v="0"/>
    <n v="5"/>
    <s v="Rio Cidade Maravilhosa"/>
    <x v="4"/>
    <x v="2"/>
  </r>
  <r>
    <n v="259"/>
    <x v="117"/>
    <d v="2025-09-17T00:00:00"/>
    <n v="94"/>
    <n v="5"/>
    <n v="2"/>
    <n v="6800"/>
    <n v="0.05"/>
    <n v="6460"/>
    <x v="0"/>
    <x v="1"/>
    <m/>
    <s v="Bonito Aventura"/>
    <x v="1"/>
    <x v="0"/>
  </r>
  <r>
    <n v="260"/>
    <x v="118"/>
    <d v="2025-06-13T00:00:00"/>
    <n v="4"/>
    <n v="14"/>
    <n v="1"/>
    <n v="2900"/>
    <n v="0"/>
    <n v="2900"/>
    <x v="1"/>
    <x v="0"/>
    <n v="4"/>
    <s v="Lençóis Maranhenses"/>
    <x v="0"/>
    <x v="0"/>
  </r>
  <r>
    <n v="261"/>
    <x v="118"/>
    <d v="2025-06-28T00:00:00"/>
    <n v="189"/>
    <n v="3"/>
    <n v="2"/>
    <n v="5200"/>
    <n v="0.1"/>
    <n v="4680"/>
    <x v="0"/>
    <x v="0"/>
    <n v="4"/>
    <s v="Serra Gaúcha"/>
    <x v="3"/>
    <x v="1"/>
  </r>
  <r>
    <n v="262"/>
    <x v="119"/>
    <d v="2025-07-20T00:00:00"/>
    <n v="70"/>
    <n v="3"/>
    <n v="2"/>
    <n v="5200"/>
    <n v="0.15"/>
    <n v="4420"/>
    <x v="3"/>
    <x v="1"/>
    <m/>
    <s v="Serra Gaúcha"/>
    <x v="3"/>
    <x v="4"/>
  </r>
  <r>
    <n v="263"/>
    <x v="119"/>
    <d v="2025-06-12T00:00:00"/>
    <n v="15"/>
    <n v="6"/>
    <n v="2"/>
    <n v="4200"/>
    <n v="0"/>
    <n v="4200"/>
    <x v="0"/>
    <x v="0"/>
    <n v="5"/>
    <s v="Foz do Iguaçu"/>
    <x v="0"/>
    <x v="1"/>
  </r>
  <r>
    <n v="264"/>
    <x v="119"/>
    <d v="2025-05-31T00:00:00"/>
    <n v="8"/>
    <n v="3"/>
    <n v="2"/>
    <n v="5200"/>
    <n v="0"/>
    <n v="5200"/>
    <x v="1"/>
    <x v="0"/>
    <n v="3"/>
    <s v="Serra Gaúcha"/>
    <x v="3"/>
    <x v="1"/>
  </r>
  <r>
    <n v="265"/>
    <x v="120"/>
    <d v="2025-06-23T00:00:00"/>
    <n v="109"/>
    <n v="15"/>
    <n v="3"/>
    <n v="9300"/>
    <n v="0.1"/>
    <n v="8370"/>
    <x v="3"/>
    <x v="1"/>
    <m/>
    <s v="Jericoacoara"/>
    <x v="2"/>
    <x v="1"/>
  </r>
  <r>
    <n v="266"/>
    <x v="120"/>
    <d v="2025-10-15T00:00:00"/>
    <n v="48"/>
    <n v="13"/>
    <n v="5"/>
    <n v="36500"/>
    <n v="0"/>
    <n v="36500"/>
    <x v="0"/>
    <x v="0"/>
    <n v="4"/>
    <s v="Machu Picchu"/>
    <x v="1"/>
    <x v="1"/>
  </r>
  <r>
    <n v="267"/>
    <x v="120"/>
    <d v="2025-11-01T00:00:00"/>
    <n v="165"/>
    <n v="8"/>
    <n v="1"/>
    <n v="5900"/>
    <n v="0"/>
    <n v="5900"/>
    <x v="0"/>
    <x v="0"/>
    <n v="5"/>
    <s v="Santiago e Neve"/>
    <x v="3"/>
    <x v="1"/>
  </r>
  <r>
    <n v="268"/>
    <x v="121"/>
    <d v="2025-07-12T00:00:00"/>
    <n v="55"/>
    <n v="4"/>
    <n v="2"/>
    <n v="13800"/>
    <n v="0"/>
    <n v="13800"/>
    <x v="0"/>
    <x v="0"/>
    <n v="5"/>
    <s v="Fernando de Noronha"/>
    <x v="2"/>
    <x v="5"/>
  </r>
  <r>
    <n v="269"/>
    <x v="121"/>
    <d v="2025-07-04T00:00:00"/>
    <n v="76"/>
    <n v="10"/>
    <n v="5"/>
    <n v="57500"/>
    <n v="0.15"/>
    <n v="48875"/>
    <x v="0"/>
    <x v="0"/>
    <n v="5"/>
    <s v="Orlando Parques"/>
    <x v="5"/>
    <x v="2"/>
  </r>
  <r>
    <n v="270"/>
    <x v="122"/>
    <d v="2025-06-05T00:00:00"/>
    <n v="32"/>
    <n v="1"/>
    <n v="1"/>
    <n v="3200"/>
    <n v="0.15"/>
    <n v="2720"/>
    <x v="1"/>
    <x v="1"/>
    <m/>
    <s v="Nordeste Encantado"/>
    <x v="2"/>
    <x v="3"/>
  </r>
  <r>
    <n v="271"/>
    <x v="122"/>
    <d v="2025-10-23T00:00:00"/>
    <n v="127"/>
    <n v="1"/>
    <n v="4"/>
    <n v="12800"/>
    <n v="0.1"/>
    <n v="11520"/>
    <x v="1"/>
    <x v="0"/>
    <n v="5"/>
    <s v="Nordeste Encantado"/>
    <x v="2"/>
    <x v="1"/>
  </r>
  <r>
    <n v="272"/>
    <x v="123"/>
    <d v="2025-11-26T00:00:00"/>
    <n v="125"/>
    <n v="2"/>
    <n v="2"/>
    <n v="3600"/>
    <n v="0"/>
    <n v="3600"/>
    <x v="0"/>
    <x v="0"/>
    <n v="5"/>
    <s v="Rio Cidade Maravilhosa"/>
    <x v="4"/>
    <x v="4"/>
  </r>
  <r>
    <n v="273"/>
    <x v="124"/>
    <d v="2025-06-30T00:00:00"/>
    <n v="28"/>
    <n v="3"/>
    <n v="2"/>
    <n v="5200"/>
    <n v="0"/>
    <n v="5200"/>
    <x v="3"/>
    <x v="0"/>
    <n v="4"/>
    <s v="Serra Gaúcha"/>
    <x v="3"/>
    <x v="1"/>
  </r>
  <r>
    <n v="274"/>
    <x v="124"/>
    <d v="2025-06-18T00:00:00"/>
    <n v="165"/>
    <n v="3"/>
    <n v="1"/>
    <n v="2600"/>
    <n v="0.1"/>
    <n v="2340"/>
    <x v="1"/>
    <x v="0"/>
    <n v="4"/>
    <s v="Serra Gaúcha"/>
    <x v="3"/>
    <x v="1"/>
  </r>
  <r>
    <n v="275"/>
    <x v="125"/>
    <d v="2025-10-08T00:00:00"/>
    <n v="34"/>
    <n v="1"/>
    <n v="2"/>
    <n v="6400"/>
    <n v="0"/>
    <n v="6400"/>
    <x v="0"/>
    <x v="0"/>
    <n v="1"/>
    <s v="Nordeste Encantado"/>
    <x v="2"/>
    <x v="1"/>
  </r>
  <r>
    <n v="276"/>
    <x v="125"/>
    <d v="2025-06-16T00:00:00"/>
    <n v="57"/>
    <n v="14"/>
    <n v="4"/>
    <n v="11600"/>
    <n v="0"/>
    <n v="11600"/>
    <x v="0"/>
    <x v="0"/>
    <n v="2"/>
    <s v="Lençóis Maranhenses"/>
    <x v="0"/>
    <x v="4"/>
  </r>
  <r>
    <n v="277"/>
    <x v="126"/>
    <d v="2025-08-03T00:00:00"/>
    <n v="58"/>
    <n v="4"/>
    <n v="1"/>
    <n v="6900"/>
    <n v="0.1"/>
    <n v="6210"/>
    <x v="2"/>
    <x v="1"/>
    <m/>
    <s v="Fernando de Noronha"/>
    <x v="2"/>
    <x v="1"/>
  </r>
  <r>
    <n v="278"/>
    <x v="126"/>
    <d v="2025-08-02T00:00:00"/>
    <n v="164"/>
    <n v="1"/>
    <n v="1"/>
    <n v="3200"/>
    <n v="0.1"/>
    <n v="2880"/>
    <x v="1"/>
    <x v="0"/>
    <n v="5"/>
    <s v="Nordeste Encantado"/>
    <x v="2"/>
    <x v="0"/>
  </r>
  <r>
    <n v="279"/>
    <x v="127"/>
    <d v="2025-06-20T00:00:00"/>
    <n v="40"/>
    <n v="1"/>
    <n v="4"/>
    <n v="12800"/>
    <n v="0"/>
    <n v="12800"/>
    <x v="3"/>
    <x v="0"/>
    <n v="5"/>
    <s v="Nordeste Encantado"/>
    <x v="2"/>
    <x v="0"/>
  </r>
  <r>
    <n v="280"/>
    <x v="127"/>
    <d v="2025-07-05T00:00:00"/>
    <n v="130"/>
    <n v="1"/>
    <n v="4"/>
    <n v="12800"/>
    <n v="0"/>
    <n v="12800"/>
    <x v="3"/>
    <x v="0"/>
    <n v="5"/>
    <s v="Nordeste Encantado"/>
    <x v="2"/>
    <x v="1"/>
  </r>
  <r>
    <n v="281"/>
    <x v="128"/>
    <d v="2025-06-20T00:00:00"/>
    <n v="67"/>
    <n v="3"/>
    <n v="1"/>
    <n v="2600"/>
    <n v="0.15"/>
    <n v="2210"/>
    <x v="1"/>
    <x v="0"/>
    <n v="2"/>
    <s v="Serra Gaúcha"/>
    <x v="3"/>
    <x v="0"/>
  </r>
  <r>
    <n v="282"/>
    <x v="128"/>
    <d v="2025-07-01T00:00:00"/>
    <n v="59"/>
    <n v="12"/>
    <n v="1"/>
    <n v="12400"/>
    <n v="0.1"/>
    <n v="11160"/>
    <x v="1"/>
    <x v="0"/>
    <n v="5"/>
    <s v="Lisboa e Porto"/>
    <x v="4"/>
    <x v="2"/>
  </r>
  <r>
    <n v="283"/>
    <x v="128"/>
    <d v="2025-06-30T00:00:00"/>
    <n v="117"/>
    <n v="14"/>
    <n v="2"/>
    <n v="5800"/>
    <n v="0.05"/>
    <n v="5510"/>
    <x v="3"/>
    <x v="1"/>
    <m/>
    <s v="Lençóis Maranhenses"/>
    <x v="0"/>
    <x v="1"/>
  </r>
  <r>
    <n v="284"/>
    <x v="129"/>
    <d v="2025-08-22T00:00:00"/>
    <n v="119"/>
    <n v="8"/>
    <n v="1"/>
    <n v="5900"/>
    <n v="0"/>
    <n v="5900"/>
    <x v="0"/>
    <x v="0"/>
    <n v="4"/>
    <s v="Santiago e Neve"/>
    <x v="3"/>
    <x v="1"/>
  </r>
  <r>
    <n v="285"/>
    <x v="129"/>
    <d v="2025-11-05T00:00:00"/>
    <n v="72"/>
    <n v="8"/>
    <n v="4"/>
    <n v="23600"/>
    <n v="0.1"/>
    <n v="21240"/>
    <x v="0"/>
    <x v="0"/>
    <n v="5"/>
    <s v="Santiago e Neve"/>
    <x v="3"/>
    <x v="3"/>
  </r>
  <r>
    <n v="286"/>
    <x v="130"/>
    <d v="2025-06-21T00:00:00"/>
    <n v="147"/>
    <n v="1"/>
    <n v="2"/>
    <n v="6400"/>
    <n v="0"/>
    <n v="6400"/>
    <x v="0"/>
    <x v="0"/>
    <n v="3"/>
    <s v="Nordeste Encantado"/>
    <x v="2"/>
    <x v="1"/>
  </r>
  <r>
    <n v="287"/>
    <x v="130"/>
    <d v="2025-07-07T00:00:00"/>
    <n v="67"/>
    <n v="9"/>
    <n v="1"/>
    <n v="8900"/>
    <n v="0"/>
    <n v="8900"/>
    <x v="0"/>
    <x v="0"/>
    <n v="3"/>
    <s v="Cancún All Inclusive"/>
    <x v="2"/>
    <x v="0"/>
  </r>
  <r>
    <n v="288"/>
    <x v="130"/>
    <d v="2025-06-29T00:00:00"/>
    <n v="78"/>
    <n v="5"/>
    <n v="1"/>
    <n v="3400"/>
    <n v="0"/>
    <n v="3400"/>
    <x v="2"/>
    <x v="0"/>
    <n v="3"/>
    <s v="Bonito Aventura"/>
    <x v="1"/>
    <x v="3"/>
  </r>
  <r>
    <n v="289"/>
    <x v="130"/>
    <d v="2025-07-11T00:00:00"/>
    <n v="76"/>
    <n v="7"/>
    <n v="1"/>
    <n v="4200"/>
    <n v="0"/>
    <n v="4200"/>
    <x v="0"/>
    <x v="0"/>
    <n v="4"/>
    <s v="Buenos Aires Clássica"/>
    <x v="4"/>
    <x v="2"/>
  </r>
  <r>
    <n v="290"/>
    <x v="131"/>
    <d v="2025-07-29T00:00:00"/>
    <n v="180"/>
    <n v="2"/>
    <n v="3"/>
    <n v="5400"/>
    <n v="0.05"/>
    <n v="5130"/>
    <x v="0"/>
    <x v="0"/>
    <n v="5"/>
    <s v="Rio Cidade Maravilhosa"/>
    <x v="4"/>
    <x v="3"/>
  </r>
  <r>
    <n v="291"/>
    <x v="132"/>
    <d v="2025-11-22T00:00:00"/>
    <n v="40"/>
    <n v="9"/>
    <n v="4"/>
    <n v="35600"/>
    <n v="0.05"/>
    <n v="33820"/>
    <x v="0"/>
    <x v="1"/>
    <m/>
    <s v="Cancún All Inclusive"/>
    <x v="2"/>
    <x v="0"/>
  </r>
  <r>
    <n v="292"/>
    <x v="132"/>
    <d v="2025-08-31T00:00:00"/>
    <n v="100"/>
    <n v="8"/>
    <n v="2"/>
    <n v="11800"/>
    <n v="0.05"/>
    <n v="11210"/>
    <x v="3"/>
    <x v="0"/>
    <n v="4"/>
    <s v="Santiago e Neve"/>
    <x v="3"/>
    <x v="1"/>
  </r>
  <r>
    <n v="293"/>
    <x v="133"/>
    <d v="2025-08-01T00:00:00"/>
    <n v="158"/>
    <n v="3"/>
    <n v="2"/>
    <n v="5200"/>
    <n v="0"/>
    <n v="5200"/>
    <x v="1"/>
    <x v="0"/>
    <n v="4"/>
    <s v="Serra Gaúcha"/>
    <x v="3"/>
    <x v="6"/>
  </r>
  <r>
    <n v="294"/>
    <x v="133"/>
    <d v="2025-10-15T00:00:00"/>
    <n v="103"/>
    <n v="5"/>
    <n v="1"/>
    <n v="3400"/>
    <n v="0.15"/>
    <n v="2890"/>
    <x v="3"/>
    <x v="1"/>
    <m/>
    <s v="Bonito Aventura"/>
    <x v="1"/>
    <x v="1"/>
  </r>
  <r>
    <n v="295"/>
    <x v="133"/>
    <d v="2025-07-17T00:00:00"/>
    <n v="119"/>
    <n v="11"/>
    <n v="2"/>
    <n v="31600"/>
    <n v="0.05"/>
    <n v="30020"/>
    <x v="2"/>
    <x v="0"/>
    <n v="5"/>
    <s v="Paris e Londres"/>
    <x v="4"/>
    <x v="1"/>
  </r>
  <r>
    <n v="296"/>
    <x v="134"/>
    <d v="2025-09-10T00:00:00"/>
    <n v="169"/>
    <n v="14"/>
    <n v="2"/>
    <n v="5800"/>
    <n v="0"/>
    <n v="5800"/>
    <x v="0"/>
    <x v="0"/>
    <n v="5"/>
    <s v="Lençóis Maranhenses"/>
    <x v="0"/>
    <x v="5"/>
  </r>
  <r>
    <n v="297"/>
    <x v="135"/>
    <d v="2025-07-20T00:00:00"/>
    <n v="27"/>
    <n v="2"/>
    <n v="1"/>
    <n v="1800"/>
    <n v="0.15"/>
    <n v="1530"/>
    <x v="0"/>
    <x v="0"/>
    <n v="3"/>
    <s v="Rio Cidade Maravilhosa"/>
    <x v="4"/>
    <x v="3"/>
  </r>
  <r>
    <n v="298"/>
    <x v="135"/>
    <d v="2025-08-11T00:00:00"/>
    <n v="29"/>
    <n v="8"/>
    <n v="1"/>
    <n v="5900"/>
    <n v="0.05"/>
    <n v="5605"/>
    <x v="0"/>
    <x v="0"/>
    <n v="5"/>
    <s v="Santiago e Neve"/>
    <x v="3"/>
    <x v="1"/>
  </r>
  <r>
    <n v="299"/>
    <x v="136"/>
    <d v="2025-06-29T00:00:00"/>
    <n v="51"/>
    <n v="1"/>
    <n v="1"/>
    <n v="3200"/>
    <n v="0"/>
    <n v="3200"/>
    <x v="0"/>
    <x v="0"/>
    <n v="4"/>
    <s v="Nordeste Encantado"/>
    <x v="2"/>
    <x v="0"/>
  </r>
  <r>
    <n v="300"/>
    <x v="136"/>
    <d v="2025-07-06T00:00:00"/>
    <n v="159"/>
    <n v="2"/>
    <n v="2"/>
    <n v="3600"/>
    <n v="0.15"/>
    <n v="3060"/>
    <x v="1"/>
    <x v="0"/>
    <n v="5"/>
    <s v="Rio Cidade Maravilhosa"/>
    <x v="4"/>
    <x v="1"/>
  </r>
  <r>
    <n v="301"/>
    <x v="136"/>
    <d v="2025-06-18T00:00:00"/>
    <n v="65"/>
    <n v="9"/>
    <n v="2"/>
    <n v="17800"/>
    <n v="0.05"/>
    <n v="16910"/>
    <x v="0"/>
    <x v="0"/>
    <n v="4"/>
    <s v="Cancún All Inclusive"/>
    <x v="2"/>
    <x v="1"/>
  </r>
  <r>
    <n v="302"/>
    <x v="136"/>
    <d v="2025-08-21T00:00:00"/>
    <n v="137"/>
    <n v="7"/>
    <n v="2"/>
    <n v="8400"/>
    <n v="0"/>
    <n v="8400"/>
    <x v="0"/>
    <x v="0"/>
    <n v="5"/>
    <s v="Buenos Aires Clássica"/>
    <x v="4"/>
    <x v="1"/>
  </r>
  <r>
    <n v="303"/>
    <x v="137"/>
    <d v="2025-07-27T00:00:00"/>
    <n v="121"/>
    <n v="11"/>
    <n v="1"/>
    <n v="15800"/>
    <n v="0.05"/>
    <n v="15010"/>
    <x v="0"/>
    <x v="0"/>
    <n v="5"/>
    <s v="Paris e Londres"/>
    <x v="4"/>
    <x v="6"/>
  </r>
  <r>
    <n v="304"/>
    <x v="138"/>
    <d v="2025-08-01T00:00:00"/>
    <n v="107"/>
    <n v="8"/>
    <n v="4"/>
    <n v="23600"/>
    <n v="0.05"/>
    <n v="22420"/>
    <x v="1"/>
    <x v="0"/>
    <n v="2"/>
    <s v="Santiago e Neve"/>
    <x v="3"/>
    <x v="2"/>
  </r>
  <r>
    <n v="305"/>
    <x v="138"/>
    <d v="2025-07-30T00:00:00"/>
    <n v="148"/>
    <n v="9"/>
    <n v="5"/>
    <n v="44500"/>
    <n v="0"/>
    <n v="44500"/>
    <x v="0"/>
    <x v="0"/>
    <n v="5"/>
    <s v="Cancún All Inclusive"/>
    <x v="2"/>
    <x v="1"/>
  </r>
  <r>
    <n v="306"/>
    <x v="138"/>
    <d v="2025-07-20T00:00:00"/>
    <n v="86"/>
    <n v="1"/>
    <n v="3"/>
    <n v="9600"/>
    <n v="0"/>
    <n v="9600"/>
    <x v="3"/>
    <x v="0"/>
    <n v="5"/>
    <s v="Nordeste Encantado"/>
    <x v="2"/>
    <x v="2"/>
  </r>
  <r>
    <n v="307"/>
    <x v="139"/>
    <d v="2025-07-19T00:00:00"/>
    <n v="189"/>
    <n v="7"/>
    <n v="2"/>
    <n v="8400"/>
    <n v="0.05"/>
    <n v="7980"/>
    <x v="3"/>
    <x v="0"/>
    <n v="4"/>
    <s v="Buenos Aires Clássica"/>
    <x v="4"/>
    <x v="1"/>
  </r>
  <r>
    <n v="308"/>
    <x v="139"/>
    <d v="2025-12-07T00:00:00"/>
    <n v="167"/>
    <n v="2"/>
    <n v="2"/>
    <n v="3600"/>
    <n v="0"/>
    <n v="3600"/>
    <x v="1"/>
    <x v="0"/>
    <n v="4"/>
    <s v="Rio Cidade Maravilhosa"/>
    <x v="4"/>
    <x v="1"/>
  </r>
  <r>
    <n v="309"/>
    <x v="139"/>
    <d v="2025-11-21T00:00:00"/>
    <n v="61"/>
    <n v="12"/>
    <n v="3"/>
    <n v="37200"/>
    <n v="0.1"/>
    <n v="33480"/>
    <x v="1"/>
    <x v="0"/>
    <n v="3"/>
    <s v="Lisboa e Porto"/>
    <x v="4"/>
    <x v="2"/>
  </r>
  <r>
    <n v="310"/>
    <x v="139"/>
    <d v="2025-07-06T00:00:00"/>
    <n v="117"/>
    <n v="6"/>
    <n v="2"/>
    <n v="4200"/>
    <n v="0"/>
    <n v="4200"/>
    <x v="0"/>
    <x v="0"/>
    <n v="4"/>
    <s v="Foz do Iguaçu"/>
    <x v="0"/>
    <x v="1"/>
  </r>
  <r>
    <n v="311"/>
    <x v="140"/>
    <d v="2025-08-08T00:00:00"/>
    <n v="48"/>
    <n v="3"/>
    <n v="3"/>
    <n v="7800"/>
    <n v="0"/>
    <n v="7800"/>
    <x v="0"/>
    <x v="0"/>
    <n v="3"/>
    <s v="Serra Gaúcha"/>
    <x v="3"/>
    <x v="1"/>
  </r>
  <r>
    <n v="312"/>
    <x v="140"/>
    <d v="2025-11-21T00:00:00"/>
    <n v="161"/>
    <n v="3"/>
    <n v="2"/>
    <n v="5200"/>
    <n v="0.05"/>
    <n v="4940"/>
    <x v="2"/>
    <x v="0"/>
    <n v="5"/>
    <s v="Serra Gaúcha"/>
    <x v="3"/>
    <x v="1"/>
  </r>
  <r>
    <n v="313"/>
    <x v="140"/>
    <d v="2025-07-17T00:00:00"/>
    <n v="116"/>
    <n v="7"/>
    <n v="1"/>
    <n v="4200"/>
    <n v="0"/>
    <n v="4200"/>
    <x v="3"/>
    <x v="0"/>
    <n v="3"/>
    <s v="Buenos Aires Clássica"/>
    <x v="4"/>
    <x v="0"/>
  </r>
  <r>
    <n v="314"/>
    <x v="141"/>
    <d v="2025-09-15T00:00:00"/>
    <n v="89"/>
    <n v="14"/>
    <n v="1"/>
    <n v="2900"/>
    <n v="0"/>
    <n v="2900"/>
    <x v="0"/>
    <x v="1"/>
    <m/>
    <s v="Lençóis Maranhenses"/>
    <x v="0"/>
    <x v="4"/>
  </r>
  <r>
    <n v="315"/>
    <x v="142"/>
    <d v="2025-06-28T00:00:00"/>
    <n v="89"/>
    <n v="2"/>
    <n v="3"/>
    <n v="5400"/>
    <n v="0"/>
    <n v="5400"/>
    <x v="1"/>
    <x v="0"/>
    <n v="5"/>
    <s v="Rio Cidade Maravilhosa"/>
    <x v="4"/>
    <x v="4"/>
  </r>
  <r>
    <n v="316"/>
    <x v="142"/>
    <d v="2025-07-09T00:00:00"/>
    <n v="181"/>
    <n v="14"/>
    <n v="1"/>
    <n v="2900"/>
    <n v="0.1"/>
    <n v="2610"/>
    <x v="0"/>
    <x v="0"/>
    <n v="3"/>
    <s v="Lençóis Maranhenses"/>
    <x v="0"/>
    <x v="0"/>
  </r>
  <r>
    <n v="317"/>
    <x v="142"/>
    <d v="2025-07-14T00:00:00"/>
    <n v="24"/>
    <n v="15"/>
    <n v="2"/>
    <n v="6200"/>
    <n v="0"/>
    <n v="6200"/>
    <x v="3"/>
    <x v="0"/>
    <n v="5"/>
    <s v="Jericoacoara"/>
    <x v="2"/>
    <x v="1"/>
  </r>
  <r>
    <n v="318"/>
    <x v="142"/>
    <d v="2025-07-02T00:00:00"/>
    <n v="177"/>
    <n v="3"/>
    <n v="2"/>
    <n v="5200"/>
    <n v="0.1"/>
    <n v="4680"/>
    <x v="3"/>
    <x v="0"/>
    <n v="5"/>
    <s v="Serra Gaúcha"/>
    <x v="3"/>
    <x v="0"/>
  </r>
  <r>
    <n v="319"/>
    <x v="142"/>
    <d v="2025-07-21T00:00:00"/>
    <n v="21"/>
    <n v="6"/>
    <n v="2"/>
    <n v="4200"/>
    <n v="0"/>
    <n v="4200"/>
    <x v="3"/>
    <x v="0"/>
    <n v="4"/>
    <s v="Foz do Iguaçu"/>
    <x v="0"/>
    <x v="4"/>
  </r>
  <r>
    <n v="320"/>
    <x v="142"/>
    <d v="2025-07-05T00:00:00"/>
    <n v="160"/>
    <n v="5"/>
    <n v="2"/>
    <n v="6800"/>
    <n v="0.05"/>
    <n v="6460"/>
    <x v="1"/>
    <x v="0"/>
    <n v="5"/>
    <s v="Bonito Aventura"/>
    <x v="1"/>
    <x v="0"/>
  </r>
  <r>
    <n v="321"/>
    <x v="143"/>
    <d v="2025-08-21T00:00:00"/>
    <n v="185"/>
    <n v="1"/>
    <n v="1"/>
    <n v="3200"/>
    <n v="0"/>
    <n v="3200"/>
    <x v="1"/>
    <x v="0"/>
    <n v="4"/>
    <s v="Nordeste Encantado"/>
    <x v="2"/>
    <x v="1"/>
  </r>
  <r>
    <n v="322"/>
    <x v="143"/>
    <d v="2025-07-12T00:00:00"/>
    <n v="149"/>
    <n v="5"/>
    <n v="2"/>
    <n v="6800"/>
    <n v="0.05"/>
    <n v="6460"/>
    <x v="1"/>
    <x v="0"/>
    <n v="2"/>
    <s v="Bonito Aventura"/>
    <x v="1"/>
    <x v="1"/>
  </r>
  <r>
    <n v="323"/>
    <x v="144"/>
    <d v="2025-07-21T00:00:00"/>
    <n v="136"/>
    <n v="1"/>
    <n v="4"/>
    <n v="12800"/>
    <n v="0.1"/>
    <n v="11520"/>
    <x v="0"/>
    <x v="0"/>
    <n v="4"/>
    <s v="Nordeste Encantado"/>
    <x v="2"/>
    <x v="4"/>
  </r>
  <r>
    <n v="324"/>
    <x v="144"/>
    <d v="2025-10-17T00:00:00"/>
    <n v="91"/>
    <n v="3"/>
    <n v="1"/>
    <n v="2600"/>
    <n v="0"/>
    <n v="2600"/>
    <x v="0"/>
    <x v="1"/>
    <m/>
    <s v="Serra Gaúcha"/>
    <x v="3"/>
    <x v="1"/>
  </r>
  <r>
    <n v="325"/>
    <x v="144"/>
    <d v="2025-08-16T00:00:00"/>
    <n v="39"/>
    <n v="15"/>
    <n v="2"/>
    <n v="6200"/>
    <n v="0.05"/>
    <n v="5890"/>
    <x v="1"/>
    <x v="0"/>
    <n v="5"/>
    <s v="Jericoacoara"/>
    <x v="2"/>
    <x v="0"/>
  </r>
  <r>
    <n v="326"/>
    <x v="145"/>
    <d v="2025-08-26T00:00:00"/>
    <n v="173"/>
    <n v="6"/>
    <n v="1"/>
    <n v="2100"/>
    <n v="0"/>
    <n v="2100"/>
    <x v="2"/>
    <x v="0"/>
    <n v="5"/>
    <s v="Foz do Iguaçu"/>
    <x v="0"/>
    <x v="5"/>
  </r>
  <r>
    <n v="327"/>
    <x v="145"/>
    <d v="2025-09-17T00:00:00"/>
    <n v="85"/>
    <n v="13"/>
    <n v="4"/>
    <n v="29200"/>
    <n v="0.05"/>
    <n v="27740"/>
    <x v="2"/>
    <x v="0"/>
    <n v="5"/>
    <s v="Machu Picchu"/>
    <x v="1"/>
    <x v="2"/>
  </r>
  <r>
    <n v="328"/>
    <x v="146"/>
    <d v="2025-07-05T00:00:00"/>
    <n v="70"/>
    <n v="5"/>
    <n v="2"/>
    <n v="6800"/>
    <n v="0"/>
    <n v="6800"/>
    <x v="0"/>
    <x v="1"/>
    <m/>
    <s v="Bonito Aventura"/>
    <x v="1"/>
    <x v="4"/>
  </r>
  <r>
    <n v="329"/>
    <x v="146"/>
    <d v="2025-08-19T00:00:00"/>
    <n v="161"/>
    <n v="2"/>
    <n v="1"/>
    <n v="1800"/>
    <n v="0.05"/>
    <n v="1710"/>
    <x v="0"/>
    <x v="0"/>
    <n v="4"/>
    <s v="Rio Cidade Maravilhosa"/>
    <x v="4"/>
    <x v="1"/>
  </r>
  <r>
    <n v="330"/>
    <x v="146"/>
    <d v="2025-10-30T00:00:00"/>
    <n v="176"/>
    <n v="10"/>
    <n v="1"/>
    <n v="11500"/>
    <n v="0"/>
    <n v="11500"/>
    <x v="0"/>
    <x v="0"/>
    <n v="5"/>
    <s v="Orlando Parques"/>
    <x v="5"/>
    <x v="1"/>
  </r>
  <r>
    <n v="331"/>
    <x v="146"/>
    <d v="2025-10-27T00:00:00"/>
    <n v="136"/>
    <n v="1"/>
    <n v="2"/>
    <n v="6400"/>
    <n v="0.05"/>
    <n v="6080"/>
    <x v="0"/>
    <x v="0"/>
    <n v="5"/>
    <s v="Nordeste Encantado"/>
    <x v="2"/>
    <x v="4"/>
  </r>
  <r>
    <n v="332"/>
    <x v="146"/>
    <d v="2025-09-24T00:00:00"/>
    <n v="13"/>
    <n v="3"/>
    <n v="2"/>
    <n v="5200"/>
    <n v="0"/>
    <n v="5200"/>
    <x v="1"/>
    <x v="0"/>
    <n v="4"/>
    <s v="Serra Gaúcha"/>
    <x v="3"/>
    <x v="6"/>
  </r>
  <r>
    <n v="333"/>
    <x v="146"/>
    <d v="2025-07-22T00:00:00"/>
    <n v="153"/>
    <n v="1"/>
    <n v="3"/>
    <n v="9600"/>
    <n v="0.1"/>
    <n v="8640"/>
    <x v="2"/>
    <x v="0"/>
    <n v="4"/>
    <s v="Nordeste Encantado"/>
    <x v="2"/>
    <x v="1"/>
  </r>
  <r>
    <n v="334"/>
    <x v="147"/>
    <d v="2025-08-16T00:00:00"/>
    <n v="69"/>
    <n v="13"/>
    <n v="2"/>
    <n v="14600"/>
    <n v="0.1"/>
    <n v="13140"/>
    <x v="1"/>
    <x v="0"/>
    <n v="4"/>
    <s v="Machu Picchu"/>
    <x v="1"/>
    <x v="0"/>
  </r>
  <r>
    <n v="335"/>
    <x v="147"/>
    <d v="2025-07-20T00:00:00"/>
    <n v="131"/>
    <n v="6"/>
    <n v="2"/>
    <n v="4200"/>
    <n v="0"/>
    <n v="4200"/>
    <x v="0"/>
    <x v="1"/>
    <m/>
    <s v="Foz do Iguaçu"/>
    <x v="0"/>
    <x v="0"/>
  </r>
  <r>
    <n v="336"/>
    <x v="147"/>
    <d v="2025-11-09T00:00:00"/>
    <n v="159"/>
    <n v="1"/>
    <n v="2"/>
    <n v="6400"/>
    <n v="0"/>
    <n v="6400"/>
    <x v="1"/>
    <x v="0"/>
    <n v="4"/>
    <s v="Nordeste Encantado"/>
    <x v="2"/>
    <x v="1"/>
  </r>
  <r>
    <n v="337"/>
    <x v="147"/>
    <d v="2025-07-11T00:00:00"/>
    <n v="173"/>
    <n v="9"/>
    <n v="1"/>
    <n v="8900"/>
    <n v="0.05"/>
    <n v="8455"/>
    <x v="0"/>
    <x v="1"/>
    <m/>
    <s v="Cancún All Inclusive"/>
    <x v="2"/>
    <x v="5"/>
  </r>
  <r>
    <n v="338"/>
    <x v="147"/>
    <d v="2025-08-30T00:00:00"/>
    <n v="6"/>
    <n v="10"/>
    <n v="2"/>
    <n v="23000"/>
    <n v="0.05"/>
    <n v="21850"/>
    <x v="2"/>
    <x v="0"/>
    <n v="4"/>
    <s v="Orlando Parques"/>
    <x v="5"/>
    <x v="1"/>
  </r>
  <r>
    <n v="339"/>
    <x v="148"/>
    <d v="2025-08-18T00:00:00"/>
    <n v="139"/>
    <n v="11"/>
    <n v="2"/>
    <n v="31600"/>
    <n v="0"/>
    <n v="31600"/>
    <x v="0"/>
    <x v="0"/>
    <n v="5"/>
    <s v="Paris e Londres"/>
    <x v="4"/>
    <x v="1"/>
  </r>
  <r>
    <n v="340"/>
    <x v="148"/>
    <d v="2025-07-11T00:00:00"/>
    <n v="129"/>
    <n v="7"/>
    <n v="3"/>
    <n v="12600"/>
    <n v="0"/>
    <n v="12600"/>
    <x v="0"/>
    <x v="0"/>
    <n v="3"/>
    <s v="Buenos Aires Clássica"/>
    <x v="4"/>
    <x v="4"/>
  </r>
  <r>
    <n v="341"/>
    <x v="149"/>
    <d v="2025-08-26T00:00:00"/>
    <n v="194"/>
    <n v="10"/>
    <n v="2"/>
    <n v="23000"/>
    <n v="0"/>
    <n v="23000"/>
    <x v="0"/>
    <x v="0"/>
    <n v="3"/>
    <s v="Orlando Parques"/>
    <x v="5"/>
    <x v="2"/>
  </r>
  <r>
    <n v="342"/>
    <x v="149"/>
    <d v="2025-09-26T00:00:00"/>
    <n v="49"/>
    <n v="9"/>
    <n v="1"/>
    <n v="8900"/>
    <n v="0"/>
    <n v="8900"/>
    <x v="3"/>
    <x v="0"/>
    <n v="5"/>
    <s v="Cancún All Inclusive"/>
    <x v="2"/>
    <x v="0"/>
  </r>
  <r>
    <n v="343"/>
    <x v="149"/>
    <d v="2025-08-28T00:00:00"/>
    <n v="121"/>
    <n v="2"/>
    <n v="2"/>
    <n v="3600"/>
    <n v="0.05"/>
    <n v="3420"/>
    <x v="0"/>
    <x v="0"/>
    <n v="4"/>
    <s v="Rio Cidade Maravilhosa"/>
    <x v="4"/>
    <x v="6"/>
  </r>
  <r>
    <n v="344"/>
    <x v="150"/>
    <d v="2025-07-07T00:00:00"/>
    <n v="185"/>
    <n v="10"/>
    <n v="3"/>
    <n v="34500"/>
    <n v="0"/>
    <n v="34500"/>
    <x v="0"/>
    <x v="0"/>
    <n v="3"/>
    <s v="Orlando Parques"/>
    <x v="5"/>
    <x v="1"/>
  </r>
  <r>
    <n v="345"/>
    <x v="151"/>
    <d v="2025-08-08T00:00:00"/>
    <n v="43"/>
    <n v="14"/>
    <n v="2"/>
    <n v="5800"/>
    <n v="0.05"/>
    <n v="5510"/>
    <x v="0"/>
    <x v="0"/>
    <n v="4"/>
    <s v="Lençóis Maranhenses"/>
    <x v="0"/>
    <x v="3"/>
  </r>
  <r>
    <n v="346"/>
    <x v="152"/>
    <d v="2025-08-04T00:00:00"/>
    <n v="40"/>
    <n v="2"/>
    <n v="4"/>
    <n v="7200"/>
    <n v="0"/>
    <n v="7200"/>
    <x v="3"/>
    <x v="0"/>
    <n v="5"/>
    <s v="Rio Cidade Maravilhosa"/>
    <x v="4"/>
    <x v="0"/>
  </r>
  <r>
    <n v="347"/>
    <x v="152"/>
    <d v="2025-11-15T00:00:00"/>
    <n v="11"/>
    <n v="2"/>
    <n v="3"/>
    <n v="5400"/>
    <n v="0.05"/>
    <n v="5130"/>
    <x v="0"/>
    <x v="0"/>
    <n v="5"/>
    <s v="Rio Cidade Maravilhosa"/>
    <x v="4"/>
    <x v="0"/>
  </r>
  <r>
    <n v="348"/>
    <x v="152"/>
    <d v="2025-07-10T00:00:00"/>
    <n v="188"/>
    <n v="8"/>
    <n v="1"/>
    <n v="5900"/>
    <n v="0"/>
    <n v="5900"/>
    <x v="0"/>
    <x v="0"/>
    <n v="5"/>
    <s v="Santiago e Neve"/>
    <x v="3"/>
    <x v="1"/>
  </r>
  <r>
    <n v="349"/>
    <x v="153"/>
    <d v="2025-10-03T00:00:00"/>
    <n v="21"/>
    <n v="9"/>
    <n v="3"/>
    <n v="26700"/>
    <n v="0"/>
    <n v="26700"/>
    <x v="3"/>
    <x v="1"/>
    <m/>
    <s v="Cancún All Inclusive"/>
    <x v="2"/>
    <x v="4"/>
  </r>
  <r>
    <n v="350"/>
    <x v="154"/>
    <d v="2025-07-07T00:00:00"/>
    <n v="78"/>
    <n v="8"/>
    <n v="1"/>
    <n v="5900"/>
    <n v="0.05"/>
    <n v="5605"/>
    <x v="0"/>
    <x v="0"/>
    <n v="3"/>
    <s v="Santiago e Neve"/>
    <x v="3"/>
    <x v="3"/>
  </r>
  <r>
    <n v="351"/>
    <x v="155"/>
    <d v="2025-07-14T00:00:00"/>
    <n v="84"/>
    <n v="6"/>
    <n v="2"/>
    <n v="4200"/>
    <n v="0"/>
    <n v="4200"/>
    <x v="0"/>
    <x v="0"/>
    <n v="4"/>
    <s v="Foz do Iguaçu"/>
    <x v="0"/>
    <x v="6"/>
  </r>
  <r>
    <n v="352"/>
    <x v="155"/>
    <d v="2025-07-11T00:00:00"/>
    <n v="98"/>
    <n v="15"/>
    <n v="4"/>
    <n v="12400"/>
    <n v="0.05"/>
    <n v="11780"/>
    <x v="0"/>
    <x v="0"/>
    <n v="4"/>
    <s v="Jericoacoara"/>
    <x v="2"/>
    <x v="1"/>
  </r>
  <r>
    <n v="353"/>
    <x v="155"/>
    <d v="2025-08-15T00:00:00"/>
    <n v="159"/>
    <n v="2"/>
    <n v="1"/>
    <n v="1800"/>
    <n v="0.05"/>
    <n v="1710"/>
    <x v="0"/>
    <x v="0"/>
    <n v="4"/>
    <s v="Rio Cidade Maravilhosa"/>
    <x v="4"/>
    <x v="1"/>
  </r>
  <r>
    <n v="354"/>
    <x v="155"/>
    <d v="2025-09-08T00:00:00"/>
    <n v="134"/>
    <n v="2"/>
    <n v="4"/>
    <n v="7200"/>
    <n v="0"/>
    <n v="7200"/>
    <x v="0"/>
    <x v="0"/>
    <n v="4"/>
    <s v="Rio Cidade Maravilhosa"/>
    <x v="4"/>
    <x v="4"/>
  </r>
  <r>
    <n v="355"/>
    <x v="155"/>
    <d v="2025-07-21T00:00:00"/>
    <n v="139"/>
    <n v="15"/>
    <n v="2"/>
    <n v="6200"/>
    <n v="0.1"/>
    <n v="5580"/>
    <x v="0"/>
    <x v="0"/>
    <n v="1"/>
    <s v="Jericoacoara"/>
    <x v="2"/>
    <x v="1"/>
  </r>
  <r>
    <n v="356"/>
    <x v="156"/>
    <d v="2025-12-11T00:00:00"/>
    <n v="72"/>
    <n v="2"/>
    <n v="2"/>
    <n v="3600"/>
    <n v="0"/>
    <n v="3600"/>
    <x v="0"/>
    <x v="1"/>
    <m/>
    <s v="Rio Cidade Maravilhosa"/>
    <x v="4"/>
    <x v="3"/>
  </r>
  <r>
    <n v="357"/>
    <x v="156"/>
    <d v="2025-07-23T00:00:00"/>
    <n v="83"/>
    <n v="1"/>
    <n v="1"/>
    <n v="3200"/>
    <n v="0"/>
    <n v="3200"/>
    <x v="3"/>
    <x v="0"/>
    <n v="5"/>
    <s v="Nordeste Encantado"/>
    <x v="2"/>
    <x v="1"/>
  </r>
  <r>
    <n v="358"/>
    <x v="156"/>
    <d v="2025-07-22T00:00:00"/>
    <n v="91"/>
    <n v="3"/>
    <n v="1"/>
    <n v="2600"/>
    <n v="0"/>
    <n v="2600"/>
    <x v="2"/>
    <x v="0"/>
    <n v="4"/>
    <s v="Serra Gaúcha"/>
    <x v="3"/>
    <x v="1"/>
  </r>
  <r>
    <n v="359"/>
    <x v="156"/>
    <d v="2025-07-17T00:00:00"/>
    <n v="120"/>
    <n v="12"/>
    <n v="4"/>
    <n v="49600"/>
    <n v="0"/>
    <n v="49600"/>
    <x v="3"/>
    <x v="0"/>
    <n v="5"/>
    <s v="Lisboa e Porto"/>
    <x v="4"/>
    <x v="3"/>
  </r>
  <r>
    <n v="360"/>
    <x v="157"/>
    <d v="2025-07-20T00:00:00"/>
    <n v="156"/>
    <n v="3"/>
    <n v="1"/>
    <n v="2600"/>
    <n v="0"/>
    <n v="2600"/>
    <x v="2"/>
    <x v="0"/>
    <n v="4"/>
    <s v="Serra Gaúcha"/>
    <x v="3"/>
    <x v="1"/>
  </r>
  <r>
    <n v="361"/>
    <x v="157"/>
    <d v="2025-07-23T00:00:00"/>
    <n v="5"/>
    <n v="9"/>
    <n v="4"/>
    <n v="35600"/>
    <n v="0.15"/>
    <n v="30260"/>
    <x v="0"/>
    <x v="0"/>
    <n v="4"/>
    <s v="Cancún All Inclusive"/>
    <x v="2"/>
    <x v="4"/>
  </r>
  <r>
    <n v="362"/>
    <x v="157"/>
    <d v="2025-08-17T00:00:00"/>
    <n v="103"/>
    <n v="6"/>
    <n v="1"/>
    <n v="2100"/>
    <n v="0"/>
    <n v="2100"/>
    <x v="3"/>
    <x v="0"/>
    <n v="2"/>
    <s v="Foz do Iguaçu"/>
    <x v="0"/>
    <x v="1"/>
  </r>
  <r>
    <n v="363"/>
    <x v="157"/>
    <d v="2025-07-16T00:00:00"/>
    <n v="76"/>
    <n v="1"/>
    <n v="3"/>
    <n v="9600"/>
    <n v="0"/>
    <n v="9600"/>
    <x v="0"/>
    <x v="0"/>
    <n v="5"/>
    <s v="Nordeste Encantado"/>
    <x v="2"/>
    <x v="2"/>
  </r>
  <r>
    <n v="364"/>
    <x v="158"/>
    <d v="2025-08-21T00:00:00"/>
    <n v="84"/>
    <n v="14"/>
    <n v="4"/>
    <n v="11600"/>
    <n v="0"/>
    <n v="11600"/>
    <x v="0"/>
    <x v="0"/>
    <n v="5"/>
    <s v="Lençóis Maranhenses"/>
    <x v="0"/>
    <x v="6"/>
  </r>
  <r>
    <n v="365"/>
    <x v="159"/>
    <d v="2025-07-21T00:00:00"/>
    <n v="170"/>
    <n v="8"/>
    <n v="3"/>
    <n v="17700"/>
    <n v="0"/>
    <n v="17700"/>
    <x v="1"/>
    <x v="0"/>
    <n v="5"/>
    <s v="Santiago e Neve"/>
    <x v="3"/>
    <x v="1"/>
  </r>
  <r>
    <n v="366"/>
    <x v="159"/>
    <d v="2025-09-02T00:00:00"/>
    <n v="45"/>
    <n v="8"/>
    <n v="3"/>
    <n v="17700"/>
    <n v="0.1"/>
    <n v="15930"/>
    <x v="1"/>
    <x v="0"/>
    <n v="5"/>
    <s v="Santiago e Neve"/>
    <x v="3"/>
    <x v="1"/>
  </r>
  <r>
    <n v="367"/>
    <x v="159"/>
    <d v="2025-09-08T00:00:00"/>
    <n v="113"/>
    <n v="15"/>
    <n v="3"/>
    <n v="9300"/>
    <n v="0.1"/>
    <n v="8370"/>
    <x v="3"/>
    <x v="0"/>
    <n v="5"/>
    <s v="Jericoacoara"/>
    <x v="2"/>
    <x v="1"/>
  </r>
  <r>
    <n v="368"/>
    <x v="159"/>
    <d v="2025-09-07T00:00:00"/>
    <n v="173"/>
    <n v="6"/>
    <n v="3"/>
    <n v="6300"/>
    <n v="0.1"/>
    <n v="5670"/>
    <x v="2"/>
    <x v="0"/>
    <n v="1"/>
    <s v="Foz do Iguaçu"/>
    <x v="0"/>
    <x v="5"/>
  </r>
  <r>
    <n v="369"/>
    <x v="160"/>
    <d v="2025-12-15T00:00:00"/>
    <n v="76"/>
    <n v="1"/>
    <n v="3"/>
    <n v="9600"/>
    <n v="0"/>
    <n v="9600"/>
    <x v="1"/>
    <x v="0"/>
    <n v="5"/>
    <s v="Nordeste Encantado"/>
    <x v="2"/>
    <x v="2"/>
  </r>
  <r>
    <n v="370"/>
    <x v="160"/>
    <d v="2025-11-24T00:00:00"/>
    <n v="14"/>
    <n v="1"/>
    <n v="5"/>
    <n v="16000"/>
    <n v="0"/>
    <n v="16000"/>
    <x v="1"/>
    <x v="0"/>
    <n v="3"/>
    <s v="Nordeste Encantado"/>
    <x v="2"/>
    <x v="7"/>
  </r>
  <r>
    <n v="371"/>
    <x v="160"/>
    <d v="2025-09-06T00:00:00"/>
    <n v="120"/>
    <n v="15"/>
    <n v="2"/>
    <n v="6200"/>
    <n v="0"/>
    <n v="6200"/>
    <x v="1"/>
    <x v="0"/>
    <n v="5"/>
    <s v="Jericoacoara"/>
    <x v="2"/>
    <x v="3"/>
  </r>
  <r>
    <n v="372"/>
    <x v="160"/>
    <d v="2025-07-25T00:00:00"/>
    <n v="75"/>
    <n v="10"/>
    <n v="2"/>
    <n v="23000"/>
    <n v="0.05"/>
    <n v="21850"/>
    <x v="2"/>
    <x v="0"/>
    <n v="4"/>
    <s v="Orlando Parques"/>
    <x v="5"/>
    <x v="6"/>
  </r>
  <r>
    <n v="373"/>
    <x v="160"/>
    <d v="2025-09-13T00:00:00"/>
    <n v="54"/>
    <n v="15"/>
    <n v="1"/>
    <n v="3100"/>
    <n v="0"/>
    <n v="3100"/>
    <x v="3"/>
    <x v="0"/>
    <n v="5"/>
    <s v="Jericoacoara"/>
    <x v="2"/>
    <x v="0"/>
  </r>
  <r>
    <n v="374"/>
    <x v="161"/>
    <d v="2025-10-17T00:00:00"/>
    <n v="94"/>
    <n v="14"/>
    <n v="2"/>
    <n v="5800"/>
    <n v="0.05"/>
    <n v="5510"/>
    <x v="3"/>
    <x v="1"/>
    <m/>
    <s v="Lençóis Maranhenses"/>
    <x v="0"/>
    <x v="0"/>
  </r>
  <r>
    <n v="375"/>
    <x v="161"/>
    <d v="2025-08-31T00:00:00"/>
    <n v="135"/>
    <n v="5"/>
    <n v="2"/>
    <n v="6800"/>
    <n v="0.1"/>
    <n v="6120"/>
    <x v="0"/>
    <x v="0"/>
    <n v="5"/>
    <s v="Bonito Aventura"/>
    <x v="1"/>
    <x v="0"/>
  </r>
  <r>
    <n v="376"/>
    <x v="161"/>
    <d v="2025-08-23T00:00:00"/>
    <n v="127"/>
    <n v="2"/>
    <n v="4"/>
    <n v="7200"/>
    <n v="0.05"/>
    <n v="6840"/>
    <x v="1"/>
    <x v="0"/>
    <n v="5"/>
    <s v="Rio Cidade Maravilhosa"/>
    <x v="4"/>
    <x v="1"/>
  </r>
  <r>
    <n v="377"/>
    <x v="161"/>
    <d v="2025-07-26T00:00:00"/>
    <n v="1"/>
    <n v="1"/>
    <n v="1"/>
    <n v="3200"/>
    <n v="0.1"/>
    <n v="2880"/>
    <x v="3"/>
    <x v="0"/>
    <n v="4"/>
    <s v="Nordeste Encantado"/>
    <x v="2"/>
    <x v="2"/>
  </r>
  <r>
    <n v="378"/>
    <x v="162"/>
    <d v="2025-10-10T00:00:00"/>
    <n v="163"/>
    <n v="2"/>
    <n v="2"/>
    <n v="3600"/>
    <n v="0.1"/>
    <n v="3240"/>
    <x v="0"/>
    <x v="0"/>
    <n v="5"/>
    <s v="Rio Cidade Maravilhosa"/>
    <x v="4"/>
    <x v="2"/>
  </r>
  <r>
    <n v="379"/>
    <x v="162"/>
    <d v="2025-07-31T00:00:00"/>
    <n v="88"/>
    <n v="5"/>
    <n v="2"/>
    <n v="6800"/>
    <n v="0.15"/>
    <n v="5780"/>
    <x v="1"/>
    <x v="0"/>
    <n v="4"/>
    <s v="Bonito Aventura"/>
    <x v="1"/>
    <x v="0"/>
  </r>
  <r>
    <n v="380"/>
    <x v="162"/>
    <d v="2025-11-23T00:00:00"/>
    <n v="7"/>
    <n v="14"/>
    <n v="2"/>
    <n v="5800"/>
    <n v="0"/>
    <n v="5800"/>
    <x v="1"/>
    <x v="0"/>
    <n v="2"/>
    <s v="Lençóis Maranhenses"/>
    <x v="0"/>
    <x v="1"/>
  </r>
  <r>
    <n v="381"/>
    <x v="162"/>
    <d v="2025-08-29T00:00:00"/>
    <n v="158"/>
    <n v="15"/>
    <n v="2"/>
    <n v="6200"/>
    <n v="0"/>
    <n v="6200"/>
    <x v="3"/>
    <x v="0"/>
    <n v="5"/>
    <s v="Jericoacoara"/>
    <x v="2"/>
    <x v="6"/>
  </r>
  <r>
    <n v="382"/>
    <x v="163"/>
    <d v="2025-07-22T00:00:00"/>
    <n v="119"/>
    <n v="13"/>
    <n v="1"/>
    <n v="7300"/>
    <n v="0.05"/>
    <n v="6935"/>
    <x v="0"/>
    <x v="0"/>
    <n v="4"/>
    <s v="Machu Picchu"/>
    <x v="1"/>
    <x v="1"/>
  </r>
  <r>
    <n v="383"/>
    <x v="163"/>
    <d v="2025-07-31T00:00:00"/>
    <n v="184"/>
    <n v="1"/>
    <n v="5"/>
    <n v="16000"/>
    <n v="0.15"/>
    <n v="13600"/>
    <x v="1"/>
    <x v="0"/>
    <n v="5"/>
    <s v="Nordeste Encantado"/>
    <x v="2"/>
    <x v="1"/>
  </r>
  <r>
    <n v="384"/>
    <x v="163"/>
    <d v="2025-10-06T00:00:00"/>
    <n v="48"/>
    <n v="1"/>
    <n v="2"/>
    <n v="6400"/>
    <n v="0.1"/>
    <n v="5760"/>
    <x v="3"/>
    <x v="0"/>
    <n v="4"/>
    <s v="Nordeste Encantado"/>
    <x v="2"/>
    <x v="1"/>
  </r>
  <r>
    <n v="385"/>
    <x v="163"/>
    <d v="2025-10-05T00:00:00"/>
    <n v="26"/>
    <n v="13"/>
    <n v="4"/>
    <n v="29200"/>
    <n v="0.1"/>
    <n v="26280"/>
    <x v="0"/>
    <x v="0"/>
    <n v="5"/>
    <s v="Machu Picchu"/>
    <x v="1"/>
    <x v="1"/>
  </r>
  <r>
    <n v="386"/>
    <x v="163"/>
    <d v="2025-09-25T00:00:00"/>
    <n v="33"/>
    <n v="11"/>
    <n v="2"/>
    <n v="31600"/>
    <n v="0"/>
    <n v="31600"/>
    <x v="0"/>
    <x v="0"/>
    <n v="4"/>
    <s v="Paris e Londres"/>
    <x v="4"/>
    <x v="3"/>
  </r>
  <r>
    <n v="387"/>
    <x v="163"/>
    <d v="2025-09-03T00:00:00"/>
    <n v="95"/>
    <n v="13"/>
    <n v="4"/>
    <n v="29200"/>
    <n v="0.05"/>
    <n v="27740"/>
    <x v="0"/>
    <x v="1"/>
    <m/>
    <s v="Machu Picchu"/>
    <x v="1"/>
    <x v="3"/>
  </r>
  <r>
    <n v="388"/>
    <x v="164"/>
    <d v="2025-08-01T00:00:00"/>
    <n v="60"/>
    <n v="9"/>
    <n v="1"/>
    <n v="8900"/>
    <n v="0"/>
    <n v="8900"/>
    <x v="0"/>
    <x v="0"/>
    <n v="4"/>
    <s v="Cancún All Inclusive"/>
    <x v="2"/>
    <x v="3"/>
  </r>
  <r>
    <n v="389"/>
    <x v="164"/>
    <d v="2025-08-16T00:00:00"/>
    <n v="83"/>
    <n v="15"/>
    <n v="4"/>
    <n v="12400"/>
    <n v="0"/>
    <n v="12400"/>
    <x v="0"/>
    <x v="0"/>
    <n v="3"/>
    <s v="Jericoacoara"/>
    <x v="2"/>
    <x v="1"/>
  </r>
  <r>
    <n v="390"/>
    <x v="164"/>
    <d v="2025-09-05T00:00:00"/>
    <n v="67"/>
    <n v="15"/>
    <n v="2"/>
    <n v="6200"/>
    <n v="0"/>
    <n v="6200"/>
    <x v="0"/>
    <x v="0"/>
    <n v="4"/>
    <s v="Jericoacoara"/>
    <x v="2"/>
    <x v="0"/>
  </r>
  <r>
    <n v="391"/>
    <x v="165"/>
    <d v="2025-08-27T00:00:00"/>
    <n v="144"/>
    <n v="1"/>
    <n v="2"/>
    <n v="6400"/>
    <n v="0.05"/>
    <n v="6080"/>
    <x v="0"/>
    <x v="0"/>
    <n v="4"/>
    <s v="Nordeste Encantado"/>
    <x v="2"/>
    <x v="2"/>
  </r>
  <r>
    <n v="392"/>
    <x v="165"/>
    <d v="2025-07-28T00:00:00"/>
    <n v="152"/>
    <n v="6"/>
    <n v="4"/>
    <n v="8400"/>
    <n v="0.05"/>
    <n v="7980"/>
    <x v="1"/>
    <x v="0"/>
    <n v="5"/>
    <s v="Foz do Iguaçu"/>
    <x v="0"/>
    <x v="1"/>
  </r>
  <r>
    <n v="393"/>
    <x v="165"/>
    <d v="2025-08-04T00:00:00"/>
    <n v="129"/>
    <n v="6"/>
    <n v="2"/>
    <n v="4200"/>
    <n v="0.05"/>
    <n v="3990"/>
    <x v="1"/>
    <x v="0"/>
    <n v="4"/>
    <s v="Foz do Iguaçu"/>
    <x v="0"/>
    <x v="4"/>
  </r>
  <r>
    <n v="394"/>
    <x v="165"/>
    <d v="2025-07-31T00:00:00"/>
    <n v="80"/>
    <n v="15"/>
    <n v="1"/>
    <n v="3100"/>
    <n v="0.15"/>
    <n v="2635"/>
    <x v="0"/>
    <x v="1"/>
    <m/>
    <s v="Jericoacoara"/>
    <x v="2"/>
    <x v="1"/>
  </r>
  <r>
    <n v="395"/>
    <x v="165"/>
    <d v="2025-09-17T00:00:00"/>
    <n v="105"/>
    <n v="14"/>
    <n v="2"/>
    <n v="5800"/>
    <n v="0"/>
    <n v="5800"/>
    <x v="3"/>
    <x v="0"/>
    <n v="3"/>
    <s v="Lençóis Maranhenses"/>
    <x v="0"/>
    <x v="5"/>
  </r>
  <r>
    <n v="396"/>
    <x v="166"/>
    <d v="2025-08-08T00:00:00"/>
    <n v="182"/>
    <n v="7"/>
    <n v="2"/>
    <n v="8400"/>
    <n v="0"/>
    <n v="8400"/>
    <x v="1"/>
    <x v="0"/>
    <n v="4"/>
    <s v="Buenos Aires Clássica"/>
    <x v="4"/>
    <x v="4"/>
  </r>
  <r>
    <n v="397"/>
    <x v="167"/>
    <d v="2025-10-18T00:00:00"/>
    <n v="154"/>
    <n v="3"/>
    <n v="2"/>
    <n v="5200"/>
    <n v="0"/>
    <n v="5200"/>
    <x v="0"/>
    <x v="0"/>
    <n v="4"/>
    <s v="Serra Gaúcha"/>
    <x v="3"/>
    <x v="2"/>
  </r>
  <r>
    <n v="398"/>
    <x v="167"/>
    <d v="2025-12-10T00:00:00"/>
    <n v="70"/>
    <n v="10"/>
    <n v="2"/>
    <n v="23000"/>
    <n v="0"/>
    <n v="23000"/>
    <x v="1"/>
    <x v="0"/>
    <n v="4"/>
    <s v="Orlando Parques"/>
    <x v="5"/>
    <x v="4"/>
  </r>
  <r>
    <n v="399"/>
    <x v="167"/>
    <d v="2025-09-10T00:00:00"/>
    <n v="123"/>
    <n v="11"/>
    <n v="4"/>
    <n v="63200"/>
    <n v="0"/>
    <n v="63200"/>
    <x v="0"/>
    <x v="0"/>
    <n v="3"/>
    <s v="Paris e Londres"/>
    <x v="4"/>
    <x v="3"/>
  </r>
  <r>
    <n v="400"/>
    <x v="168"/>
    <d v="2025-08-17T00:00:00"/>
    <n v="66"/>
    <n v="10"/>
    <n v="2"/>
    <n v="23000"/>
    <n v="0.1"/>
    <n v="20700"/>
    <x v="1"/>
    <x v="1"/>
    <m/>
    <s v="Orlando Parques"/>
    <x v="5"/>
    <x v="5"/>
  </r>
  <r>
    <n v="401"/>
    <x v="169"/>
    <d v="2025-08-18T00:00:00"/>
    <n v="80"/>
    <n v="1"/>
    <n v="2"/>
    <n v="6400"/>
    <n v="0"/>
    <n v="6400"/>
    <x v="3"/>
    <x v="0"/>
    <n v="2"/>
    <s v="Nordeste Encantado"/>
    <x v="2"/>
    <x v="1"/>
  </r>
  <r>
    <n v="402"/>
    <x v="170"/>
    <d v="2025-10-16T00:00:00"/>
    <n v="191"/>
    <n v="11"/>
    <n v="3"/>
    <n v="47400"/>
    <n v="0"/>
    <n v="47400"/>
    <x v="1"/>
    <x v="0"/>
    <n v="1"/>
    <s v="Paris e Londres"/>
    <x v="4"/>
    <x v="1"/>
  </r>
  <r>
    <n v="403"/>
    <x v="170"/>
    <d v="2025-08-02T00:00:00"/>
    <n v="22"/>
    <n v="3"/>
    <n v="2"/>
    <n v="5200"/>
    <n v="0"/>
    <n v="5200"/>
    <x v="0"/>
    <x v="1"/>
    <m/>
    <s v="Serra Gaúcha"/>
    <x v="3"/>
    <x v="1"/>
  </r>
  <r>
    <n v="404"/>
    <x v="170"/>
    <d v="2025-09-07T00:00:00"/>
    <n v="125"/>
    <n v="15"/>
    <n v="3"/>
    <n v="9300"/>
    <n v="0"/>
    <n v="9300"/>
    <x v="3"/>
    <x v="0"/>
    <n v="2"/>
    <s v="Jericoacoara"/>
    <x v="2"/>
    <x v="4"/>
  </r>
  <r>
    <n v="405"/>
    <x v="170"/>
    <d v="2025-08-15T00:00:00"/>
    <n v="81"/>
    <n v="7"/>
    <n v="1"/>
    <n v="4200"/>
    <n v="0"/>
    <n v="4200"/>
    <x v="3"/>
    <x v="0"/>
    <n v="2"/>
    <s v="Buenos Aires Clássica"/>
    <x v="4"/>
    <x v="1"/>
  </r>
  <r>
    <n v="406"/>
    <x v="170"/>
    <d v="2025-08-06T00:00:00"/>
    <n v="122"/>
    <n v="8"/>
    <n v="4"/>
    <n v="23600"/>
    <n v="0.1"/>
    <n v="21240"/>
    <x v="0"/>
    <x v="0"/>
    <n v="4"/>
    <s v="Santiago e Neve"/>
    <x v="3"/>
    <x v="3"/>
  </r>
  <r>
    <n v="407"/>
    <x v="170"/>
    <d v="2025-09-04T00:00:00"/>
    <n v="38"/>
    <n v="4"/>
    <n v="2"/>
    <n v="13800"/>
    <n v="0"/>
    <n v="13800"/>
    <x v="3"/>
    <x v="0"/>
    <n v="5"/>
    <s v="Fernando de Noronha"/>
    <x v="2"/>
    <x v="1"/>
  </r>
  <r>
    <n v="408"/>
    <x v="171"/>
    <d v="2025-08-19T00:00:00"/>
    <n v="77"/>
    <n v="9"/>
    <n v="2"/>
    <n v="17800"/>
    <n v="0"/>
    <n v="17800"/>
    <x v="0"/>
    <x v="0"/>
    <n v="4"/>
    <s v="Cancún All Inclusive"/>
    <x v="2"/>
    <x v="0"/>
  </r>
  <r>
    <n v="409"/>
    <x v="171"/>
    <d v="2025-09-15T00:00:00"/>
    <n v="86"/>
    <n v="2"/>
    <n v="2"/>
    <n v="3600"/>
    <n v="0.1"/>
    <n v="3240"/>
    <x v="1"/>
    <x v="0"/>
    <n v="5"/>
    <s v="Rio Cidade Maravilhosa"/>
    <x v="4"/>
    <x v="2"/>
  </r>
  <r>
    <n v="410"/>
    <x v="171"/>
    <d v="2025-09-21T00:00:00"/>
    <n v="105"/>
    <n v="2"/>
    <n v="2"/>
    <n v="3600"/>
    <n v="0"/>
    <n v="3600"/>
    <x v="3"/>
    <x v="0"/>
    <n v="4"/>
    <s v="Rio Cidade Maravilhosa"/>
    <x v="4"/>
    <x v="5"/>
  </r>
  <r>
    <n v="411"/>
    <x v="171"/>
    <d v="2025-08-01T00:00:00"/>
    <n v="177"/>
    <n v="5"/>
    <n v="3"/>
    <n v="10200"/>
    <n v="0"/>
    <n v="10200"/>
    <x v="0"/>
    <x v="0"/>
    <n v="5"/>
    <s v="Bonito Aventura"/>
    <x v="1"/>
    <x v="0"/>
  </r>
  <r>
    <n v="412"/>
    <x v="171"/>
    <d v="2025-08-13T00:00:00"/>
    <n v="180"/>
    <n v="1"/>
    <n v="1"/>
    <n v="3200"/>
    <n v="0"/>
    <n v="3200"/>
    <x v="1"/>
    <x v="0"/>
    <n v="5"/>
    <s v="Nordeste Encantado"/>
    <x v="2"/>
    <x v="3"/>
  </r>
  <r>
    <n v="413"/>
    <x v="171"/>
    <d v="2025-08-07T00:00:00"/>
    <n v="164"/>
    <n v="6"/>
    <n v="2"/>
    <n v="4200"/>
    <n v="0"/>
    <n v="4200"/>
    <x v="0"/>
    <x v="0"/>
    <n v="5"/>
    <s v="Foz do Iguaçu"/>
    <x v="0"/>
    <x v="0"/>
  </r>
  <r>
    <n v="414"/>
    <x v="171"/>
    <d v="2025-08-19T00:00:00"/>
    <n v="79"/>
    <n v="3"/>
    <n v="2"/>
    <n v="5200"/>
    <n v="0"/>
    <n v="5200"/>
    <x v="2"/>
    <x v="1"/>
    <m/>
    <s v="Serra Gaúcha"/>
    <x v="3"/>
    <x v="0"/>
  </r>
  <r>
    <n v="415"/>
    <x v="171"/>
    <d v="2025-09-29T00:00:00"/>
    <n v="90"/>
    <n v="6"/>
    <n v="1"/>
    <n v="2100"/>
    <n v="0.1"/>
    <n v="1890"/>
    <x v="2"/>
    <x v="0"/>
    <n v="2"/>
    <s v="Foz do Iguaçu"/>
    <x v="0"/>
    <x v="6"/>
  </r>
  <r>
    <n v="416"/>
    <x v="172"/>
    <d v="2025-10-19T00:00:00"/>
    <n v="26"/>
    <n v="7"/>
    <n v="2"/>
    <n v="8400"/>
    <n v="0.1"/>
    <n v="7560"/>
    <x v="0"/>
    <x v="0"/>
    <n v="4"/>
    <s v="Buenos Aires Clássica"/>
    <x v="4"/>
    <x v="1"/>
  </r>
  <r>
    <n v="417"/>
    <x v="172"/>
    <d v="2025-09-20T00:00:00"/>
    <n v="124"/>
    <n v="1"/>
    <n v="2"/>
    <n v="6400"/>
    <n v="0"/>
    <n v="6400"/>
    <x v="0"/>
    <x v="0"/>
    <n v="4"/>
    <s v="Nordeste Encantado"/>
    <x v="2"/>
    <x v="5"/>
  </r>
  <r>
    <n v="418"/>
    <x v="173"/>
    <d v="2025-09-21T00:00:00"/>
    <n v="67"/>
    <n v="1"/>
    <n v="3"/>
    <n v="9600"/>
    <n v="0"/>
    <n v="9600"/>
    <x v="0"/>
    <x v="0"/>
    <n v="5"/>
    <s v="Nordeste Encantado"/>
    <x v="2"/>
    <x v="0"/>
  </r>
  <r>
    <n v="419"/>
    <x v="173"/>
    <d v="2025-08-30T00:00:00"/>
    <n v="191"/>
    <n v="11"/>
    <n v="4"/>
    <n v="63200"/>
    <n v="0.05"/>
    <n v="60040"/>
    <x v="0"/>
    <x v="0"/>
    <n v="3"/>
    <s v="Paris e Londres"/>
    <x v="4"/>
    <x v="1"/>
  </r>
  <r>
    <n v="420"/>
    <x v="174"/>
    <d v="2025-08-10T00:00:00"/>
    <n v="177"/>
    <n v="2"/>
    <n v="2"/>
    <n v="3600"/>
    <n v="0.05"/>
    <n v="3420"/>
    <x v="3"/>
    <x v="0"/>
    <n v="3"/>
    <s v="Rio Cidade Maravilhosa"/>
    <x v="4"/>
    <x v="0"/>
  </r>
  <r>
    <n v="421"/>
    <x v="175"/>
    <d v="2025-08-29T00:00:00"/>
    <n v="192"/>
    <n v="15"/>
    <n v="2"/>
    <n v="6200"/>
    <n v="0.1"/>
    <n v="5580"/>
    <x v="0"/>
    <x v="0"/>
    <n v="5"/>
    <s v="Jericoacoara"/>
    <x v="2"/>
    <x v="1"/>
  </r>
  <r>
    <n v="422"/>
    <x v="175"/>
    <d v="2026-01-11T00:00:00"/>
    <n v="178"/>
    <n v="1"/>
    <n v="2"/>
    <n v="6400"/>
    <n v="0"/>
    <n v="6400"/>
    <x v="0"/>
    <x v="0"/>
    <n v="5"/>
    <s v="Nordeste Encantado"/>
    <x v="2"/>
    <x v="7"/>
  </r>
  <r>
    <n v="423"/>
    <x v="175"/>
    <d v="2025-09-02T00:00:00"/>
    <n v="64"/>
    <n v="2"/>
    <n v="2"/>
    <n v="3600"/>
    <n v="0"/>
    <n v="3600"/>
    <x v="0"/>
    <x v="0"/>
    <n v="4"/>
    <s v="Rio Cidade Maravilhosa"/>
    <x v="4"/>
    <x v="7"/>
  </r>
  <r>
    <n v="424"/>
    <x v="175"/>
    <d v="2025-12-13T00:00:00"/>
    <n v="7"/>
    <n v="11"/>
    <n v="4"/>
    <n v="63200"/>
    <n v="0"/>
    <n v="63200"/>
    <x v="1"/>
    <x v="0"/>
    <n v="3"/>
    <s v="Paris e Londres"/>
    <x v="4"/>
    <x v="1"/>
  </r>
  <r>
    <n v="425"/>
    <x v="176"/>
    <d v="2025-10-20T00:00:00"/>
    <n v="84"/>
    <n v="12"/>
    <n v="2"/>
    <n v="24800"/>
    <n v="0.1"/>
    <n v="22320"/>
    <x v="0"/>
    <x v="0"/>
    <n v="2"/>
    <s v="Lisboa e Porto"/>
    <x v="4"/>
    <x v="6"/>
  </r>
  <r>
    <n v="426"/>
    <x v="177"/>
    <d v="2025-08-09T00:00:00"/>
    <n v="113"/>
    <n v="15"/>
    <n v="4"/>
    <n v="12400"/>
    <n v="0"/>
    <n v="12400"/>
    <x v="1"/>
    <x v="0"/>
    <n v="5"/>
    <s v="Jericoacoara"/>
    <x v="2"/>
    <x v="1"/>
  </r>
  <r>
    <n v="427"/>
    <x v="177"/>
    <d v="2025-09-06T00:00:00"/>
    <n v="101"/>
    <n v="2"/>
    <n v="2"/>
    <n v="3600"/>
    <n v="0.05"/>
    <n v="3420"/>
    <x v="0"/>
    <x v="0"/>
    <n v="3"/>
    <s v="Rio Cidade Maravilhosa"/>
    <x v="4"/>
    <x v="1"/>
  </r>
  <r>
    <n v="428"/>
    <x v="177"/>
    <d v="2025-10-01T00:00:00"/>
    <n v="82"/>
    <n v="8"/>
    <n v="1"/>
    <n v="5900"/>
    <n v="0"/>
    <n v="5900"/>
    <x v="1"/>
    <x v="0"/>
    <n v="4"/>
    <s v="Santiago e Neve"/>
    <x v="3"/>
    <x v="1"/>
  </r>
  <r>
    <n v="429"/>
    <x v="178"/>
    <d v="2025-10-18T00:00:00"/>
    <n v="79"/>
    <n v="2"/>
    <n v="2"/>
    <n v="3600"/>
    <n v="0"/>
    <n v="3600"/>
    <x v="0"/>
    <x v="0"/>
    <n v="4"/>
    <s v="Rio Cidade Maravilhosa"/>
    <x v="4"/>
    <x v="0"/>
  </r>
  <r>
    <n v="430"/>
    <x v="178"/>
    <d v="2025-09-08T00:00:00"/>
    <n v="180"/>
    <n v="10"/>
    <n v="3"/>
    <n v="34500"/>
    <n v="0"/>
    <n v="34500"/>
    <x v="3"/>
    <x v="0"/>
    <n v="2"/>
    <s v="Orlando Parques"/>
    <x v="5"/>
    <x v="3"/>
  </r>
  <r>
    <n v="431"/>
    <x v="179"/>
    <d v="2025-08-06T00:00:00"/>
    <n v="120"/>
    <n v="7"/>
    <n v="5"/>
    <n v="21000"/>
    <n v="0.05"/>
    <n v="19950"/>
    <x v="0"/>
    <x v="0"/>
    <n v="5"/>
    <s v="Buenos Aires Clássica"/>
    <x v="4"/>
    <x v="3"/>
  </r>
  <r>
    <n v="432"/>
    <x v="179"/>
    <d v="2025-08-15T00:00:00"/>
    <n v="58"/>
    <n v="14"/>
    <n v="1"/>
    <n v="2900"/>
    <n v="0.05"/>
    <n v="2755"/>
    <x v="2"/>
    <x v="0"/>
    <n v="5"/>
    <s v="Lençóis Maranhenses"/>
    <x v="0"/>
    <x v="1"/>
  </r>
  <r>
    <n v="433"/>
    <x v="179"/>
    <d v="2025-08-16T00:00:00"/>
    <n v="112"/>
    <n v="4"/>
    <n v="4"/>
    <n v="27600"/>
    <n v="0"/>
    <n v="27600"/>
    <x v="1"/>
    <x v="0"/>
    <n v="4"/>
    <s v="Fernando de Noronha"/>
    <x v="2"/>
    <x v="1"/>
  </r>
  <r>
    <n v="434"/>
    <x v="180"/>
    <d v="2025-09-05T00:00:00"/>
    <n v="122"/>
    <n v="3"/>
    <n v="3"/>
    <n v="7800"/>
    <n v="0.15"/>
    <n v="6630"/>
    <x v="1"/>
    <x v="0"/>
    <n v="4"/>
    <s v="Serra Gaúcha"/>
    <x v="3"/>
    <x v="3"/>
  </r>
  <r>
    <n v="435"/>
    <x v="180"/>
    <d v="2025-10-16T00:00:00"/>
    <n v="167"/>
    <n v="1"/>
    <n v="5"/>
    <n v="16000"/>
    <n v="0"/>
    <n v="16000"/>
    <x v="3"/>
    <x v="0"/>
    <n v="5"/>
    <s v="Nordeste Encantado"/>
    <x v="2"/>
    <x v="1"/>
  </r>
  <r>
    <n v="436"/>
    <x v="180"/>
    <d v="2025-11-27T00:00:00"/>
    <n v="107"/>
    <n v="2"/>
    <n v="1"/>
    <n v="1800"/>
    <n v="0"/>
    <n v="1800"/>
    <x v="3"/>
    <x v="0"/>
    <n v="4"/>
    <s v="Rio Cidade Maravilhosa"/>
    <x v="4"/>
    <x v="2"/>
  </r>
  <r>
    <n v="437"/>
    <x v="181"/>
    <d v="2025-08-12T00:00:00"/>
    <n v="44"/>
    <n v="6"/>
    <n v="1"/>
    <n v="2100"/>
    <n v="0.05"/>
    <n v="1995"/>
    <x v="0"/>
    <x v="0"/>
    <n v="5"/>
    <s v="Foz do Iguaçu"/>
    <x v="0"/>
    <x v="2"/>
  </r>
  <r>
    <n v="438"/>
    <x v="181"/>
    <d v="2025-08-17T00:00:00"/>
    <n v="138"/>
    <n v="10"/>
    <n v="4"/>
    <n v="46000"/>
    <n v="0"/>
    <n v="46000"/>
    <x v="1"/>
    <x v="0"/>
    <n v="4"/>
    <s v="Orlando Parques"/>
    <x v="5"/>
    <x v="1"/>
  </r>
  <r>
    <n v="439"/>
    <x v="181"/>
    <d v="2025-09-08T00:00:00"/>
    <n v="17"/>
    <n v="13"/>
    <n v="4"/>
    <n v="29200"/>
    <n v="0"/>
    <n v="29200"/>
    <x v="1"/>
    <x v="0"/>
    <n v="5"/>
    <s v="Machu Picchu"/>
    <x v="1"/>
    <x v="0"/>
  </r>
  <r>
    <n v="440"/>
    <x v="181"/>
    <d v="2025-08-17T00:00:00"/>
    <n v="183"/>
    <n v="3"/>
    <n v="4"/>
    <n v="10400"/>
    <n v="0"/>
    <n v="10400"/>
    <x v="0"/>
    <x v="0"/>
    <n v="4"/>
    <s v="Serra Gaúcha"/>
    <x v="3"/>
    <x v="4"/>
  </r>
  <r>
    <n v="441"/>
    <x v="182"/>
    <d v="2025-08-23T00:00:00"/>
    <n v="128"/>
    <n v="2"/>
    <n v="4"/>
    <n v="7200"/>
    <n v="0.1"/>
    <n v="6480"/>
    <x v="0"/>
    <x v="0"/>
    <n v="3"/>
    <s v="Rio Cidade Maravilhosa"/>
    <x v="4"/>
    <x v="2"/>
  </r>
  <r>
    <n v="442"/>
    <x v="183"/>
    <d v="2025-08-10T00:00:00"/>
    <n v="45"/>
    <n v="2"/>
    <n v="5"/>
    <n v="9000"/>
    <n v="0"/>
    <n v="9000"/>
    <x v="0"/>
    <x v="0"/>
    <n v="5"/>
    <s v="Rio Cidade Maravilhosa"/>
    <x v="4"/>
    <x v="1"/>
  </r>
  <r>
    <n v="443"/>
    <x v="184"/>
    <d v="2025-11-02T00:00:00"/>
    <n v="101"/>
    <n v="6"/>
    <n v="2"/>
    <n v="4200"/>
    <n v="0.05"/>
    <n v="3990"/>
    <x v="3"/>
    <x v="0"/>
    <n v="4"/>
    <s v="Foz do Iguaçu"/>
    <x v="0"/>
    <x v="1"/>
  </r>
  <r>
    <n v="444"/>
    <x v="184"/>
    <d v="2025-10-12T00:00:00"/>
    <n v="18"/>
    <n v="2"/>
    <n v="2"/>
    <n v="3600"/>
    <n v="0"/>
    <n v="3600"/>
    <x v="3"/>
    <x v="0"/>
    <n v="4"/>
    <s v="Rio Cidade Maravilhosa"/>
    <x v="4"/>
    <x v="3"/>
  </r>
  <r>
    <n v="445"/>
    <x v="185"/>
    <d v="2025-08-29T00:00:00"/>
    <n v="40"/>
    <n v="7"/>
    <n v="2"/>
    <n v="8400"/>
    <n v="0"/>
    <n v="8400"/>
    <x v="1"/>
    <x v="0"/>
    <n v="4"/>
    <s v="Buenos Aires Clássica"/>
    <x v="4"/>
    <x v="0"/>
  </r>
  <r>
    <n v="446"/>
    <x v="185"/>
    <d v="2025-11-21T00:00:00"/>
    <n v="121"/>
    <n v="6"/>
    <n v="1"/>
    <n v="2100"/>
    <n v="0.1"/>
    <n v="1890"/>
    <x v="0"/>
    <x v="0"/>
    <n v="3"/>
    <s v="Foz do Iguaçu"/>
    <x v="0"/>
    <x v="6"/>
  </r>
  <r>
    <n v="447"/>
    <x v="186"/>
    <d v="2025-12-26T00:00:00"/>
    <n v="128"/>
    <n v="6"/>
    <n v="2"/>
    <n v="4200"/>
    <n v="0"/>
    <n v="4200"/>
    <x v="0"/>
    <x v="0"/>
    <n v="5"/>
    <s v="Foz do Iguaçu"/>
    <x v="0"/>
    <x v="2"/>
  </r>
  <r>
    <n v="448"/>
    <x v="186"/>
    <d v="2026-01-18T00:00:00"/>
    <n v="197"/>
    <n v="14"/>
    <n v="2"/>
    <n v="5800"/>
    <n v="0"/>
    <n v="5800"/>
    <x v="1"/>
    <x v="0"/>
    <n v="5"/>
    <s v="Lençóis Maranhenses"/>
    <x v="0"/>
    <x v="1"/>
  </r>
  <r>
    <n v="449"/>
    <x v="186"/>
    <d v="2025-08-18T00:00:00"/>
    <n v="38"/>
    <n v="5"/>
    <n v="1"/>
    <n v="3400"/>
    <n v="0.05"/>
    <n v="3230"/>
    <x v="3"/>
    <x v="0"/>
    <n v="5"/>
    <s v="Bonito Aventura"/>
    <x v="1"/>
    <x v="1"/>
  </r>
  <r>
    <n v="450"/>
    <x v="187"/>
    <d v="2025-09-08T00:00:00"/>
    <n v="20"/>
    <n v="12"/>
    <n v="3"/>
    <n v="37200"/>
    <n v="0.1"/>
    <n v="33480"/>
    <x v="3"/>
    <x v="0"/>
    <n v="3"/>
    <s v="Lisboa e Porto"/>
    <x v="4"/>
    <x v="3"/>
  </r>
  <r>
    <n v="451"/>
    <x v="187"/>
    <d v="2025-09-24T00:00:00"/>
    <n v="119"/>
    <n v="8"/>
    <n v="1"/>
    <n v="5900"/>
    <n v="0.05"/>
    <n v="5605"/>
    <x v="0"/>
    <x v="1"/>
    <m/>
    <s v="Santiago e Neve"/>
    <x v="3"/>
    <x v="1"/>
  </r>
  <r>
    <n v="452"/>
    <x v="187"/>
    <d v="2025-12-31T00:00:00"/>
    <n v="45"/>
    <n v="5"/>
    <n v="1"/>
    <n v="3400"/>
    <n v="0"/>
    <n v="3400"/>
    <x v="3"/>
    <x v="0"/>
    <n v="4"/>
    <s v="Bonito Aventura"/>
    <x v="1"/>
    <x v="1"/>
  </r>
  <r>
    <n v="453"/>
    <x v="188"/>
    <d v="2025-08-23T00:00:00"/>
    <n v="4"/>
    <n v="3"/>
    <n v="5"/>
    <n v="13000"/>
    <n v="0"/>
    <n v="13000"/>
    <x v="0"/>
    <x v="0"/>
    <n v="5"/>
    <s v="Serra Gaúcha"/>
    <x v="3"/>
    <x v="0"/>
  </r>
  <r>
    <n v="454"/>
    <x v="188"/>
    <d v="2025-12-26T00:00:00"/>
    <n v="129"/>
    <n v="1"/>
    <n v="1"/>
    <n v="3200"/>
    <n v="0"/>
    <n v="3200"/>
    <x v="3"/>
    <x v="0"/>
    <n v="1"/>
    <s v="Nordeste Encantado"/>
    <x v="2"/>
    <x v="4"/>
  </r>
  <r>
    <n v="455"/>
    <x v="188"/>
    <d v="2025-09-22T00:00:00"/>
    <n v="12"/>
    <n v="9"/>
    <n v="3"/>
    <n v="26700"/>
    <n v="0"/>
    <n v="26700"/>
    <x v="0"/>
    <x v="0"/>
    <n v="4"/>
    <s v="Cancún All Inclusive"/>
    <x v="2"/>
    <x v="0"/>
  </r>
  <r>
    <n v="456"/>
    <x v="189"/>
    <d v="2025-08-30T00:00:00"/>
    <n v="101"/>
    <n v="15"/>
    <n v="4"/>
    <n v="12400"/>
    <n v="0.1"/>
    <n v="11160"/>
    <x v="0"/>
    <x v="0"/>
    <n v="5"/>
    <s v="Jericoacoara"/>
    <x v="2"/>
    <x v="1"/>
  </r>
  <r>
    <n v="457"/>
    <x v="189"/>
    <d v="2025-10-09T00:00:00"/>
    <n v="12"/>
    <n v="11"/>
    <n v="2"/>
    <n v="31600"/>
    <n v="0"/>
    <n v="31600"/>
    <x v="0"/>
    <x v="0"/>
    <n v="3"/>
    <s v="Paris e Londres"/>
    <x v="4"/>
    <x v="0"/>
  </r>
  <r>
    <n v="458"/>
    <x v="189"/>
    <d v="2025-12-15T00:00:00"/>
    <n v="83"/>
    <n v="14"/>
    <n v="2"/>
    <n v="5800"/>
    <n v="0"/>
    <n v="5800"/>
    <x v="0"/>
    <x v="0"/>
    <n v="5"/>
    <s v="Lençóis Maranhenses"/>
    <x v="0"/>
    <x v="1"/>
  </r>
  <r>
    <n v="459"/>
    <x v="189"/>
    <d v="2025-08-16T00:00:00"/>
    <n v="136"/>
    <n v="1"/>
    <n v="2"/>
    <n v="6400"/>
    <n v="0.1"/>
    <n v="5760"/>
    <x v="1"/>
    <x v="0"/>
    <n v="4"/>
    <s v="Nordeste Encantado"/>
    <x v="2"/>
    <x v="4"/>
  </r>
  <r>
    <n v="460"/>
    <x v="189"/>
    <d v="2025-12-09T00:00:00"/>
    <n v="32"/>
    <n v="10"/>
    <n v="2"/>
    <n v="23000"/>
    <n v="0"/>
    <n v="23000"/>
    <x v="0"/>
    <x v="0"/>
    <n v="4"/>
    <s v="Orlando Parques"/>
    <x v="5"/>
    <x v="3"/>
  </r>
  <r>
    <n v="461"/>
    <x v="189"/>
    <d v="2025-09-14T00:00:00"/>
    <n v="26"/>
    <n v="10"/>
    <n v="2"/>
    <n v="23000"/>
    <n v="0"/>
    <n v="23000"/>
    <x v="3"/>
    <x v="0"/>
    <n v="4"/>
    <s v="Orlando Parques"/>
    <x v="5"/>
    <x v="1"/>
  </r>
  <r>
    <n v="462"/>
    <x v="189"/>
    <d v="2025-10-12T00:00:00"/>
    <n v="150"/>
    <n v="1"/>
    <n v="1"/>
    <n v="3200"/>
    <n v="0"/>
    <n v="3200"/>
    <x v="0"/>
    <x v="0"/>
    <n v="4"/>
    <s v="Nordeste Encantado"/>
    <x v="2"/>
    <x v="1"/>
  </r>
  <r>
    <n v="463"/>
    <x v="190"/>
    <d v="2025-10-31T00:00:00"/>
    <n v="191"/>
    <n v="3"/>
    <n v="2"/>
    <n v="5200"/>
    <n v="0"/>
    <n v="5200"/>
    <x v="0"/>
    <x v="0"/>
    <n v="5"/>
    <s v="Serra Gaúcha"/>
    <x v="3"/>
    <x v="1"/>
  </r>
  <r>
    <n v="464"/>
    <x v="190"/>
    <d v="2025-10-30T00:00:00"/>
    <n v="90"/>
    <n v="9"/>
    <n v="1"/>
    <n v="8900"/>
    <n v="0"/>
    <n v="8900"/>
    <x v="2"/>
    <x v="0"/>
    <n v="4"/>
    <s v="Cancún All Inclusive"/>
    <x v="2"/>
    <x v="6"/>
  </r>
  <r>
    <n v="465"/>
    <x v="191"/>
    <d v="2025-12-06T00:00:00"/>
    <n v="19"/>
    <n v="10"/>
    <n v="2"/>
    <n v="23000"/>
    <n v="0.15"/>
    <n v="19550"/>
    <x v="0"/>
    <x v="0"/>
    <n v="5"/>
    <s v="Orlando Parques"/>
    <x v="5"/>
    <x v="1"/>
  </r>
  <r>
    <n v="466"/>
    <x v="191"/>
    <d v="2025-12-09T00:00:00"/>
    <n v="190"/>
    <n v="1"/>
    <n v="3"/>
    <n v="9600"/>
    <n v="0.05"/>
    <n v="9120"/>
    <x v="1"/>
    <x v="0"/>
    <n v="5"/>
    <s v="Nordeste Encantado"/>
    <x v="2"/>
    <x v="1"/>
  </r>
  <r>
    <n v="467"/>
    <x v="192"/>
    <d v="2026-01-08T00:00:00"/>
    <n v="115"/>
    <n v="9"/>
    <n v="2"/>
    <n v="17800"/>
    <n v="0"/>
    <n v="17800"/>
    <x v="3"/>
    <x v="0"/>
    <n v="4"/>
    <s v="Cancún All Inclusive"/>
    <x v="2"/>
    <x v="1"/>
  </r>
  <r>
    <n v="468"/>
    <x v="192"/>
    <d v="2025-10-12T00:00:00"/>
    <n v="191"/>
    <n v="9"/>
    <n v="2"/>
    <n v="17800"/>
    <n v="0"/>
    <n v="17800"/>
    <x v="3"/>
    <x v="0"/>
    <n v="5"/>
    <s v="Cancún All Inclusive"/>
    <x v="2"/>
    <x v="1"/>
  </r>
  <r>
    <n v="469"/>
    <x v="192"/>
    <d v="2025-10-11T00:00:00"/>
    <n v="157"/>
    <n v="9"/>
    <n v="2"/>
    <n v="17800"/>
    <n v="0.15"/>
    <n v="15130"/>
    <x v="0"/>
    <x v="0"/>
    <n v="5"/>
    <s v="Cancún All Inclusive"/>
    <x v="2"/>
    <x v="1"/>
  </r>
  <r>
    <n v="470"/>
    <x v="192"/>
    <d v="2025-09-17T00:00:00"/>
    <n v="9"/>
    <n v="1"/>
    <n v="2"/>
    <n v="6400"/>
    <n v="0"/>
    <n v="6400"/>
    <x v="1"/>
    <x v="1"/>
    <m/>
    <s v="Nordeste Encantado"/>
    <x v="2"/>
    <x v="4"/>
  </r>
  <r>
    <n v="471"/>
    <x v="192"/>
    <d v="2025-09-02T00:00:00"/>
    <n v="57"/>
    <n v="7"/>
    <n v="3"/>
    <n v="12600"/>
    <n v="0"/>
    <n v="12600"/>
    <x v="0"/>
    <x v="0"/>
    <n v="5"/>
    <s v="Buenos Aires Clássica"/>
    <x v="4"/>
    <x v="4"/>
  </r>
  <r>
    <n v="472"/>
    <x v="193"/>
    <d v="2025-09-02T00:00:00"/>
    <n v="186"/>
    <n v="5"/>
    <n v="1"/>
    <n v="3400"/>
    <n v="0.05"/>
    <n v="3230"/>
    <x v="0"/>
    <x v="0"/>
    <n v="4"/>
    <s v="Bonito Aventura"/>
    <x v="1"/>
    <x v="0"/>
  </r>
  <r>
    <n v="473"/>
    <x v="193"/>
    <d v="2025-10-28T00:00:00"/>
    <n v="159"/>
    <n v="7"/>
    <n v="2"/>
    <n v="8400"/>
    <n v="0"/>
    <n v="8400"/>
    <x v="3"/>
    <x v="0"/>
    <n v="4"/>
    <s v="Buenos Aires Clássica"/>
    <x v="4"/>
    <x v="1"/>
  </r>
  <r>
    <n v="474"/>
    <x v="193"/>
    <d v="2025-10-19T00:00:00"/>
    <n v="148"/>
    <n v="1"/>
    <n v="2"/>
    <n v="6400"/>
    <n v="0"/>
    <n v="6400"/>
    <x v="1"/>
    <x v="0"/>
    <n v="4"/>
    <s v="Nordeste Encantado"/>
    <x v="2"/>
    <x v="1"/>
  </r>
  <r>
    <n v="475"/>
    <x v="194"/>
    <d v="2026-02-07T00:00:00"/>
    <n v="32"/>
    <n v="1"/>
    <n v="2"/>
    <n v="6400"/>
    <n v="0.15"/>
    <n v="5440"/>
    <x v="0"/>
    <x v="0"/>
    <n v="5"/>
    <s v="Nordeste Encantado"/>
    <x v="2"/>
    <x v="3"/>
  </r>
  <r>
    <n v="476"/>
    <x v="194"/>
    <d v="2025-10-03T00:00:00"/>
    <n v="198"/>
    <n v="9"/>
    <n v="2"/>
    <n v="17800"/>
    <n v="0"/>
    <n v="17800"/>
    <x v="0"/>
    <x v="1"/>
    <m/>
    <s v="Cancún All Inclusive"/>
    <x v="2"/>
    <x v="1"/>
  </r>
  <r>
    <n v="477"/>
    <x v="194"/>
    <d v="2025-08-29T00:00:00"/>
    <n v="120"/>
    <n v="8"/>
    <n v="4"/>
    <n v="23600"/>
    <n v="0.05"/>
    <n v="22420"/>
    <x v="0"/>
    <x v="0"/>
    <n v="4"/>
    <s v="Santiago e Neve"/>
    <x v="3"/>
    <x v="3"/>
  </r>
  <r>
    <n v="478"/>
    <x v="195"/>
    <d v="2025-10-06T00:00:00"/>
    <n v="38"/>
    <n v="12"/>
    <n v="3"/>
    <n v="37200"/>
    <n v="0.1"/>
    <n v="33480"/>
    <x v="3"/>
    <x v="0"/>
    <n v="5"/>
    <s v="Lisboa e Porto"/>
    <x v="4"/>
    <x v="1"/>
  </r>
  <r>
    <n v="479"/>
    <x v="196"/>
    <d v="2025-08-25T00:00:00"/>
    <n v="77"/>
    <n v="7"/>
    <n v="5"/>
    <n v="21000"/>
    <n v="0.15"/>
    <n v="17850"/>
    <x v="0"/>
    <x v="0"/>
    <n v="2"/>
    <s v="Buenos Aires Clássica"/>
    <x v="4"/>
    <x v="0"/>
  </r>
  <r>
    <n v="480"/>
    <x v="196"/>
    <d v="2026-02-16T00:00:00"/>
    <n v="93"/>
    <n v="2"/>
    <n v="3"/>
    <n v="5400"/>
    <n v="0.1"/>
    <n v="4860"/>
    <x v="0"/>
    <x v="0"/>
    <n v="4"/>
    <s v="Rio Cidade Maravilhosa"/>
    <x v="4"/>
    <x v="2"/>
  </r>
  <r>
    <n v="481"/>
    <x v="197"/>
    <d v="2025-10-13T00:00:00"/>
    <n v="122"/>
    <n v="15"/>
    <n v="5"/>
    <n v="15500"/>
    <n v="0"/>
    <n v="15500"/>
    <x v="1"/>
    <x v="0"/>
    <n v="4"/>
    <s v="Jericoacoara"/>
    <x v="2"/>
    <x v="3"/>
  </r>
  <r>
    <n v="482"/>
    <x v="198"/>
    <d v="2025-09-02T00:00:00"/>
    <n v="145"/>
    <n v="1"/>
    <n v="4"/>
    <n v="12800"/>
    <n v="0"/>
    <n v="12800"/>
    <x v="0"/>
    <x v="0"/>
    <n v="4"/>
    <s v="Nordeste Encantado"/>
    <x v="2"/>
    <x v="1"/>
  </r>
  <r>
    <n v="483"/>
    <x v="198"/>
    <d v="2025-11-19T00:00:00"/>
    <n v="57"/>
    <n v="10"/>
    <n v="3"/>
    <n v="34500"/>
    <n v="0"/>
    <n v="34500"/>
    <x v="3"/>
    <x v="0"/>
    <n v="5"/>
    <s v="Orlando Parques"/>
    <x v="5"/>
    <x v="4"/>
  </r>
  <r>
    <n v="484"/>
    <x v="198"/>
    <d v="2025-09-07T00:00:00"/>
    <n v="74"/>
    <n v="1"/>
    <n v="1"/>
    <n v="3200"/>
    <n v="0"/>
    <n v="3200"/>
    <x v="0"/>
    <x v="0"/>
    <n v="3"/>
    <s v="Nordeste Encantado"/>
    <x v="2"/>
    <x v="1"/>
  </r>
  <r>
    <n v="485"/>
    <x v="199"/>
    <d v="2025-09-04T00:00:00"/>
    <n v="97"/>
    <n v="3"/>
    <n v="2"/>
    <n v="5200"/>
    <n v="0.1"/>
    <n v="4680"/>
    <x v="1"/>
    <x v="0"/>
    <n v="5"/>
    <s v="Serra Gaúcha"/>
    <x v="3"/>
    <x v="1"/>
  </r>
  <r>
    <n v="486"/>
    <x v="200"/>
    <d v="2025-09-15T00:00:00"/>
    <n v="121"/>
    <n v="13"/>
    <n v="1"/>
    <n v="7300"/>
    <n v="0"/>
    <n v="7300"/>
    <x v="1"/>
    <x v="1"/>
    <m/>
    <s v="Machu Picchu"/>
    <x v="1"/>
    <x v="6"/>
  </r>
  <r>
    <n v="487"/>
    <x v="201"/>
    <d v="2025-11-02T00:00:00"/>
    <n v="42"/>
    <n v="9"/>
    <n v="1"/>
    <n v="8900"/>
    <n v="0"/>
    <n v="8900"/>
    <x v="2"/>
    <x v="0"/>
    <n v="2"/>
    <s v="Cancún All Inclusive"/>
    <x v="2"/>
    <x v="1"/>
  </r>
  <r>
    <n v="488"/>
    <x v="201"/>
    <d v="2026-02-05T00:00:00"/>
    <n v="6"/>
    <n v="14"/>
    <n v="1"/>
    <n v="2900"/>
    <n v="0.05"/>
    <n v="2755"/>
    <x v="0"/>
    <x v="0"/>
    <n v="5"/>
    <s v="Lençóis Maranhenses"/>
    <x v="0"/>
    <x v="1"/>
  </r>
  <r>
    <n v="489"/>
    <x v="202"/>
    <d v="2026-02-13T00:00:00"/>
    <n v="118"/>
    <n v="2"/>
    <n v="3"/>
    <n v="5400"/>
    <n v="0"/>
    <n v="5400"/>
    <x v="1"/>
    <x v="0"/>
    <n v="4"/>
    <s v="Rio Cidade Maravilhosa"/>
    <x v="4"/>
    <x v="1"/>
  </r>
  <r>
    <n v="490"/>
    <x v="202"/>
    <d v="2026-02-01T00:00:00"/>
    <n v="33"/>
    <n v="15"/>
    <n v="3"/>
    <n v="9300"/>
    <n v="0"/>
    <n v="9300"/>
    <x v="3"/>
    <x v="0"/>
    <n v="3"/>
    <s v="Jericoacoara"/>
    <x v="2"/>
    <x v="3"/>
  </r>
  <r>
    <n v="491"/>
    <x v="202"/>
    <d v="2025-10-08T00:00:00"/>
    <n v="73"/>
    <n v="12"/>
    <n v="2"/>
    <n v="24800"/>
    <n v="0.1"/>
    <n v="22320"/>
    <x v="3"/>
    <x v="1"/>
    <m/>
    <s v="Lisboa e Porto"/>
    <x v="4"/>
    <x v="1"/>
  </r>
  <r>
    <n v="492"/>
    <x v="203"/>
    <d v="2025-09-12T00:00:00"/>
    <n v="79"/>
    <n v="15"/>
    <n v="1"/>
    <n v="3100"/>
    <n v="0"/>
    <n v="3100"/>
    <x v="0"/>
    <x v="0"/>
    <n v="4"/>
    <s v="Jericoacoara"/>
    <x v="2"/>
    <x v="0"/>
  </r>
  <r>
    <n v="493"/>
    <x v="204"/>
    <d v="2025-10-26T00:00:00"/>
    <n v="104"/>
    <n v="7"/>
    <n v="3"/>
    <n v="12600"/>
    <n v="0.1"/>
    <n v="11340"/>
    <x v="3"/>
    <x v="0"/>
    <n v="3"/>
    <s v="Buenos Aires Clássica"/>
    <x v="4"/>
    <x v="0"/>
  </r>
  <r>
    <n v="494"/>
    <x v="204"/>
    <d v="2026-02-26T00:00:00"/>
    <n v="184"/>
    <n v="15"/>
    <n v="2"/>
    <n v="6200"/>
    <n v="0"/>
    <n v="6200"/>
    <x v="1"/>
    <x v="0"/>
    <n v="4"/>
    <s v="Jericoacoara"/>
    <x v="2"/>
    <x v="1"/>
  </r>
  <r>
    <n v="495"/>
    <x v="205"/>
    <d v="2025-10-29T00:00:00"/>
    <n v="11"/>
    <n v="1"/>
    <n v="2"/>
    <n v="6400"/>
    <n v="0"/>
    <n v="6400"/>
    <x v="1"/>
    <x v="1"/>
    <m/>
    <s v="Nordeste Encantado"/>
    <x v="2"/>
    <x v="0"/>
  </r>
  <r>
    <n v="496"/>
    <x v="205"/>
    <d v="2025-10-23T00:00:00"/>
    <n v="177"/>
    <n v="3"/>
    <n v="2"/>
    <n v="5200"/>
    <n v="0"/>
    <n v="5200"/>
    <x v="1"/>
    <x v="0"/>
    <n v="5"/>
    <s v="Serra Gaúcha"/>
    <x v="3"/>
    <x v="0"/>
  </r>
  <r>
    <n v="497"/>
    <x v="205"/>
    <d v="2026-02-13T00:00:00"/>
    <n v="153"/>
    <n v="14"/>
    <n v="2"/>
    <n v="5800"/>
    <n v="0"/>
    <n v="5800"/>
    <x v="2"/>
    <x v="0"/>
    <n v="3"/>
    <s v="Lençóis Maranhenses"/>
    <x v="0"/>
    <x v="1"/>
  </r>
  <r>
    <n v="498"/>
    <x v="205"/>
    <d v="2025-09-05T00:00:00"/>
    <n v="4"/>
    <n v="6"/>
    <n v="2"/>
    <n v="4200"/>
    <n v="0"/>
    <n v="4200"/>
    <x v="0"/>
    <x v="0"/>
    <n v="4"/>
    <s v="Foz do Iguaçu"/>
    <x v="0"/>
    <x v="0"/>
  </r>
  <r>
    <n v="499"/>
    <x v="205"/>
    <d v="2025-10-18T00:00:00"/>
    <n v="120"/>
    <n v="1"/>
    <n v="4"/>
    <n v="12800"/>
    <n v="0.05"/>
    <n v="12160"/>
    <x v="1"/>
    <x v="0"/>
    <n v="2"/>
    <s v="Nordeste Encantado"/>
    <x v="2"/>
    <x v="3"/>
  </r>
  <r>
    <n v="500"/>
    <x v="206"/>
    <d v="2025-11-20T00:00:00"/>
    <n v="69"/>
    <n v="6"/>
    <n v="1"/>
    <n v="2100"/>
    <n v="0"/>
    <n v="2100"/>
    <x v="0"/>
    <x v="0"/>
    <n v="3"/>
    <s v="Foz do Iguaçu"/>
    <x v="0"/>
    <x v="0"/>
  </r>
  <r>
    <n v="501"/>
    <x v="206"/>
    <d v="2025-12-19T00:00:00"/>
    <n v="3"/>
    <n v="1"/>
    <n v="4"/>
    <n v="12800"/>
    <n v="0.1"/>
    <n v="11520"/>
    <x v="0"/>
    <x v="0"/>
    <n v="5"/>
    <s v="Nordeste Encantado"/>
    <x v="2"/>
    <x v="1"/>
  </r>
  <r>
    <n v="502"/>
    <x v="206"/>
    <d v="2025-11-26T00:00:00"/>
    <n v="174"/>
    <n v="1"/>
    <n v="2"/>
    <n v="6400"/>
    <n v="0"/>
    <n v="6400"/>
    <x v="1"/>
    <x v="0"/>
    <n v="5"/>
    <s v="Nordeste Encantado"/>
    <x v="2"/>
    <x v="1"/>
  </r>
  <r>
    <n v="503"/>
    <x v="207"/>
    <d v="2025-09-17T00:00:00"/>
    <n v="25"/>
    <n v="14"/>
    <n v="1"/>
    <n v="2900"/>
    <n v="0"/>
    <n v="2900"/>
    <x v="1"/>
    <x v="1"/>
    <m/>
    <s v="Lençóis Maranhenses"/>
    <x v="0"/>
    <x v="7"/>
  </r>
  <r>
    <n v="504"/>
    <x v="207"/>
    <d v="2025-10-17T00:00:00"/>
    <n v="73"/>
    <n v="6"/>
    <n v="1"/>
    <n v="2100"/>
    <n v="0.05"/>
    <n v="1995"/>
    <x v="1"/>
    <x v="0"/>
    <n v="4"/>
    <s v="Foz do Iguaçu"/>
    <x v="0"/>
    <x v="1"/>
  </r>
  <r>
    <n v="505"/>
    <x v="207"/>
    <d v="2025-09-22T00:00:00"/>
    <n v="21"/>
    <n v="14"/>
    <n v="4"/>
    <n v="11600"/>
    <n v="0.05"/>
    <n v="11020"/>
    <x v="0"/>
    <x v="0"/>
    <n v="4"/>
    <s v="Lençóis Maranhenses"/>
    <x v="0"/>
    <x v="4"/>
  </r>
  <r>
    <n v="506"/>
    <x v="207"/>
    <d v="2025-09-24T00:00:00"/>
    <n v="57"/>
    <n v="2"/>
    <n v="2"/>
    <n v="3600"/>
    <n v="0"/>
    <n v="3600"/>
    <x v="0"/>
    <x v="1"/>
    <m/>
    <s v="Rio Cidade Maravilhosa"/>
    <x v="4"/>
    <x v="4"/>
  </r>
  <r>
    <n v="507"/>
    <x v="208"/>
    <d v="2025-09-21T00:00:00"/>
    <n v="121"/>
    <n v="10"/>
    <n v="4"/>
    <n v="46000"/>
    <n v="0"/>
    <n v="46000"/>
    <x v="3"/>
    <x v="0"/>
    <n v="5"/>
    <s v="Orlando Parques"/>
    <x v="5"/>
    <x v="6"/>
  </r>
  <r>
    <n v="508"/>
    <x v="209"/>
    <d v="2025-10-23T00:00:00"/>
    <n v="53"/>
    <n v="2"/>
    <n v="1"/>
    <n v="1800"/>
    <n v="0.15"/>
    <n v="1530"/>
    <x v="2"/>
    <x v="0"/>
    <n v="4"/>
    <s v="Rio Cidade Maravilhosa"/>
    <x v="4"/>
    <x v="0"/>
  </r>
  <r>
    <n v="509"/>
    <x v="209"/>
    <d v="2026-02-07T00:00:00"/>
    <n v="30"/>
    <n v="3"/>
    <n v="2"/>
    <n v="5200"/>
    <n v="0"/>
    <n v="5200"/>
    <x v="1"/>
    <x v="0"/>
    <n v="5"/>
    <s v="Serra Gaúcha"/>
    <x v="3"/>
    <x v="1"/>
  </r>
  <r>
    <n v="510"/>
    <x v="209"/>
    <d v="2026-02-12T00:00:00"/>
    <n v="110"/>
    <n v="2"/>
    <n v="1"/>
    <n v="1800"/>
    <n v="0.1"/>
    <n v="1620"/>
    <x v="3"/>
    <x v="0"/>
    <n v="3"/>
    <s v="Rio Cidade Maravilhosa"/>
    <x v="4"/>
    <x v="1"/>
  </r>
  <r>
    <n v="511"/>
    <x v="210"/>
    <d v="2025-12-11T00:00:00"/>
    <n v="60"/>
    <n v="10"/>
    <n v="2"/>
    <n v="23000"/>
    <n v="0"/>
    <n v="23000"/>
    <x v="1"/>
    <x v="0"/>
    <n v="4"/>
    <s v="Orlando Parques"/>
    <x v="5"/>
    <x v="3"/>
  </r>
  <r>
    <n v="512"/>
    <x v="211"/>
    <d v="2025-09-13T00:00:00"/>
    <n v="116"/>
    <n v="9"/>
    <n v="4"/>
    <n v="35600"/>
    <n v="0"/>
    <n v="35600"/>
    <x v="1"/>
    <x v="0"/>
    <n v="1"/>
    <s v="Cancún All Inclusive"/>
    <x v="2"/>
    <x v="0"/>
  </r>
  <r>
    <n v="513"/>
    <x v="212"/>
    <d v="2025-09-13T00:00:00"/>
    <n v="151"/>
    <n v="9"/>
    <n v="2"/>
    <n v="17800"/>
    <n v="0"/>
    <n v="17800"/>
    <x v="0"/>
    <x v="0"/>
    <n v="5"/>
    <s v="Cancún All Inclusive"/>
    <x v="2"/>
    <x v="1"/>
  </r>
  <r>
    <n v="514"/>
    <x v="213"/>
    <d v="2025-10-01T00:00:00"/>
    <n v="192"/>
    <n v="1"/>
    <n v="4"/>
    <n v="12800"/>
    <n v="0"/>
    <n v="12800"/>
    <x v="0"/>
    <x v="0"/>
    <n v="5"/>
    <s v="Nordeste Encantado"/>
    <x v="2"/>
    <x v="1"/>
  </r>
  <r>
    <n v="515"/>
    <x v="213"/>
    <d v="2026-02-17T00:00:00"/>
    <n v="51"/>
    <n v="6"/>
    <n v="1"/>
    <n v="2100"/>
    <n v="0"/>
    <n v="2100"/>
    <x v="0"/>
    <x v="0"/>
    <n v="3"/>
    <s v="Foz do Iguaçu"/>
    <x v="0"/>
    <x v="0"/>
  </r>
  <r>
    <n v="516"/>
    <x v="214"/>
    <d v="2025-09-14T00:00:00"/>
    <n v="55"/>
    <n v="6"/>
    <n v="4"/>
    <n v="8400"/>
    <n v="0.1"/>
    <n v="7560"/>
    <x v="0"/>
    <x v="0"/>
    <n v="5"/>
    <s v="Foz do Iguaçu"/>
    <x v="0"/>
    <x v="5"/>
  </r>
  <r>
    <n v="517"/>
    <x v="215"/>
    <d v="2025-12-18T00:00:00"/>
    <n v="120"/>
    <n v="4"/>
    <n v="3"/>
    <n v="20700"/>
    <n v="0"/>
    <n v="20700"/>
    <x v="3"/>
    <x v="0"/>
    <n v="5"/>
    <s v="Fernando de Noronha"/>
    <x v="2"/>
    <x v="3"/>
  </r>
  <r>
    <n v="518"/>
    <x v="215"/>
    <d v="2025-09-20T00:00:00"/>
    <n v="9"/>
    <n v="14"/>
    <n v="2"/>
    <n v="5800"/>
    <n v="0"/>
    <n v="5800"/>
    <x v="1"/>
    <x v="0"/>
    <n v="5"/>
    <s v="Lençóis Maranhenses"/>
    <x v="0"/>
    <x v="4"/>
  </r>
  <r>
    <n v="519"/>
    <x v="215"/>
    <d v="2025-09-24T00:00:00"/>
    <n v="70"/>
    <n v="15"/>
    <n v="2"/>
    <n v="6200"/>
    <n v="0"/>
    <n v="6200"/>
    <x v="0"/>
    <x v="0"/>
    <n v="3"/>
    <s v="Jericoacoara"/>
    <x v="2"/>
    <x v="4"/>
  </r>
  <r>
    <n v="520"/>
    <x v="216"/>
    <d v="2025-09-24T00:00:00"/>
    <n v="43"/>
    <n v="14"/>
    <n v="1"/>
    <n v="2900"/>
    <n v="0.1"/>
    <n v="2610"/>
    <x v="2"/>
    <x v="0"/>
    <n v="4"/>
    <s v="Lençóis Maranhenses"/>
    <x v="0"/>
    <x v="3"/>
  </r>
  <r>
    <n v="521"/>
    <x v="216"/>
    <d v="2026-03-07T00:00:00"/>
    <n v="59"/>
    <n v="1"/>
    <n v="3"/>
    <n v="9600"/>
    <n v="0"/>
    <n v="9600"/>
    <x v="0"/>
    <x v="0"/>
    <n v="3"/>
    <s v="Nordeste Encantado"/>
    <x v="2"/>
    <x v="2"/>
  </r>
  <r>
    <n v="522"/>
    <x v="216"/>
    <d v="2025-12-05T00:00:00"/>
    <n v="137"/>
    <n v="3"/>
    <n v="3"/>
    <n v="7800"/>
    <n v="0"/>
    <n v="7800"/>
    <x v="1"/>
    <x v="0"/>
    <n v="3"/>
    <s v="Serra Gaúcha"/>
    <x v="3"/>
    <x v="1"/>
  </r>
  <r>
    <n v="523"/>
    <x v="217"/>
    <d v="2025-09-26T00:00:00"/>
    <n v="31"/>
    <n v="1"/>
    <n v="2"/>
    <n v="6400"/>
    <n v="0"/>
    <n v="6400"/>
    <x v="0"/>
    <x v="0"/>
    <n v="3"/>
    <s v="Nordeste Encantado"/>
    <x v="2"/>
    <x v="1"/>
  </r>
  <r>
    <n v="524"/>
    <x v="217"/>
    <d v="2026-02-27T00:00:00"/>
    <n v="165"/>
    <n v="7"/>
    <n v="4"/>
    <n v="16800"/>
    <n v="0"/>
    <n v="16800"/>
    <x v="1"/>
    <x v="0"/>
    <n v="4"/>
    <s v="Buenos Aires Clássica"/>
    <x v="4"/>
    <x v="1"/>
  </r>
  <r>
    <n v="525"/>
    <x v="218"/>
    <d v="2025-10-12T00:00:00"/>
    <n v="31"/>
    <n v="3"/>
    <n v="2"/>
    <n v="5200"/>
    <n v="0"/>
    <n v="5200"/>
    <x v="0"/>
    <x v="0"/>
    <n v="3"/>
    <s v="Serra Gaúcha"/>
    <x v="3"/>
    <x v="1"/>
  </r>
  <r>
    <n v="526"/>
    <x v="218"/>
    <d v="2025-10-17T00:00:00"/>
    <n v="4"/>
    <n v="9"/>
    <n v="3"/>
    <n v="26700"/>
    <n v="0.15"/>
    <n v="22695"/>
    <x v="0"/>
    <x v="0"/>
    <n v="5"/>
    <s v="Cancún All Inclusive"/>
    <x v="2"/>
    <x v="0"/>
  </r>
  <r>
    <n v="527"/>
    <x v="219"/>
    <d v="2025-12-13T00:00:00"/>
    <n v="59"/>
    <n v="9"/>
    <n v="2"/>
    <n v="17800"/>
    <n v="0"/>
    <n v="17800"/>
    <x v="0"/>
    <x v="0"/>
    <n v="3"/>
    <s v="Cancún All Inclusive"/>
    <x v="2"/>
    <x v="2"/>
  </r>
  <r>
    <n v="528"/>
    <x v="219"/>
    <d v="2026-03-05T00:00:00"/>
    <n v="19"/>
    <n v="1"/>
    <n v="3"/>
    <n v="9600"/>
    <n v="0.05"/>
    <n v="9120"/>
    <x v="3"/>
    <x v="0"/>
    <n v="4"/>
    <s v="Nordeste Encantado"/>
    <x v="2"/>
    <x v="1"/>
  </r>
  <r>
    <n v="529"/>
    <x v="220"/>
    <d v="2025-10-19T00:00:00"/>
    <n v="60"/>
    <n v="10"/>
    <n v="2"/>
    <n v="23000"/>
    <n v="0.05"/>
    <n v="21850"/>
    <x v="1"/>
    <x v="1"/>
    <m/>
    <s v="Orlando Parques"/>
    <x v="5"/>
    <x v="3"/>
  </r>
  <r>
    <n v="530"/>
    <x v="220"/>
    <d v="2025-10-04T00:00:00"/>
    <n v="149"/>
    <n v="15"/>
    <n v="2"/>
    <n v="6200"/>
    <n v="0"/>
    <n v="6200"/>
    <x v="0"/>
    <x v="0"/>
    <n v="2"/>
    <s v="Jericoacoara"/>
    <x v="2"/>
    <x v="1"/>
  </r>
  <r>
    <n v="531"/>
    <x v="220"/>
    <d v="2025-09-29T00:00:00"/>
    <n v="121"/>
    <n v="2"/>
    <n v="2"/>
    <n v="3600"/>
    <n v="0.05"/>
    <n v="3420"/>
    <x v="1"/>
    <x v="0"/>
    <n v="5"/>
    <s v="Rio Cidade Maravilhosa"/>
    <x v="4"/>
    <x v="6"/>
  </r>
  <r>
    <n v="532"/>
    <x v="220"/>
    <d v="2025-09-24T00:00:00"/>
    <n v="112"/>
    <n v="10"/>
    <n v="2"/>
    <n v="23000"/>
    <n v="0"/>
    <n v="23000"/>
    <x v="0"/>
    <x v="0"/>
    <n v="5"/>
    <s v="Orlando Parques"/>
    <x v="5"/>
    <x v="1"/>
  </r>
  <r>
    <n v="533"/>
    <x v="221"/>
    <d v="2025-10-03T00:00:00"/>
    <n v="26"/>
    <n v="5"/>
    <n v="1"/>
    <n v="3400"/>
    <n v="0.05"/>
    <n v="3230"/>
    <x v="0"/>
    <x v="0"/>
    <n v="4"/>
    <s v="Bonito Aventura"/>
    <x v="1"/>
    <x v="1"/>
  </r>
  <r>
    <n v="534"/>
    <x v="222"/>
    <d v="2025-10-05T00:00:00"/>
    <n v="51"/>
    <n v="10"/>
    <n v="1"/>
    <n v="11500"/>
    <n v="0"/>
    <n v="11500"/>
    <x v="2"/>
    <x v="0"/>
    <n v="5"/>
    <s v="Orlando Parques"/>
    <x v="5"/>
    <x v="0"/>
  </r>
  <r>
    <n v="535"/>
    <x v="222"/>
    <d v="2025-11-27T00:00:00"/>
    <n v="95"/>
    <n v="1"/>
    <n v="3"/>
    <n v="9600"/>
    <n v="0"/>
    <n v="9600"/>
    <x v="3"/>
    <x v="0"/>
    <n v="2"/>
    <s v="Nordeste Encantado"/>
    <x v="2"/>
    <x v="3"/>
  </r>
  <r>
    <n v="536"/>
    <x v="223"/>
    <d v="2026-01-03T00:00:00"/>
    <n v="96"/>
    <n v="1"/>
    <n v="2"/>
    <n v="6400"/>
    <n v="0"/>
    <n v="6400"/>
    <x v="1"/>
    <x v="0"/>
    <n v="4"/>
    <s v="Nordeste Encantado"/>
    <x v="2"/>
    <x v="4"/>
  </r>
  <r>
    <n v="537"/>
    <x v="223"/>
    <d v="2025-09-27T00:00:00"/>
    <n v="42"/>
    <n v="7"/>
    <n v="1"/>
    <n v="4200"/>
    <n v="0"/>
    <n v="4200"/>
    <x v="2"/>
    <x v="0"/>
    <n v="3"/>
    <s v="Buenos Aires Clássica"/>
    <x v="4"/>
    <x v="1"/>
  </r>
  <r>
    <n v="538"/>
    <x v="223"/>
    <d v="2025-09-22T00:00:00"/>
    <n v="178"/>
    <n v="8"/>
    <n v="1"/>
    <n v="5900"/>
    <n v="0"/>
    <n v="5900"/>
    <x v="2"/>
    <x v="0"/>
    <n v="5"/>
    <s v="Santiago e Neve"/>
    <x v="3"/>
    <x v="7"/>
  </r>
  <r>
    <n v="539"/>
    <x v="223"/>
    <d v="2025-09-22T00:00:00"/>
    <n v="187"/>
    <n v="9"/>
    <n v="2"/>
    <n v="17800"/>
    <n v="0"/>
    <n v="17800"/>
    <x v="0"/>
    <x v="1"/>
    <m/>
    <s v="Cancún All Inclusive"/>
    <x v="2"/>
    <x v="5"/>
  </r>
  <r>
    <n v="540"/>
    <x v="224"/>
    <d v="2025-09-27T00:00:00"/>
    <n v="30"/>
    <n v="11"/>
    <n v="4"/>
    <n v="63200"/>
    <n v="0"/>
    <n v="63200"/>
    <x v="3"/>
    <x v="0"/>
    <n v="4"/>
    <s v="Paris e Londres"/>
    <x v="4"/>
    <x v="1"/>
  </r>
  <r>
    <n v="541"/>
    <x v="224"/>
    <d v="2026-01-29T00:00:00"/>
    <n v="78"/>
    <n v="13"/>
    <n v="1"/>
    <n v="7300"/>
    <n v="0"/>
    <n v="7300"/>
    <x v="2"/>
    <x v="0"/>
    <n v="4"/>
    <s v="Machu Picchu"/>
    <x v="1"/>
    <x v="3"/>
  </r>
  <r>
    <n v="542"/>
    <x v="224"/>
    <d v="2025-10-09T00:00:00"/>
    <n v="77"/>
    <n v="9"/>
    <n v="2"/>
    <n v="17800"/>
    <n v="0"/>
    <n v="17800"/>
    <x v="0"/>
    <x v="1"/>
    <m/>
    <s v="Cancún All Inclusive"/>
    <x v="2"/>
    <x v="0"/>
  </r>
  <r>
    <n v="543"/>
    <x v="224"/>
    <d v="2025-10-10T00:00:00"/>
    <n v="71"/>
    <n v="2"/>
    <n v="3"/>
    <n v="5400"/>
    <n v="0"/>
    <n v="5400"/>
    <x v="1"/>
    <x v="1"/>
    <m/>
    <s v="Rio Cidade Maravilhosa"/>
    <x v="4"/>
    <x v="0"/>
  </r>
  <r>
    <n v="544"/>
    <x v="224"/>
    <d v="2025-10-15T00:00:00"/>
    <n v="69"/>
    <n v="6"/>
    <n v="2"/>
    <n v="4200"/>
    <n v="0.05"/>
    <n v="3990"/>
    <x v="0"/>
    <x v="0"/>
    <n v="5"/>
    <s v="Foz do Iguaçu"/>
    <x v="0"/>
    <x v="0"/>
  </r>
  <r>
    <n v="545"/>
    <x v="224"/>
    <d v="2026-03-06T00:00:00"/>
    <n v="51"/>
    <n v="8"/>
    <n v="2"/>
    <n v="11800"/>
    <n v="0"/>
    <n v="11800"/>
    <x v="2"/>
    <x v="0"/>
    <n v="5"/>
    <s v="Santiago e Neve"/>
    <x v="3"/>
    <x v="0"/>
  </r>
  <r>
    <n v="546"/>
    <x v="225"/>
    <d v="2025-11-20T00:00:00"/>
    <n v="19"/>
    <n v="9"/>
    <n v="2"/>
    <n v="17800"/>
    <n v="0.1"/>
    <n v="16020"/>
    <x v="0"/>
    <x v="0"/>
    <n v="4"/>
    <s v="Cancún All Inclusive"/>
    <x v="2"/>
    <x v="1"/>
  </r>
  <r>
    <n v="547"/>
    <x v="225"/>
    <d v="2025-12-21T00:00:00"/>
    <n v="85"/>
    <n v="15"/>
    <n v="2"/>
    <n v="6200"/>
    <n v="0"/>
    <n v="6200"/>
    <x v="2"/>
    <x v="0"/>
    <n v="5"/>
    <s v="Jericoacoara"/>
    <x v="2"/>
    <x v="2"/>
  </r>
  <r>
    <n v="548"/>
    <x v="226"/>
    <d v="2025-10-04T00:00:00"/>
    <n v="142"/>
    <n v="2"/>
    <n v="2"/>
    <n v="3600"/>
    <n v="0.15"/>
    <n v="3060"/>
    <x v="0"/>
    <x v="0"/>
    <n v="4"/>
    <s v="Rio Cidade Maravilhosa"/>
    <x v="4"/>
    <x v="0"/>
  </r>
  <r>
    <n v="549"/>
    <x v="226"/>
    <d v="2025-09-29T00:00:00"/>
    <n v="129"/>
    <n v="12"/>
    <n v="3"/>
    <n v="37200"/>
    <n v="0"/>
    <n v="37200"/>
    <x v="1"/>
    <x v="0"/>
    <n v="5"/>
    <s v="Lisboa e Porto"/>
    <x v="4"/>
    <x v="4"/>
  </r>
  <r>
    <n v="550"/>
    <x v="226"/>
    <d v="2025-10-12T00:00:00"/>
    <n v="8"/>
    <n v="3"/>
    <n v="2"/>
    <n v="5200"/>
    <n v="0"/>
    <n v="5200"/>
    <x v="0"/>
    <x v="0"/>
    <n v="5"/>
    <s v="Serra Gaúcha"/>
    <x v="3"/>
    <x v="1"/>
  </r>
  <r>
    <n v="551"/>
    <x v="227"/>
    <d v="2026-03-08T00:00:00"/>
    <n v="4"/>
    <n v="6"/>
    <n v="2"/>
    <n v="4200"/>
    <n v="0.15"/>
    <n v="3570"/>
    <x v="0"/>
    <x v="0"/>
    <n v="4"/>
    <s v="Foz do Iguaçu"/>
    <x v="0"/>
    <x v="0"/>
  </r>
  <r>
    <n v="552"/>
    <x v="227"/>
    <d v="2025-12-16T00:00:00"/>
    <n v="58"/>
    <n v="10"/>
    <n v="1"/>
    <n v="11500"/>
    <n v="0.1"/>
    <n v="10350"/>
    <x v="0"/>
    <x v="0"/>
    <n v="5"/>
    <s v="Orlando Parques"/>
    <x v="5"/>
    <x v="1"/>
  </r>
  <r>
    <n v="553"/>
    <x v="228"/>
    <d v="2025-11-12T00:00:00"/>
    <n v="111"/>
    <n v="9"/>
    <n v="2"/>
    <n v="17800"/>
    <n v="0.1"/>
    <n v="16020"/>
    <x v="0"/>
    <x v="0"/>
    <n v="3"/>
    <s v="Cancún All Inclusive"/>
    <x v="2"/>
    <x v="0"/>
  </r>
  <r>
    <n v="554"/>
    <x v="229"/>
    <d v="2026-03-19T00:00:00"/>
    <n v="10"/>
    <n v="2"/>
    <n v="4"/>
    <n v="7200"/>
    <n v="0"/>
    <n v="7200"/>
    <x v="1"/>
    <x v="0"/>
    <n v="5"/>
    <s v="Rio Cidade Maravilhosa"/>
    <x v="4"/>
    <x v="1"/>
  </r>
  <r>
    <n v="555"/>
    <x v="229"/>
    <d v="2025-11-14T00:00:00"/>
    <n v="16"/>
    <n v="2"/>
    <n v="4"/>
    <n v="7200"/>
    <n v="0.15"/>
    <n v="6120"/>
    <x v="1"/>
    <x v="0"/>
    <n v="4"/>
    <s v="Rio Cidade Maravilhosa"/>
    <x v="4"/>
    <x v="2"/>
  </r>
  <r>
    <n v="556"/>
    <x v="229"/>
    <d v="2026-03-23T00:00:00"/>
    <n v="114"/>
    <n v="2"/>
    <n v="1"/>
    <n v="1800"/>
    <n v="0"/>
    <n v="1800"/>
    <x v="2"/>
    <x v="0"/>
    <n v="4"/>
    <s v="Rio Cidade Maravilhosa"/>
    <x v="4"/>
    <x v="1"/>
  </r>
  <r>
    <n v="557"/>
    <x v="230"/>
    <d v="2026-03-08T00:00:00"/>
    <n v="84"/>
    <n v="4"/>
    <n v="2"/>
    <n v="13800"/>
    <n v="0"/>
    <n v="13800"/>
    <x v="0"/>
    <x v="0"/>
    <n v="3"/>
    <s v="Fernando de Noronha"/>
    <x v="2"/>
    <x v="6"/>
  </r>
  <r>
    <n v="558"/>
    <x v="231"/>
    <d v="2026-03-02T00:00:00"/>
    <n v="2"/>
    <n v="2"/>
    <n v="1"/>
    <n v="1800"/>
    <n v="0"/>
    <n v="1800"/>
    <x v="3"/>
    <x v="0"/>
    <n v="5"/>
    <s v="Rio Cidade Maravilhosa"/>
    <x v="4"/>
    <x v="0"/>
  </r>
  <r>
    <n v="559"/>
    <x v="232"/>
    <d v="2025-12-04T00:00:00"/>
    <n v="24"/>
    <n v="2"/>
    <n v="5"/>
    <n v="9000"/>
    <n v="0.1"/>
    <n v="8100"/>
    <x v="0"/>
    <x v="0"/>
    <n v="4"/>
    <s v="Rio Cidade Maravilhosa"/>
    <x v="4"/>
    <x v="1"/>
  </r>
  <r>
    <n v="560"/>
    <x v="233"/>
    <d v="2026-03-11T00:00:00"/>
    <n v="100"/>
    <n v="3"/>
    <n v="3"/>
    <n v="7800"/>
    <n v="0"/>
    <n v="7800"/>
    <x v="0"/>
    <x v="0"/>
    <n v="4"/>
    <s v="Serra Gaúcha"/>
    <x v="3"/>
    <x v="1"/>
  </r>
  <r>
    <n v="561"/>
    <x v="234"/>
    <d v="2025-10-10T00:00:00"/>
    <n v="121"/>
    <n v="4"/>
    <n v="1"/>
    <n v="6900"/>
    <n v="0.05"/>
    <n v="6555"/>
    <x v="0"/>
    <x v="0"/>
    <n v="5"/>
    <s v="Fernando de Noronha"/>
    <x v="2"/>
    <x v="6"/>
  </r>
  <r>
    <n v="562"/>
    <x v="234"/>
    <d v="2025-11-29T00:00:00"/>
    <n v="78"/>
    <n v="15"/>
    <n v="1"/>
    <n v="3100"/>
    <n v="0"/>
    <n v="3100"/>
    <x v="2"/>
    <x v="0"/>
    <n v="5"/>
    <s v="Jericoacoara"/>
    <x v="2"/>
    <x v="3"/>
  </r>
  <r>
    <n v="563"/>
    <x v="234"/>
    <d v="2026-03-02T00:00:00"/>
    <n v="28"/>
    <n v="6"/>
    <n v="3"/>
    <n v="6300"/>
    <n v="0.05"/>
    <n v="5985"/>
    <x v="3"/>
    <x v="0"/>
    <n v="5"/>
    <s v="Foz do Iguaçu"/>
    <x v="0"/>
    <x v="1"/>
  </r>
  <r>
    <n v="564"/>
    <x v="235"/>
    <d v="2025-11-09T00:00:00"/>
    <n v="35"/>
    <n v="15"/>
    <n v="1"/>
    <n v="3100"/>
    <n v="0"/>
    <n v="3100"/>
    <x v="1"/>
    <x v="0"/>
    <n v="5"/>
    <s v="Jericoacoara"/>
    <x v="2"/>
    <x v="2"/>
  </r>
  <r>
    <n v="565"/>
    <x v="235"/>
    <d v="2025-11-23T00:00:00"/>
    <n v="160"/>
    <n v="1"/>
    <n v="2"/>
    <n v="6400"/>
    <n v="0"/>
    <n v="6400"/>
    <x v="1"/>
    <x v="0"/>
    <n v="5"/>
    <s v="Nordeste Encantado"/>
    <x v="2"/>
    <x v="0"/>
  </r>
  <r>
    <n v="566"/>
    <x v="236"/>
    <d v="2026-03-04T00:00:00"/>
    <n v="65"/>
    <n v="12"/>
    <n v="2"/>
    <n v="24800"/>
    <n v="0.1"/>
    <n v="22320"/>
    <x v="0"/>
    <x v="0"/>
    <n v="5"/>
    <s v="Lisboa e Porto"/>
    <x v="4"/>
    <x v="1"/>
  </r>
  <r>
    <n v="567"/>
    <x v="236"/>
    <d v="2025-11-11T00:00:00"/>
    <n v="163"/>
    <n v="1"/>
    <n v="3"/>
    <n v="9600"/>
    <n v="0"/>
    <n v="9600"/>
    <x v="3"/>
    <x v="0"/>
    <n v="5"/>
    <s v="Nordeste Encantado"/>
    <x v="2"/>
    <x v="2"/>
  </r>
  <r>
    <n v="568"/>
    <x v="237"/>
    <d v="2025-10-23T00:00:00"/>
    <n v="82"/>
    <n v="5"/>
    <n v="2"/>
    <n v="6800"/>
    <n v="0"/>
    <n v="6800"/>
    <x v="0"/>
    <x v="0"/>
    <n v="5"/>
    <s v="Bonito Aventura"/>
    <x v="1"/>
    <x v="1"/>
  </r>
  <r>
    <n v="569"/>
    <x v="237"/>
    <d v="2025-10-21T00:00:00"/>
    <n v="183"/>
    <n v="6"/>
    <n v="3"/>
    <n v="6300"/>
    <n v="0.05"/>
    <n v="5985"/>
    <x v="3"/>
    <x v="0"/>
    <n v="4"/>
    <s v="Foz do Iguaçu"/>
    <x v="0"/>
    <x v="4"/>
  </r>
  <r>
    <n v="570"/>
    <x v="237"/>
    <d v="2025-10-22T00:00:00"/>
    <n v="43"/>
    <n v="3"/>
    <n v="1"/>
    <n v="2600"/>
    <n v="0"/>
    <n v="2600"/>
    <x v="2"/>
    <x v="0"/>
    <n v="4"/>
    <s v="Serra Gaúcha"/>
    <x v="3"/>
    <x v="3"/>
  </r>
  <r>
    <n v="571"/>
    <x v="237"/>
    <d v="2025-12-19T00:00:00"/>
    <n v="102"/>
    <n v="7"/>
    <n v="4"/>
    <n v="16800"/>
    <n v="0"/>
    <n v="16800"/>
    <x v="3"/>
    <x v="0"/>
    <n v="5"/>
    <s v="Buenos Aires Clássica"/>
    <x v="4"/>
    <x v="3"/>
  </r>
  <r>
    <n v="572"/>
    <x v="238"/>
    <d v="2025-10-24T00:00:00"/>
    <n v="151"/>
    <n v="2"/>
    <n v="3"/>
    <n v="5400"/>
    <n v="0"/>
    <n v="5400"/>
    <x v="3"/>
    <x v="0"/>
    <n v="4"/>
    <s v="Rio Cidade Maravilhosa"/>
    <x v="4"/>
    <x v="1"/>
  </r>
  <r>
    <n v="573"/>
    <x v="238"/>
    <d v="2025-12-05T00:00:00"/>
    <n v="157"/>
    <n v="4"/>
    <n v="2"/>
    <n v="13800"/>
    <n v="0.05"/>
    <n v="13110"/>
    <x v="0"/>
    <x v="0"/>
    <n v="5"/>
    <s v="Fernando de Noronha"/>
    <x v="2"/>
    <x v="1"/>
  </r>
  <r>
    <n v="574"/>
    <x v="238"/>
    <d v="2026-03-26T00:00:00"/>
    <n v="41"/>
    <n v="6"/>
    <n v="2"/>
    <n v="4200"/>
    <n v="0.05"/>
    <n v="3990"/>
    <x v="0"/>
    <x v="0"/>
    <n v="4"/>
    <s v="Foz do Iguaçu"/>
    <x v="0"/>
    <x v="6"/>
  </r>
  <r>
    <n v="575"/>
    <x v="239"/>
    <d v="2026-02-09T00:00:00"/>
    <n v="33"/>
    <n v="12"/>
    <n v="2"/>
    <n v="24800"/>
    <n v="0.05"/>
    <n v="23560"/>
    <x v="0"/>
    <x v="1"/>
    <m/>
    <s v="Lisboa e Porto"/>
    <x v="4"/>
    <x v="3"/>
  </r>
  <r>
    <n v="576"/>
    <x v="239"/>
    <d v="2025-10-20T00:00:00"/>
    <n v="190"/>
    <n v="3"/>
    <n v="4"/>
    <n v="10400"/>
    <n v="0"/>
    <n v="10400"/>
    <x v="1"/>
    <x v="0"/>
    <n v="4"/>
    <s v="Serra Gaúcha"/>
    <x v="3"/>
    <x v="1"/>
  </r>
  <r>
    <n v="577"/>
    <x v="240"/>
    <d v="2026-02-25T00:00:00"/>
    <n v="78"/>
    <n v="15"/>
    <n v="2"/>
    <n v="6200"/>
    <n v="0.15"/>
    <n v="5270"/>
    <x v="2"/>
    <x v="0"/>
    <n v="5"/>
    <s v="Jericoacoara"/>
    <x v="2"/>
    <x v="3"/>
  </r>
  <r>
    <n v="578"/>
    <x v="241"/>
    <d v="2025-11-15T00:00:00"/>
    <n v="164"/>
    <n v="2"/>
    <n v="2"/>
    <n v="3600"/>
    <n v="0.1"/>
    <n v="3240"/>
    <x v="0"/>
    <x v="0"/>
    <n v="3"/>
    <s v="Rio Cidade Maravilhosa"/>
    <x v="4"/>
    <x v="0"/>
  </r>
  <r>
    <n v="579"/>
    <x v="242"/>
    <d v="2026-01-10T00:00:00"/>
    <n v="23"/>
    <n v="7"/>
    <n v="4"/>
    <n v="16800"/>
    <n v="0"/>
    <n v="16800"/>
    <x v="3"/>
    <x v="0"/>
    <n v="2"/>
    <s v="Buenos Aires Clássica"/>
    <x v="4"/>
    <x v="1"/>
  </r>
  <r>
    <n v="580"/>
    <x v="242"/>
    <d v="2025-12-02T00:00:00"/>
    <n v="106"/>
    <n v="14"/>
    <n v="1"/>
    <n v="2900"/>
    <n v="0"/>
    <n v="2900"/>
    <x v="2"/>
    <x v="0"/>
    <n v="5"/>
    <s v="Lençóis Maranhenses"/>
    <x v="0"/>
    <x v="7"/>
  </r>
  <r>
    <n v="581"/>
    <x v="242"/>
    <d v="2025-10-18T00:00:00"/>
    <n v="60"/>
    <n v="12"/>
    <n v="2"/>
    <n v="24800"/>
    <n v="0"/>
    <n v="24800"/>
    <x v="1"/>
    <x v="0"/>
    <n v="1"/>
    <s v="Lisboa e Porto"/>
    <x v="4"/>
    <x v="3"/>
  </r>
  <r>
    <n v="582"/>
    <x v="243"/>
    <d v="2025-10-29T00:00:00"/>
    <n v="56"/>
    <n v="2"/>
    <n v="3"/>
    <n v="5400"/>
    <n v="0.1"/>
    <n v="4860"/>
    <x v="1"/>
    <x v="0"/>
    <n v="5"/>
    <s v="Rio Cidade Maravilhosa"/>
    <x v="4"/>
    <x v="6"/>
  </r>
  <r>
    <n v="583"/>
    <x v="243"/>
    <d v="2026-03-07T00:00:00"/>
    <n v="14"/>
    <n v="13"/>
    <n v="2"/>
    <n v="14600"/>
    <n v="0"/>
    <n v="14600"/>
    <x v="0"/>
    <x v="0"/>
    <n v="4"/>
    <s v="Machu Picchu"/>
    <x v="1"/>
    <x v="7"/>
  </r>
  <r>
    <n v="584"/>
    <x v="243"/>
    <d v="2025-10-29T00:00:00"/>
    <n v="143"/>
    <n v="5"/>
    <n v="1"/>
    <n v="3400"/>
    <n v="0"/>
    <n v="3400"/>
    <x v="0"/>
    <x v="0"/>
    <n v="4"/>
    <s v="Bonito Aventura"/>
    <x v="1"/>
    <x v="2"/>
  </r>
  <r>
    <n v="585"/>
    <x v="243"/>
    <d v="2026-02-06T00:00:00"/>
    <n v="59"/>
    <n v="6"/>
    <n v="2"/>
    <n v="4200"/>
    <n v="0"/>
    <n v="4200"/>
    <x v="0"/>
    <x v="0"/>
    <n v="3"/>
    <s v="Foz do Iguaçu"/>
    <x v="0"/>
    <x v="2"/>
  </r>
  <r>
    <n v="586"/>
    <x v="244"/>
    <d v="2026-03-23T00:00:00"/>
    <n v="148"/>
    <n v="3"/>
    <n v="2"/>
    <n v="5200"/>
    <n v="0"/>
    <n v="5200"/>
    <x v="0"/>
    <x v="0"/>
    <n v="3"/>
    <s v="Serra Gaúcha"/>
    <x v="3"/>
    <x v="1"/>
  </r>
  <r>
    <n v="587"/>
    <x v="245"/>
    <d v="2026-02-10T00:00:00"/>
    <n v="143"/>
    <n v="2"/>
    <n v="2"/>
    <n v="3600"/>
    <n v="0"/>
    <n v="3600"/>
    <x v="0"/>
    <x v="0"/>
    <n v="5"/>
    <s v="Rio Cidade Maravilhosa"/>
    <x v="4"/>
    <x v="2"/>
  </r>
  <r>
    <n v="588"/>
    <x v="245"/>
    <d v="2025-10-24T00:00:00"/>
    <n v="60"/>
    <n v="5"/>
    <n v="1"/>
    <n v="3400"/>
    <n v="0.15"/>
    <n v="2890"/>
    <x v="1"/>
    <x v="1"/>
    <m/>
    <s v="Bonito Aventura"/>
    <x v="1"/>
    <x v="3"/>
  </r>
  <r>
    <n v="589"/>
    <x v="246"/>
    <d v="2026-01-10T00:00:00"/>
    <n v="6"/>
    <n v="7"/>
    <n v="2"/>
    <n v="8400"/>
    <n v="0"/>
    <n v="8400"/>
    <x v="2"/>
    <x v="0"/>
    <n v="4"/>
    <s v="Buenos Aires Clássica"/>
    <x v="4"/>
    <x v="1"/>
  </r>
  <r>
    <n v="590"/>
    <x v="247"/>
    <d v="2026-04-09T00:00:00"/>
    <n v="172"/>
    <n v="5"/>
    <n v="2"/>
    <n v="6800"/>
    <n v="0.05"/>
    <n v="6460"/>
    <x v="1"/>
    <x v="0"/>
    <n v="4"/>
    <s v="Bonito Aventura"/>
    <x v="1"/>
    <x v="2"/>
  </r>
  <r>
    <n v="591"/>
    <x v="247"/>
    <d v="2025-10-23T00:00:00"/>
    <n v="43"/>
    <n v="2"/>
    <n v="1"/>
    <n v="1800"/>
    <n v="0"/>
    <n v="1800"/>
    <x v="2"/>
    <x v="0"/>
    <n v="5"/>
    <s v="Rio Cidade Maravilhosa"/>
    <x v="4"/>
    <x v="3"/>
  </r>
  <r>
    <n v="592"/>
    <x v="247"/>
    <d v="2025-11-05T00:00:00"/>
    <n v="153"/>
    <n v="13"/>
    <n v="2"/>
    <n v="14600"/>
    <n v="0.05"/>
    <n v="13870"/>
    <x v="2"/>
    <x v="0"/>
    <n v="5"/>
    <s v="Machu Picchu"/>
    <x v="1"/>
    <x v="1"/>
  </r>
  <r>
    <n v="593"/>
    <x v="247"/>
    <d v="2025-11-05T00:00:00"/>
    <n v="195"/>
    <n v="2"/>
    <n v="2"/>
    <n v="3600"/>
    <n v="0.05"/>
    <n v="3420"/>
    <x v="0"/>
    <x v="0"/>
    <n v="4"/>
    <s v="Rio Cidade Maravilhosa"/>
    <x v="4"/>
    <x v="0"/>
  </r>
  <r>
    <n v="594"/>
    <x v="247"/>
    <d v="2026-04-02T00:00:00"/>
    <n v="119"/>
    <n v="3"/>
    <n v="1"/>
    <n v="2600"/>
    <n v="0"/>
    <n v="2600"/>
    <x v="0"/>
    <x v="0"/>
    <n v="5"/>
    <s v="Serra Gaúcha"/>
    <x v="3"/>
    <x v="1"/>
  </r>
  <r>
    <n v="595"/>
    <x v="248"/>
    <d v="2025-10-26T00:00:00"/>
    <n v="177"/>
    <n v="7"/>
    <n v="1"/>
    <n v="4200"/>
    <n v="0"/>
    <n v="4200"/>
    <x v="3"/>
    <x v="0"/>
    <n v="4"/>
    <s v="Buenos Aires Clássica"/>
    <x v="4"/>
    <x v="0"/>
  </r>
  <r>
    <n v="596"/>
    <x v="248"/>
    <d v="2025-12-08T00:00:00"/>
    <n v="66"/>
    <n v="11"/>
    <n v="2"/>
    <n v="31600"/>
    <n v="0.05"/>
    <n v="30020"/>
    <x v="0"/>
    <x v="0"/>
    <n v="3"/>
    <s v="Paris e Londres"/>
    <x v="4"/>
    <x v="5"/>
  </r>
  <r>
    <n v="597"/>
    <x v="249"/>
    <d v="2025-11-01T00:00:00"/>
    <n v="64"/>
    <n v="10"/>
    <n v="3"/>
    <n v="34500"/>
    <n v="0"/>
    <n v="34500"/>
    <x v="0"/>
    <x v="1"/>
    <m/>
    <s v="Orlando Parques"/>
    <x v="5"/>
    <x v="7"/>
  </r>
  <r>
    <n v="598"/>
    <x v="250"/>
    <d v="2026-03-01T00:00:00"/>
    <n v="85"/>
    <n v="9"/>
    <n v="1"/>
    <n v="8900"/>
    <n v="0"/>
    <n v="8900"/>
    <x v="2"/>
    <x v="0"/>
    <n v="4"/>
    <s v="Cancún All Inclusive"/>
    <x v="2"/>
    <x v="2"/>
  </r>
  <r>
    <n v="599"/>
    <x v="251"/>
    <d v="2025-10-25T00:00:00"/>
    <n v="150"/>
    <n v="14"/>
    <n v="1"/>
    <n v="2900"/>
    <n v="0.1"/>
    <n v="2610"/>
    <x v="2"/>
    <x v="0"/>
    <n v="5"/>
    <s v="Lençóis Maranhenses"/>
    <x v="0"/>
    <x v="1"/>
  </r>
  <r>
    <n v="600"/>
    <x v="251"/>
    <d v="2025-12-08T00:00:00"/>
    <n v="159"/>
    <n v="8"/>
    <n v="2"/>
    <n v="11800"/>
    <n v="0"/>
    <n v="11800"/>
    <x v="3"/>
    <x v="0"/>
    <n v="4"/>
    <s v="Santiago e Neve"/>
    <x v="3"/>
    <x v="1"/>
  </r>
  <r>
    <n v="601"/>
    <x v="251"/>
    <d v="2025-11-17T00:00:00"/>
    <n v="80"/>
    <n v="9"/>
    <n v="3"/>
    <n v="26700"/>
    <n v="0"/>
    <n v="26700"/>
    <x v="0"/>
    <x v="0"/>
    <n v="5"/>
    <s v="Cancún All Inclusive"/>
    <x v="2"/>
    <x v="1"/>
  </r>
  <r>
    <n v="602"/>
    <x v="252"/>
    <d v="2025-11-10T00:00:00"/>
    <n v="1"/>
    <n v="2"/>
    <n v="1"/>
    <n v="1800"/>
    <n v="0"/>
    <n v="1800"/>
    <x v="3"/>
    <x v="0"/>
    <n v="3"/>
    <s v="Rio Cidade Maravilhosa"/>
    <x v="4"/>
    <x v="2"/>
  </r>
  <r>
    <n v="603"/>
    <x v="252"/>
    <d v="2025-11-17T00:00:00"/>
    <n v="138"/>
    <n v="6"/>
    <n v="2"/>
    <n v="4200"/>
    <n v="0"/>
    <n v="4200"/>
    <x v="0"/>
    <x v="0"/>
    <n v="5"/>
    <s v="Foz do Iguaçu"/>
    <x v="0"/>
    <x v="1"/>
  </r>
  <r>
    <n v="604"/>
    <x v="253"/>
    <d v="2025-12-16T00:00:00"/>
    <n v="106"/>
    <n v="14"/>
    <n v="2"/>
    <n v="5800"/>
    <n v="0"/>
    <n v="5800"/>
    <x v="0"/>
    <x v="0"/>
    <n v="4"/>
    <s v="Lençóis Maranhenses"/>
    <x v="0"/>
    <x v="7"/>
  </r>
  <r>
    <n v="605"/>
    <x v="254"/>
    <d v="2025-11-10T00:00:00"/>
    <n v="111"/>
    <n v="8"/>
    <n v="1"/>
    <n v="5900"/>
    <n v="0"/>
    <n v="5900"/>
    <x v="2"/>
    <x v="0"/>
    <n v="4"/>
    <s v="Santiago e Neve"/>
    <x v="3"/>
    <x v="0"/>
  </r>
  <r>
    <n v="606"/>
    <x v="254"/>
    <d v="2025-12-23T00:00:00"/>
    <n v="51"/>
    <n v="3"/>
    <n v="1"/>
    <n v="2600"/>
    <n v="0"/>
    <n v="2600"/>
    <x v="0"/>
    <x v="0"/>
    <n v="5"/>
    <s v="Serra Gaúcha"/>
    <x v="3"/>
    <x v="0"/>
  </r>
  <r>
    <n v="607"/>
    <x v="255"/>
    <d v="2026-03-19T00:00:00"/>
    <n v="89"/>
    <n v="12"/>
    <n v="1"/>
    <n v="12400"/>
    <n v="0"/>
    <n v="12400"/>
    <x v="0"/>
    <x v="0"/>
    <n v="4"/>
    <s v="Lisboa e Porto"/>
    <x v="4"/>
    <x v="4"/>
  </r>
  <r>
    <n v="608"/>
    <x v="255"/>
    <d v="2026-03-27T00:00:00"/>
    <n v="150"/>
    <n v="2"/>
    <n v="1"/>
    <n v="1800"/>
    <n v="0"/>
    <n v="1800"/>
    <x v="0"/>
    <x v="0"/>
    <n v="3"/>
    <s v="Rio Cidade Maravilhosa"/>
    <x v="4"/>
    <x v="1"/>
  </r>
  <r>
    <n v="609"/>
    <x v="255"/>
    <d v="2026-01-10T00:00:00"/>
    <n v="156"/>
    <n v="14"/>
    <n v="2"/>
    <n v="5800"/>
    <n v="0.1"/>
    <n v="5220"/>
    <x v="0"/>
    <x v="0"/>
    <n v="4"/>
    <s v="Lençóis Maranhenses"/>
    <x v="0"/>
    <x v="1"/>
  </r>
  <r>
    <n v="610"/>
    <x v="256"/>
    <d v="2026-04-12T00:00:00"/>
    <n v="13"/>
    <n v="2"/>
    <n v="1"/>
    <n v="1800"/>
    <n v="0"/>
    <n v="1800"/>
    <x v="0"/>
    <x v="0"/>
    <n v="5"/>
    <s v="Rio Cidade Maravilhosa"/>
    <x v="4"/>
    <x v="6"/>
  </r>
  <r>
    <n v="611"/>
    <x v="256"/>
    <d v="2026-02-26T00:00:00"/>
    <n v="182"/>
    <n v="1"/>
    <n v="3"/>
    <n v="9600"/>
    <n v="0"/>
    <n v="9600"/>
    <x v="1"/>
    <x v="0"/>
    <n v="4"/>
    <s v="Nordeste Encantado"/>
    <x v="2"/>
    <x v="4"/>
  </r>
  <r>
    <n v="612"/>
    <x v="256"/>
    <d v="2025-12-28T00:00:00"/>
    <n v="64"/>
    <n v="14"/>
    <n v="1"/>
    <n v="2900"/>
    <n v="0"/>
    <n v="2900"/>
    <x v="0"/>
    <x v="0"/>
    <n v="5"/>
    <s v="Lençóis Maranhenses"/>
    <x v="0"/>
    <x v="7"/>
  </r>
  <r>
    <n v="613"/>
    <x v="257"/>
    <d v="2026-03-07T00:00:00"/>
    <n v="63"/>
    <n v="6"/>
    <n v="2"/>
    <n v="4200"/>
    <n v="0.1"/>
    <n v="3780"/>
    <x v="0"/>
    <x v="0"/>
    <n v="5"/>
    <s v="Foz do Iguaçu"/>
    <x v="0"/>
    <x v="6"/>
  </r>
  <r>
    <n v="614"/>
    <x v="257"/>
    <d v="2025-11-24T00:00:00"/>
    <n v="195"/>
    <n v="1"/>
    <n v="1"/>
    <n v="3200"/>
    <n v="0"/>
    <n v="3200"/>
    <x v="0"/>
    <x v="0"/>
    <n v="4"/>
    <s v="Nordeste Encantado"/>
    <x v="2"/>
    <x v="0"/>
  </r>
  <r>
    <n v="615"/>
    <x v="258"/>
    <d v="2025-12-29T00:00:00"/>
    <n v="37"/>
    <n v="6"/>
    <n v="1"/>
    <n v="2100"/>
    <n v="0.1"/>
    <n v="1890"/>
    <x v="0"/>
    <x v="0"/>
    <n v="4"/>
    <s v="Foz do Iguaçu"/>
    <x v="0"/>
    <x v="2"/>
  </r>
  <r>
    <n v="616"/>
    <x v="259"/>
    <d v="2026-03-26T00:00:00"/>
    <n v="108"/>
    <n v="7"/>
    <n v="1"/>
    <n v="4200"/>
    <n v="0"/>
    <n v="4200"/>
    <x v="1"/>
    <x v="0"/>
    <n v="5"/>
    <s v="Buenos Aires Clássica"/>
    <x v="4"/>
    <x v="4"/>
  </r>
  <r>
    <n v="617"/>
    <x v="259"/>
    <d v="2025-11-13T00:00:00"/>
    <n v="28"/>
    <n v="15"/>
    <n v="2"/>
    <n v="6200"/>
    <n v="0.05"/>
    <n v="5890"/>
    <x v="0"/>
    <x v="0"/>
    <n v="5"/>
    <s v="Jericoacoara"/>
    <x v="2"/>
    <x v="1"/>
  </r>
  <r>
    <n v="618"/>
    <x v="260"/>
    <d v="2025-11-22T00:00:00"/>
    <n v="192"/>
    <n v="14"/>
    <n v="4"/>
    <n v="11600"/>
    <n v="0"/>
    <n v="11600"/>
    <x v="0"/>
    <x v="0"/>
    <n v="5"/>
    <s v="Lençóis Maranhenses"/>
    <x v="0"/>
    <x v="1"/>
  </r>
  <r>
    <n v="619"/>
    <x v="260"/>
    <d v="2025-11-07T00:00:00"/>
    <n v="111"/>
    <n v="8"/>
    <n v="1"/>
    <n v="5900"/>
    <n v="0.1"/>
    <n v="5310"/>
    <x v="2"/>
    <x v="0"/>
    <n v="4"/>
    <s v="Santiago e Neve"/>
    <x v="3"/>
    <x v="0"/>
  </r>
  <r>
    <n v="620"/>
    <x v="260"/>
    <d v="2026-01-30T00:00:00"/>
    <n v="65"/>
    <n v="3"/>
    <n v="4"/>
    <n v="10400"/>
    <n v="0"/>
    <n v="10400"/>
    <x v="1"/>
    <x v="0"/>
    <n v="3"/>
    <s v="Serra Gaúcha"/>
    <x v="3"/>
    <x v="1"/>
  </r>
  <r>
    <n v="621"/>
    <x v="261"/>
    <d v="2026-02-23T00:00:00"/>
    <n v="163"/>
    <n v="1"/>
    <n v="2"/>
    <n v="6400"/>
    <n v="0.05"/>
    <n v="6080"/>
    <x v="0"/>
    <x v="0"/>
    <n v="3"/>
    <s v="Nordeste Encantado"/>
    <x v="2"/>
    <x v="2"/>
  </r>
  <r>
    <n v="622"/>
    <x v="261"/>
    <d v="2025-11-10T00:00:00"/>
    <n v="178"/>
    <n v="3"/>
    <n v="1"/>
    <n v="2600"/>
    <n v="0"/>
    <n v="2600"/>
    <x v="0"/>
    <x v="0"/>
    <n v="4"/>
    <s v="Serra Gaúcha"/>
    <x v="3"/>
    <x v="7"/>
  </r>
  <r>
    <n v="623"/>
    <x v="261"/>
    <d v="2026-03-12T00:00:00"/>
    <n v="93"/>
    <n v="2"/>
    <n v="4"/>
    <n v="7200"/>
    <n v="0"/>
    <n v="7200"/>
    <x v="3"/>
    <x v="1"/>
    <m/>
    <s v="Rio Cidade Maravilhosa"/>
    <x v="4"/>
    <x v="2"/>
  </r>
  <r>
    <n v="624"/>
    <x v="261"/>
    <d v="2025-12-11T00:00:00"/>
    <n v="198"/>
    <n v="15"/>
    <n v="1"/>
    <n v="3100"/>
    <n v="0.05"/>
    <n v="2945"/>
    <x v="1"/>
    <x v="0"/>
    <n v="4"/>
    <s v="Jericoacoara"/>
    <x v="2"/>
    <x v="1"/>
  </r>
  <r>
    <n v="625"/>
    <x v="262"/>
    <d v="2025-12-12T00:00:00"/>
    <n v="78"/>
    <n v="12"/>
    <n v="2"/>
    <n v="24800"/>
    <n v="0"/>
    <n v="24800"/>
    <x v="2"/>
    <x v="1"/>
    <m/>
    <s v="Lisboa e Porto"/>
    <x v="4"/>
    <x v="3"/>
  </r>
  <r>
    <n v="626"/>
    <x v="263"/>
    <d v="2025-11-13T00:00:00"/>
    <n v="52"/>
    <n v="9"/>
    <n v="3"/>
    <n v="26700"/>
    <n v="0"/>
    <n v="26700"/>
    <x v="0"/>
    <x v="0"/>
    <n v="3"/>
    <s v="Cancún All Inclusive"/>
    <x v="2"/>
    <x v="1"/>
  </r>
  <r>
    <n v="627"/>
    <x v="263"/>
    <d v="2026-01-15T00:00:00"/>
    <n v="13"/>
    <n v="1"/>
    <n v="1"/>
    <n v="3200"/>
    <n v="0.05"/>
    <n v="3040"/>
    <x v="0"/>
    <x v="0"/>
    <n v="4"/>
    <s v="Nordeste Encantado"/>
    <x v="2"/>
    <x v="6"/>
  </r>
  <r>
    <n v="628"/>
    <x v="263"/>
    <d v="2025-12-14T00:00:00"/>
    <n v="116"/>
    <n v="7"/>
    <n v="4"/>
    <n v="16800"/>
    <n v="0"/>
    <n v="16800"/>
    <x v="0"/>
    <x v="0"/>
    <n v="5"/>
    <s v="Buenos Aires Clássica"/>
    <x v="4"/>
    <x v="0"/>
  </r>
  <r>
    <n v="629"/>
    <x v="264"/>
    <d v="2026-02-13T00:00:00"/>
    <n v="151"/>
    <n v="15"/>
    <n v="2"/>
    <n v="6200"/>
    <n v="0.05"/>
    <n v="5890"/>
    <x v="1"/>
    <x v="1"/>
    <m/>
    <s v="Jericoacoara"/>
    <x v="2"/>
    <x v="1"/>
  </r>
  <r>
    <n v="630"/>
    <x v="264"/>
    <d v="2025-12-22T00:00:00"/>
    <n v="23"/>
    <n v="6"/>
    <n v="3"/>
    <n v="6300"/>
    <n v="0"/>
    <n v="6300"/>
    <x v="0"/>
    <x v="0"/>
    <n v="5"/>
    <s v="Foz do Iguaçu"/>
    <x v="0"/>
    <x v="1"/>
  </r>
  <r>
    <n v="631"/>
    <x v="264"/>
    <d v="2026-03-15T00:00:00"/>
    <n v="198"/>
    <n v="15"/>
    <n v="4"/>
    <n v="12400"/>
    <n v="0"/>
    <n v="12400"/>
    <x v="0"/>
    <x v="1"/>
    <m/>
    <s v="Jericoacoara"/>
    <x v="2"/>
    <x v="1"/>
  </r>
  <r>
    <n v="632"/>
    <x v="264"/>
    <d v="2025-12-17T00:00:00"/>
    <n v="37"/>
    <n v="4"/>
    <n v="2"/>
    <n v="13800"/>
    <n v="0"/>
    <n v="13800"/>
    <x v="0"/>
    <x v="0"/>
    <n v="5"/>
    <s v="Fernando de Noronha"/>
    <x v="2"/>
    <x v="2"/>
  </r>
  <r>
    <n v="633"/>
    <x v="264"/>
    <d v="2026-01-24T00:00:00"/>
    <n v="25"/>
    <n v="6"/>
    <n v="2"/>
    <n v="4200"/>
    <n v="0.05"/>
    <n v="3990"/>
    <x v="0"/>
    <x v="0"/>
    <n v="5"/>
    <s v="Foz do Iguaçu"/>
    <x v="0"/>
    <x v="7"/>
  </r>
  <r>
    <n v="634"/>
    <x v="264"/>
    <d v="2025-12-27T00:00:00"/>
    <n v="42"/>
    <n v="15"/>
    <n v="3"/>
    <n v="9300"/>
    <n v="0.05"/>
    <n v="8835"/>
    <x v="2"/>
    <x v="0"/>
    <n v="5"/>
    <s v="Jericoacoara"/>
    <x v="2"/>
    <x v="1"/>
  </r>
  <r>
    <n v="635"/>
    <x v="265"/>
    <d v="2025-11-12T00:00:00"/>
    <n v="113"/>
    <n v="14"/>
    <n v="2"/>
    <n v="5800"/>
    <n v="0.1"/>
    <n v="5220"/>
    <x v="3"/>
    <x v="0"/>
    <n v="4"/>
    <s v="Lençóis Maranhenses"/>
    <x v="0"/>
    <x v="1"/>
  </r>
  <r>
    <n v="636"/>
    <x v="265"/>
    <d v="2025-12-15T00:00:00"/>
    <n v="132"/>
    <n v="3"/>
    <n v="4"/>
    <n v="10400"/>
    <n v="0.05"/>
    <n v="9880"/>
    <x v="0"/>
    <x v="0"/>
    <n v="4"/>
    <s v="Serra Gaúcha"/>
    <x v="3"/>
    <x v="6"/>
  </r>
  <r>
    <n v="637"/>
    <x v="265"/>
    <d v="2025-11-17T00:00:00"/>
    <n v="116"/>
    <n v="7"/>
    <n v="2"/>
    <n v="8400"/>
    <n v="0"/>
    <n v="8400"/>
    <x v="3"/>
    <x v="0"/>
    <n v="4"/>
    <s v="Buenos Aires Clássica"/>
    <x v="4"/>
    <x v="0"/>
  </r>
  <r>
    <n v="638"/>
    <x v="265"/>
    <d v="2025-11-15T00:00:00"/>
    <n v="200"/>
    <n v="1"/>
    <n v="2"/>
    <n v="6400"/>
    <n v="0"/>
    <n v="6400"/>
    <x v="0"/>
    <x v="0"/>
    <n v="5"/>
    <s v="Nordeste Encantado"/>
    <x v="2"/>
    <x v="3"/>
  </r>
  <r>
    <n v="639"/>
    <x v="266"/>
    <d v="2026-01-02T00:00:00"/>
    <n v="98"/>
    <n v="3"/>
    <n v="2"/>
    <n v="5200"/>
    <n v="0"/>
    <n v="5200"/>
    <x v="0"/>
    <x v="0"/>
    <n v="4"/>
    <s v="Serra Gaúcha"/>
    <x v="3"/>
    <x v="1"/>
  </r>
  <r>
    <n v="640"/>
    <x v="266"/>
    <d v="2025-11-12T00:00:00"/>
    <n v="137"/>
    <n v="8"/>
    <n v="1"/>
    <n v="5900"/>
    <n v="0.05"/>
    <n v="5605"/>
    <x v="1"/>
    <x v="0"/>
    <n v="4"/>
    <s v="Santiago e Neve"/>
    <x v="3"/>
    <x v="1"/>
  </r>
  <r>
    <n v="641"/>
    <x v="266"/>
    <d v="2025-11-30T00:00:00"/>
    <n v="29"/>
    <n v="3"/>
    <n v="2"/>
    <n v="5200"/>
    <n v="0"/>
    <n v="5200"/>
    <x v="2"/>
    <x v="1"/>
    <m/>
    <s v="Serra Gaúcha"/>
    <x v="3"/>
    <x v="1"/>
  </r>
  <r>
    <n v="642"/>
    <x v="266"/>
    <d v="2026-01-16T00:00:00"/>
    <n v="83"/>
    <n v="12"/>
    <n v="1"/>
    <n v="12400"/>
    <n v="0.1"/>
    <n v="11160"/>
    <x v="0"/>
    <x v="1"/>
    <m/>
    <s v="Lisboa e Porto"/>
    <x v="4"/>
    <x v="1"/>
  </r>
  <r>
    <n v="643"/>
    <x v="266"/>
    <d v="2025-12-31T00:00:00"/>
    <n v="35"/>
    <n v="1"/>
    <n v="4"/>
    <n v="12800"/>
    <n v="0.1"/>
    <n v="11520"/>
    <x v="0"/>
    <x v="0"/>
    <n v="5"/>
    <s v="Nordeste Encantado"/>
    <x v="2"/>
    <x v="2"/>
  </r>
  <r>
    <n v="644"/>
    <x v="267"/>
    <d v="2025-11-22T00:00:00"/>
    <n v="59"/>
    <n v="12"/>
    <n v="3"/>
    <n v="37200"/>
    <n v="0"/>
    <n v="37200"/>
    <x v="1"/>
    <x v="0"/>
    <n v="3"/>
    <s v="Lisboa e Porto"/>
    <x v="4"/>
    <x v="2"/>
  </r>
  <r>
    <n v="645"/>
    <x v="267"/>
    <d v="2025-11-18T00:00:00"/>
    <n v="178"/>
    <n v="8"/>
    <n v="2"/>
    <n v="11800"/>
    <n v="0.05"/>
    <n v="11210"/>
    <x v="0"/>
    <x v="0"/>
    <n v="4"/>
    <s v="Santiago e Neve"/>
    <x v="3"/>
    <x v="7"/>
  </r>
  <r>
    <n v="646"/>
    <x v="267"/>
    <d v="2025-12-09T00:00:00"/>
    <n v="25"/>
    <n v="1"/>
    <n v="1"/>
    <n v="3200"/>
    <n v="0.05"/>
    <n v="3040"/>
    <x v="1"/>
    <x v="0"/>
    <n v="5"/>
    <s v="Nordeste Encantado"/>
    <x v="2"/>
    <x v="7"/>
  </r>
  <r>
    <n v="647"/>
    <x v="268"/>
    <d v="2026-03-07T00:00:00"/>
    <n v="82"/>
    <n v="15"/>
    <n v="3"/>
    <n v="9300"/>
    <n v="0"/>
    <n v="9300"/>
    <x v="1"/>
    <x v="0"/>
    <n v="3"/>
    <s v="Jericoacoara"/>
    <x v="2"/>
    <x v="1"/>
  </r>
  <r>
    <n v="648"/>
    <x v="268"/>
    <d v="2026-02-01T00:00:00"/>
    <n v="153"/>
    <n v="8"/>
    <n v="1"/>
    <n v="5900"/>
    <n v="0.1"/>
    <n v="5310"/>
    <x v="0"/>
    <x v="1"/>
    <m/>
    <s v="Santiago e Neve"/>
    <x v="3"/>
    <x v="1"/>
  </r>
  <r>
    <n v="649"/>
    <x v="268"/>
    <d v="2025-11-28T00:00:00"/>
    <n v="31"/>
    <n v="5"/>
    <n v="3"/>
    <n v="10200"/>
    <n v="0"/>
    <n v="10200"/>
    <x v="1"/>
    <x v="0"/>
    <n v="5"/>
    <s v="Bonito Aventura"/>
    <x v="1"/>
    <x v="1"/>
  </r>
  <r>
    <n v="650"/>
    <x v="268"/>
    <d v="2026-01-26T00:00:00"/>
    <n v="42"/>
    <n v="5"/>
    <n v="3"/>
    <n v="10200"/>
    <n v="0"/>
    <n v="10200"/>
    <x v="2"/>
    <x v="0"/>
    <n v="5"/>
    <s v="Bonito Aventura"/>
    <x v="1"/>
    <x v="1"/>
  </r>
  <r>
    <n v="651"/>
    <x v="269"/>
    <d v="2026-01-07T00:00:00"/>
    <n v="14"/>
    <n v="5"/>
    <n v="2"/>
    <n v="6800"/>
    <n v="0.1"/>
    <n v="6120"/>
    <x v="0"/>
    <x v="0"/>
    <n v="5"/>
    <s v="Bonito Aventura"/>
    <x v="1"/>
    <x v="7"/>
  </r>
  <r>
    <n v="652"/>
    <x v="269"/>
    <d v="2025-12-12T00:00:00"/>
    <n v="59"/>
    <n v="10"/>
    <n v="2"/>
    <n v="23000"/>
    <n v="0.1"/>
    <n v="20700"/>
    <x v="0"/>
    <x v="0"/>
    <n v="2"/>
    <s v="Orlando Parques"/>
    <x v="5"/>
    <x v="2"/>
  </r>
  <r>
    <n v="653"/>
    <x v="269"/>
    <d v="2025-11-14T00:00:00"/>
    <n v="75"/>
    <n v="6"/>
    <n v="2"/>
    <n v="4200"/>
    <n v="0"/>
    <n v="4200"/>
    <x v="0"/>
    <x v="0"/>
    <n v="5"/>
    <s v="Foz do Iguaçu"/>
    <x v="0"/>
    <x v="6"/>
  </r>
  <r>
    <n v="654"/>
    <x v="269"/>
    <d v="2025-12-04T00:00:00"/>
    <n v="111"/>
    <n v="13"/>
    <n v="1"/>
    <n v="7300"/>
    <n v="0"/>
    <n v="7300"/>
    <x v="2"/>
    <x v="0"/>
    <n v="3"/>
    <s v="Machu Picchu"/>
    <x v="1"/>
    <x v="0"/>
  </r>
  <r>
    <n v="655"/>
    <x v="269"/>
    <d v="2026-02-05T00:00:00"/>
    <n v="37"/>
    <n v="9"/>
    <n v="2"/>
    <n v="17800"/>
    <n v="0"/>
    <n v="17800"/>
    <x v="0"/>
    <x v="0"/>
    <n v="5"/>
    <s v="Cancún All Inclusive"/>
    <x v="2"/>
    <x v="2"/>
  </r>
  <r>
    <n v="656"/>
    <x v="269"/>
    <d v="2025-11-25T00:00:00"/>
    <n v="64"/>
    <n v="4"/>
    <n v="4"/>
    <n v="27600"/>
    <n v="0.1"/>
    <n v="24840"/>
    <x v="3"/>
    <x v="0"/>
    <n v="4"/>
    <s v="Fernando de Noronha"/>
    <x v="2"/>
    <x v="7"/>
  </r>
  <r>
    <n v="657"/>
    <x v="269"/>
    <d v="2025-12-26T00:00:00"/>
    <n v="67"/>
    <n v="4"/>
    <n v="2"/>
    <n v="13800"/>
    <n v="0"/>
    <n v="13800"/>
    <x v="3"/>
    <x v="0"/>
    <n v="4"/>
    <s v="Fernando de Noronha"/>
    <x v="2"/>
    <x v="0"/>
  </r>
  <r>
    <n v="658"/>
    <x v="270"/>
    <d v="2025-11-26T00:00:00"/>
    <n v="2"/>
    <n v="8"/>
    <n v="2"/>
    <n v="11800"/>
    <n v="0"/>
    <n v="11800"/>
    <x v="3"/>
    <x v="0"/>
    <n v="4"/>
    <s v="Santiago e Neve"/>
    <x v="3"/>
    <x v="0"/>
  </r>
  <r>
    <n v="659"/>
    <x v="270"/>
    <d v="2026-02-06T00:00:00"/>
    <n v="124"/>
    <n v="8"/>
    <n v="2"/>
    <n v="11800"/>
    <n v="0.1"/>
    <n v="10620"/>
    <x v="0"/>
    <x v="0"/>
    <n v="4"/>
    <s v="Santiago e Neve"/>
    <x v="3"/>
    <x v="5"/>
  </r>
  <r>
    <n v="660"/>
    <x v="271"/>
    <d v="2026-01-08T00:00:00"/>
    <n v="141"/>
    <n v="9"/>
    <n v="2"/>
    <n v="17800"/>
    <n v="0"/>
    <n v="17800"/>
    <x v="1"/>
    <x v="0"/>
    <n v="4"/>
    <s v="Cancún All Inclusive"/>
    <x v="2"/>
    <x v="2"/>
  </r>
  <r>
    <n v="661"/>
    <x v="272"/>
    <d v="2026-01-06T00:00:00"/>
    <n v="142"/>
    <n v="3"/>
    <n v="1"/>
    <n v="2600"/>
    <n v="0.05"/>
    <n v="2470"/>
    <x v="0"/>
    <x v="0"/>
    <n v="5"/>
    <s v="Serra Gaúcha"/>
    <x v="3"/>
    <x v="0"/>
  </r>
  <r>
    <n v="662"/>
    <x v="272"/>
    <d v="2025-11-17T00:00:00"/>
    <n v="168"/>
    <n v="3"/>
    <n v="1"/>
    <n v="2600"/>
    <n v="0.05"/>
    <n v="2470"/>
    <x v="0"/>
    <x v="0"/>
    <n v="5"/>
    <s v="Serra Gaúcha"/>
    <x v="3"/>
    <x v="1"/>
  </r>
  <r>
    <n v="663"/>
    <x v="273"/>
    <d v="2026-02-14T00:00:00"/>
    <n v="176"/>
    <n v="2"/>
    <n v="2"/>
    <n v="3600"/>
    <n v="0"/>
    <n v="3600"/>
    <x v="3"/>
    <x v="1"/>
    <m/>
    <s v="Rio Cidade Maravilhosa"/>
    <x v="4"/>
    <x v="1"/>
  </r>
  <r>
    <n v="664"/>
    <x v="273"/>
    <d v="2025-12-03T00:00:00"/>
    <n v="95"/>
    <n v="15"/>
    <n v="1"/>
    <n v="3100"/>
    <n v="0.05"/>
    <n v="2945"/>
    <x v="1"/>
    <x v="0"/>
    <n v="4"/>
    <s v="Jericoacoara"/>
    <x v="2"/>
    <x v="3"/>
  </r>
  <r>
    <n v="665"/>
    <x v="273"/>
    <d v="2026-01-28T00:00:00"/>
    <n v="84"/>
    <n v="4"/>
    <n v="2"/>
    <n v="13800"/>
    <n v="0"/>
    <n v="13800"/>
    <x v="0"/>
    <x v="0"/>
    <n v="3"/>
    <s v="Fernando de Noronha"/>
    <x v="2"/>
    <x v="6"/>
  </r>
  <r>
    <n v="666"/>
    <x v="274"/>
    <d v="2026-04-19T00:00:00"/>
    <n v="112"/>
    <n v="7"/>
    <n v="2"/>
    <n v="8400"/>
    <n v="0"/>
    <n v="8400"/>
    <x v="3"/>
    <x v="0"/>
    <n v="4"/>
    <s v="Buenos Aires Clássica"/>
    <x v="4"/>
    <x v="1"/>
  </r>
  <r>
    <n v="667"/>
    <x v="274"/>
    <d v="2026-04-01T00:00:00"/>
    <n v="91"/>
    <n v="10"/>
    <n v="1"/>
    <n v="11500"/>
    <n v="0"/>
    <n v="11500"/>
    <x v="0"/>
    <x v="1"/>
    <m/>
    <s v="Orlando Parques"/>
    <x v="5"/>
    <x v="1"/>
  </r>
  <r>
    <n v="668"/>
    <x v="275"/>
    <d v="2025-12-22T00:00:00"/>
    <n v="191"/>
    <n v="9"/>
    <n v="2"/>
    <n v="17800"/>
    <n v="0"/>
    <n v="17800"/>
    <x v="3"/>
    <x v="0"/>
    <n v="4"/>
    <s v="Cancún All Inclusive"/>
    <x v="2"/>
    <x v="1"/>
  </r>
  <r>
    <n v="669"/>
    <x v="275"/>
    <d v="2026-01-09T00:00:00"/>
    <n v="178"/>
    <n v="14"/>
    <n v="2"/>
    <n v="5800"/>
    <n v="0"/>
    <n v="5800"/>
    <x v="2"/>
    <x v="0"/>
    <n v="3"/>
    <s v="Lençóis Maranhenses"/>
    <x v="0"/>
    <x v="7"/>
  </r>
  <r>
    <n v="670"/>
    <x v="276"/>
    <d v="2025-12-06T00:00:00"/>
    <n v="149"/>
    <n v="1"/>
    <n v="2"/>
    <n v="6400"/>
    <n v="0.05"/>
    <n v="6080"/>
    <x v="1"/>
    <x v="0"/>
    <n v="5"/>
    <s v="Nordeste Encantado"/>
    <x v="2"/>
    <x v="1"/>
  </r>
  <r>
    <n v="671"/>
    <x v="276"/>
    <d v="2025-12-03T00:00:00"/>
    <n v="17"/>
    <n v="7"/>
    <n v="1"/>
    <n v="4200"/>
    <n v="0"/>
    <n v="4200"/>
    <x v="1"/>
    <x v="0"/>
    <n v="4"/>
    <s v="Buenos Aires Clássica"/>
    <x v="4"/>
    <x v="0"/>
  </r>
  <r>
    <n v="672"/>
    <x v="276"/>
    <d v="2025-11-24T00:00:00"/>
    <n v="129"/>
    <n v="15"/>
    <n v="5"/>
    <n v="15500"/>
    <n v="0.15"/>
    <n v="13175"/>
    <x v="3"/>
    <x v="0"/>
    <n v="1"/>
    <s v="Jericoacoara"/>
    <x v="2"/>
    <x v="4"/>
  </r>
  <r>
    <n v="673"/>
    <x v="277"/>
    <d v="2026-05-14T00:00:00"/>
    <n v="163"/>
    <n v="1"/>
    <n v="2"/>
    <n v="6400"/>
    <n v="0"/>
    <n v="6400"/>
    <x v="1"/>
    <x v="0"/>
    <n v="3"/>
    <s v="Nordeste Encantado"/>
    <x v="2"/>
    <x v="2"/>
  </r>
  <r>
    <n v="674"/>
    <x v="277"/>
    <d v="2025-12-09T00:00:00"/>
    <n v="95"/>
    <n v="15"/>
    <n v="2"/>
    <n v="6200"/>
    <n v="0"/>
    <n v="6200"/>
    <x v="1"/>
    <x v="0"/>
    <n v="3"/>
    <s v="Jericoacoara"/>
    <x v="2"/>
    <x v="3"/>
  </r>
  <r>
    <n v="675"/>
    <x v="278"/>
    <d v="2025-11-24T00:00:00"/>
    <n v="79"/>
    <n v="7"/>
    <n v="1"/>
    <n v="4200"/>
    <n v="0"/>
    <n v="4200"/>
    <x v="2"/>
    <x v="1"/>
    <m/>
    <s v="Buenos Aires Clássica"/>
    <x v="4"/>
    <x v="0"/>
  </r>
  <r>
    <n v="676"/>
    <x v="278"/>
    <d v="2026-01-02T00:00:00"/>
    <n v="105"/>
    <n v="11"/>
    <n v="1"/>
    <n v="15800"/>
    <n v="0"/>
    <n v="15800"/>
    <x v="3"/>
    <x v="1"/>
    <m/>
    <s v="Paris e Londres"/>
    <x v="4"/>
    <x v="5"/>
  </r>
  <r>
    <n v="677"/>
    <x v="278"/>
    <d v="2026-02-15T00:00:00"/>
    <n v="9"/>
    <n v="14"/>
    <n v="3"/>
    <n v="8700"/>
    <n v="0.05"/>
    <n v="8265"/>
    <x v="1"/>
    <x v="0"/>
    <n v="5"/>
    <s v="Lençóis Maranhenses"/>
    <x v="0"/>
    <x v="4"/>
  </r>
  <r>
    <n v="678"/>
    <x v="278"/>
    <d v="2026-02-16T00:00:00"/>
    <n v="110"/>
    <n v="9"/>
    <n v="3"/>
    <n v="26700"/>
    <n v="0"/>
    <n v="26700"/>
    <x v="0"/>
    <x v="1"/>
    <m/>
    <s v="Cancún All Inclusive"/>
    <x v="2"/>
    <x v="1"/>
  </r>
  <r>
    <n v="679"/>
    <x v="278"/>
    <d v="2025-12-01T00:00:00"/>
    <n v="119"/>
    <n v="1"/>
    <n v="1"/>
    <n v="3200"/>
    <n v="0.1"/>
    <n v="2880"/>
    <x v="2"/>
    <x v="0"/>
    <n v="3"/>
    <s v="Nordeste Encantado"/>
    <x v="2"/>
    <x v="1"/>
  </r>
  <r>
    <n v="680"/>
    <x v="279"/>
    <d v="2026-01-20T00:00:00"/>
    <n v="188"/>
    <n v="1"/>
    <n v="1"/>
    <n v="3200"/>
    <n v="0"/>
    <n v="3200"/>
    <x v="0"/>
    <x v="0"/>
    <n v="5"/>
    <s v="Nordeste Encantado"/>
    <x v="2"/>
    <x v="1"/>
  </r>
  <r>
    <n v="681"/>
    <x v="279"/>
    <d v="2025-12-11T00:00:00"/>
    <n v="172"/>
    <n v="4"/>
    <n v="2"/>
    <n v="13800"/>
    <n v="0"/>
    <n v="13800"/>
    <x v="3"/>
    <x v="0"/>
    <n v="4"/>
    <s v="Fernando de Noronha"/>
    <x v="2"/>
    <x v="2"/>
  </r>
  <r>
    <n v="682"/>
    <x v="280"/>
    <d v="2026-02-12T00:00:00"/>
    <n v="51"/>
    <n v="5"/>
    <n v="2"/>
    <n v="6800"/>
    <n v="0.1"/>
    <n v="6120"/>
    <x v="0"/>
    <x v="0"/>
    <n v="5"/>
    <s v="Bonito Aventura"/>
    <x v="1"/>
    <x v="0"/>
  </r>
  <r>
    <n v="683"/>
    <x v="280"/>
    <d v="2025-11-26T00:00:00"/>
    <n v="166"/>
    <n v="6"/>
    <n v="2"/>
    <n v="4200"/>
    <n v="0.05"/>
    <n v="3990"/>
    <x v="0"/>
    <x v="1"/>
    <m/>
    <s v="Foz do Iguaçu"/>
    <x v="0"/>
    <x v="0"/>
  </r>
  <r>
    <n v="684"/>
    <x v="280"/>
    <d v="2025-12-08T00:00:00"/>
    <n v="139"/>
    <n v="15"/>
    <n v="4"/>
    <n v="12400"/>
    <n v="0.05"/>
    <n v="11780"/>
    <x v="1"/>
    <x v="1"/>
    <m/>
    <s v="Jericoacoara"/>
    <x v="2"/>
    <x v="1"/>
  </r>
  <r>
    <n v="685"/>
    <x v="281"/>
    <d v="2026-01-08T00:00:00"/>
    <n v="110"/>
    <n v="6"/>
    <n v="4"/>
    <n v="8400"/>
    <n v="0.1"/>
    <n v="7560"/>
    <x v="0"/>
    <x v="1"/>
    <m/>
    <s v="Foz do Iguaçu"/>
    <x v="0"/>
    <x v="1"/>
  </r>
  <r>
    <n v="686"/>
    <x v="281"/>
    <d v="2025-11-29T00:00:00"/>
    <n v="98"/>
    <n v="11"/>
    <n v="5"/>
    <n v="79000"/>
    <n v="0"/>
    <n v="79000"/>
    <x v="3"/>
    <x v="0"/>
    <n v="4"/>
    <s v="Paris e Londres"/>
    <x v="4"/>
    <x v="1"/>
  </r>
  <r>
    <n v="687"/>
    <x v="281"/>
    <d v="2025-11-29T00:00:00"/>
    <n v="144"/>
    <n v="12"/>
    <n v="1"/>
    <n v="12400"/>
    <n v="0.1"/>
    <n v="11160"/>
    <x v="2"/>
    <x v="0"/>
    <n v="1"/>
    <s v="Lisboa e Porto"/>
    <x v="4"/>
    <x v="2"/>
  </r>
  <r>
    <n v="688"/>
    <x v="281"/>
    <d v="2025-12-02T00:00:00"/>
    <n v="185"/>
    <n v="9"/>
    <n v="2"/>
    <n v="17800"/>
    <n v="0"/>
    <n v="17800"/>
    <x v="0"/>
    <x v="0"/>
    <n v="4"/>
    <s v="Cancún All Inclusive"/>
    <x v="2"/>
    <x v="1"/>
  </r>
  <r>
    <n v="689"/>
    <x v="281"/>
    <d v="2025-12-19T00:00:00"/>
    <n v="130"/>
    <n v="4"/>
    <n v="5"/>
    <n v="34500"/>
    <n v="0.05"/>
    <n v="32775"/>
    <x v="1"/>
    <x v="0"/>
    <n v="4"/>
    <s v="Fernando de Noronha"/>
    <x v="2"/>
    <x v="1"/>
  </r>
  <r>
    <n v="690"/>
    <x v="281"/>
    <d v="2026-01-09T00:00:00"/>
    <n v="75"/>
    <n v="2"/>
    <n v="3"/>
    <n v="5400"/>
    <n v="0"/>
    <n v="5400"/>
    <x v="2"/>
    <x v="0"/>
    <n v="2"/>
    <s v="Rio Cidade Maravilhosa"/>
    <x v="4"/>
    <x v="6"/>
  </r>
  <r>
    <n v="691"/>
    <x v="282"/>
    <d v="2026-03-18T00:00:00"/>
    <n v="192"/>
    <n v="3"/>
    <n v="3"/>
    <n v="7800"/>
    <n v="0"/>
    <n v="7800"/>
    <x v="0"/>
    <x v="0"/>
    <n v="2"/>
    <s v="Serra Gaúcha"/>
    <x v="3"/>
    <x v="1"/>
  </r>
  <r>
    <n v="692"/>
    <x v="282"/>
    <d v="2026-04-21T00:00:00"/>
    <n v="46"/>
    <n v="1"/>
    <n v="1"/>
    <n v="3200"/>
    <n v="0"/>
    <n v="3200"/>
    <x v="0"/>
    <x v="0"/>
    <n v="1"/>
    <s v="Nordeste Encantado"/>
    <x v="2"/>
    <x v="0"/>
  </r>
  <r>
    <n v="693"/>
    <x v="282"/>
    <d v="2026-01-02T00:00:00"/>
    <n v="2"/>
    <n v="1"/>
    <n v="2"/>
    <n v="6400"/>
    <n v="0.05"/>
    <n v="6080"/>
    <x v="1"/>
    <x v="0"/>
    <n v="4"/>
    <s v="Nordeste Encantado"/>
    <x v="2"/>
    <x v="0"/>
  </r>
  <r>
    <n v="694"/>
    <x v="283"/>
    <d v="2025-12-03T00:00:00"/>
    <n v="70"/>
    <n v="3"/>
    <n v="1"/>
    <n v="2600"/>
    <n v="0.05"/>
    <n v="2470"/>
    <x v="0"/>
    <x v="0"/>
    <n v="4"/>
    <s v="Serra Gaúcha"/>
    <x v="3"/>
    <x v="4"/>
  </r>
  <r>
    <n v="695"/>
    <x v="283"/>
    <d v="2026-01-13T00:00:00"/>
    <n v="189"/>
    <n v="7"/>
    <n v="2"/>
    <n v="8400"/>
    <n v="0.15"/>
    <n v="7140"/>
    <x v="3"/>
    <x v="0"/>
    <n v="3"/>
    <s v="Buenos Aires Clássica"/>
    <x v="4"/>
    <x v="1"/>
  </r>
  <r>
    <n v="696"/>
    <x v="284"/>
    <d v="2025-12-13T00:00:00"/>
    <n v="68"/>
    <n v="2"/>
    <n v="1"/>
    <n v="1800"/>
    <n v="0.05"/>
    <n v="1710"/>
    <x v="0"/>
    <x v="0"/>
    <n v="3"/>
    <s v="Rio Cidade Maravilhosa"/>
    <x v="4"/>
    <x v="5"/>
  </r>
  <r>
    <n v="697"/>
    <x v="285"/>
    <d v="2026-03-04T00:00:00"/>
    <n v="110"/>
    <n v="2"/>
    <n v="1"/>
    <n v="1800"/>
    <n v="0"/>
    <n v="1800"/>
    <x v="0"/>
    <x v="0"/>
    <n v="4"/>
    <s v="Rio Cidade Maravilhosa"/>
    <x v="4"/>
    <x v="1"/>
  </r>
  <r>
    <n v="698"/>
    <x v="285"/>
    <d v="2025-12-03T00:00:00"/>
    <n v="64"/>
    <n v="3"/>
    <n v="2"/>
    <n v="5200"/>
    <n v="0"/>
    <n v="5200"/>
    <x v="3"/>
    <x v="0"/>
    <n v="1"/>
    <s v="Serra Gaúcha"/>
    <x v="3"/>
    <x v="7"/>
  </r>
  <r>
    <n v="699"/>
    <x v="285"/>
    <d v="2026-01-03T00:00:00"/>
    <n v="139"/>
    <n v="8"/>
    <n v="5"/>
    <n v="29500"/>
    <n v="0.15"/>
    <n v="25075"/>
    <x v="1"/>
    <x v="1"/>
    <m/>
    <s v="Santiago e Neve"/>
    <x v="3"/>
    <x v="1"/>
  </r>
  <r>
    <n v="700"/>
    <x v="285"/>
    <d v="2026-04-10T00:00:00"/>
    <n v="16"/>
    <n v="1"/>
    <n v="2"/>
    <n v="6400"/>
    <n v="0.1"/>
    <n v="5760"/>
    <x v="0"/>
    <x v="0"/>
    <n v="3"/>
    <s v="Nordeste Encantado"/>
    <x v="2"/>
    <x v="2"/>
  </r>
  <r>
    <n v="701"/>
    <x v="286"/>
    <d v="2026-05-13T00:00:00"/>
    <n v="194"/>
    <n v="3"/>
    <n v="2"/>
    <n v="5200"/>
    <n v="0"/>
    <n v="5200"/>
    <x v="3"/>
    <x v="1"/>
    <m/>
    <s v="Serra Gaúcha"/>
    <x v="3"/>
    <x v="2"/>
  </r>
  <r>
    <n v="702"/>
    <x v="286"/>
    <d v="2026-01-19T00:00:00"/>
    <n v="132"/>
    <n v="6"/>
    <n v="2"/>
    <n v="4200"/>
    <n v="0.05"/>
    <n v="3990"/>
    <x v="0"/>
    <x v="0"/>
    <n v="4"/>
    <s v="Foz do Iguaçu"/>
    <x v="0"/>
    <x v="6"/>
  </r>
  <r>
    <n v="703"/>
    <x v="286"/>
    <d v="2026-01-14T00:00:00"/>
    <n v="125"/>
    <n v="3"/>
    <n v="2"/>
    <n v="5200"/>
    <n v="0.05"/>
    <n v="4940"/>
    <x v="1"/>
    <x v="0"/>
    <n v="5"/>
    <s v="Serra Gaúcha"/>
    <x v="3"/>
    <x v="4"/>
  </r>
  <r>
    <n v="704"/>
    <x v="286"/>
    <d v="2026-01-15T00:00:00"/>
    <n v="151"/>
    <n v="3"/>
    <n v="1"/>
    <n v="2600"/>
    <n v="0.05"/>
    <n v="2470"/>
    <x v="3"/>
    <x v="0"/>
    <n v="3"/>
    <s v="Serra Gaúcha"/>
    <x v="3"/>
    <x v="1"/>
  </r>
  <r>
    <n v="705"/>
    <x v="287"/>
    <d v="2025-12-08T00:00:00"/>
    <n v="67"/>
    <n v="15"/>
    <n v="1"/>
    <n v="3100"/>
    <n v="0"/>
    <n v="3100"/>
    <x v="0"/>
    <x v="0"/>
    <n v="4"/>
    <s v="Jericoacoara"/>
    <x v="2"/>
    <x v="0"/>
  </r>
  <r>
    <n v="706"/>
    <x v="287"/>
    <d v="2026-01-13T00:00:00"/>
    <n v="173"/>
    <n v="2"/>
    <n v="1"/>
    <n v="1800"/>
    <n v="0"/>
    <n v="1800"/>
    <x v="2"/>
    <x v="0"/>
    <n v="5"/>
    <s v="Rio Cidade Maravilhosa"/>
    <x v="4"/>
    <x v="5"/>
  </r>
  <r>
    <n v="707"/>
    <x v="287"/>
    <d v="2026-05-02T00:00:00"/>
    <n v="34"/>
    <n v="15"/>
    <n v="2"/>
    <n v="6200"/>
    <n v="0.05"/>
    <n v="5890"/>
    <x v="0"/>
    <x v="0"/>
    <n v="5"/>
    <s v="Jericoacoara"/>
    <x v="2"/>
    <x v="1"/>
  </r>
  <r>
    <n v="708"/>
    <x v="287"/>
    <d v="2026-01-12T00:00:00"/>
    <n v="5"/>
    <n v="9"/>
    <n v="2"/>
    <n v="17800"/>
    <n v="0.1"/>
    <n v="16020"/>
    <x v="3"/>
    <x v="0"/>
    <n v="4"/>
    <s v="Cancún All Inclusive"/>
    <x v="2"/>
    <x v="4"/>
  </r>
  <r>
    <n v="709"/>
    <x v="287"/>
    <d v="2025-12-30T00:00:00"/>
    <n v="173"/>
    <n v="15"/>
    <n v="2"/>
    <n v="6200"/>
    <n v="0"/>
    <n v="6200"/>
    <x v="2"/>
    <x v="0"/>
    <n v="5"/>
    <s v="Jericoacoara"/>
    <x v="2"/>
    <x v="5"/>
  </r>
  <r>
    <n v="710"/>
    <x v="288"/>
    <d v="2026-05-09T00:00:00"/>
    <n v="48"/>
    <n v="7"/>
    <n v="1"/>
    <n v="4200"/>
    <n v="0.05"/>
    <n v="3990"/>
    <x v="1"/>
    <x v="0"/>
    <n v="5"/>
    <s v="Buenos Aires Clássica"/>
    <x v="4"/>
    <x v="1"/>
  </r>
  <r>
    <n v="711"/>
    <x v="288"/>
    <d v="2025-12-15T00:00:00"/>
    <n v="74"/>
    <n v="15"/>
    <n v="2"/>
    <n v="6200"/>
    <n v="0"/>
    <n v="6200"/>
    <x v="0"/>
    <x v="0"/>
    <n v="1"/>
    <s v="Jericoacoara"/>
    <x v="2"/>
    <x v="1"/>
  </r>
  <r>
    <n v="712"/>
    <x v="288"/>
    <d v="2025-12-21T00:00:00"/>
    <n v="132"/>
    <n v="1"/>
    <n v="5"/>
    <n v="16000"/>
    <n v="0.1"/>
    <n v="14400"/>
    <x v="0"/>
    <x v="0"/>
    <n v="4"/>
    <s v="Nordeste Encantado"/>
    <x v="2"/>
    <x v="6"/>
  </r>
  <r>
    <n v="713"/>
    <x v="288"/>
    <d v="2026-01-08T00:00:00"/>
    <n v="144"/>
    <n v="7"/>
    <n v="4"/>
    <n v="16800"/>
    <n v="0.1"/>
    <n v="15120"/>
    <x v="2"/>
    <x v="0"/>
    <n v="5"/>
    <s v="Buenos Aires Clássica"/>
    <x v="4"/>
    <x v="2"/>
  </r>
  <r>
    <n v="714"/>
    <x v="288"/>
    <d v="2026-02-20T00:00:00"/>
    <n v="112"/>
    <n v="12"/>
    <n v="3"/>
    <n v="37200"/>
    <n v="0"/>
    <n v="37200"/>
    <x v="0"/>
    <x v="0"/>
    <n v="4"/>
    <s v="Lisboa e Porto"/>
    <x v="4"/>
    <x v="1"/>
  </r>
  <r>
    <n v="715"/>
    <x v="289"/>
    <d v="2025-12-10T00:00:00"/>
    <n v="80"/>
    <n v="1"/>
    <n v="1"/>
    <n v="3200"/>
    <n v="0"/>
    <n v="3200"/>
    <x v="3"/>
    <x v="0"/>
    <n v="4"/>
    <s v="Nordeste Encantado"/>
    <x v="2"/>
    <x v="1"/>
  </r>
  <r>
    <n v="716"/>
    <x v="290"/>
    <d v="2025-12-24T00:00:00"/>
    <n v="25"/>
    <n v="12"/>
    <n v="1"/>
    <n v="12400"/>
    <n v="0.05"/>
    <n v="11780"/>
    <x v="1"/>
    <x v="0"/>
    <n v="5"/>
    <s v="Lisboa e Porto"/>
    <x v="4"/>
    <x v="7"/>
  </r>
  <r>
    <n v="717"/>
    <x v="290"/>
    <d v="2025-12-21T00:00:00"/>
    <n v="103"/>
    <n v="2"/>
    <n v="1"/>
    <n v="1800"/>
    <n v="0"/>
    <n v="1800"/>
    <x v="0"/>
    <x v="0"/>
    <n v="5"/>
    <s v="Rio Cidade Maravilhosa"/>
    <x v="4"/>
    <x v="1"/>
  </r>
  <r>
    <n v="718"/>
    <x v="290"/>
    <d v="2026-05-26T00:00:00"/>
    <n v="36"/>
    <n v="14"/>
    <n v="1"/>
    <n v="2900"/>
    <n v="0.1"/>
    <n v="2610"/>
    <x v="1"/>
    <x v="0"/>
    <n v="4"/>
    <s v="Lençóis Maranhenses"/>
    <x v="0"/>
    <x v="1"/>
  </r>
  <r>
    <n v="719"/>
    <x v="290"/>
    <d v="2025-12-19T00:00:00"/>
    <n v="167"/>
    <n v="14"/>
    <n v="2"/>
    <n v="5800"/>
    <n v="0"/>
    <n v="5800"/>
    <x v="0"/>
    <x v="0"/>
    <n v="4"/>
    <s v="Lençóis Maranhenses"/>
    <x v="0"/>
    <x v="1"/>
  </r>
  <r>
    <n v="720"/>
    <x v="291"/>
    <d v="2026-02-28T00:00:00"/>
    <n v="79"/>
    <n v="1"/>
    <n v="2"/>
    <n v="6400"/>
    <n v="0"/>
    <n v="6400"/>
    <x v="0"/>
    <x v="0"/>
    <n v="2"/>
    <s v="Nordeste Encantado"/>
    <x v="2"/>
    <x v="0"/>
  </r>
  <r>
    <n v="721"/>
    <x v="291"/>
    <d v="2026-02-25T00:00:00"/>
    <n v="102"/>
    <n v="10"/>
    <n v="4"/>
    <n v="46000"/>
    <n v="0"/>
    <n v="46000"/>
    <x v="1"/>
    <x v="0"/>
    <n v="4"/>
    <s v="Orlando Parques"/>
    <x v="5"/>
    <x v="3"/>
  </r>
  <r>
    <n v="722"/>
    <x v="292"/>
    <d v="2026-01-19T00:00:00"/>
    <n v="124"/>
    <n v="4"/>
    <n v="1"/>
    <n v="6900"/>
    <n v="0"/>
    <n v="6900"/>
    <x v="1"/>
    <x v="0"/>
    <n v="4"/>
    <s v="Fernando de Noronha"/>
    <x v="2"/>
    <x v="5"/>
  </r>
  <r>
    <n v="723"/>
    <x v="292"/>
    <d v="2026-05-08T00:00:00"/>
    <n v="89"/>
    <n v="1"/>
    <n v="1"/>
    <n v="3200"/>
    <n v="0"/>
    <n v="3200"/>
    <x v="3"/>
    <x v="0"/>
    <n v="5"/>
    <s v="Nordeste Encantado"/>
    <x v="2"/>
    <x v="4"/>
  </r>
  <r>
    <n v="724"/>
    <x v="292"/>
    <d v="2025-12-27T00:00:00"/>
    <n v="55"/>
    <n v="7"/>
    <n v="2"/>
    <n v="8400"/>
    <n v="0"/>
    <n v="8400"/>
    <x v="3"/>
    <x v="0"/>
    <n v="5"/>
    <s v="Buenos Aires Clássica"/>
    <x v="4"/>
    <x v="5"/>
  </r>
  <r>
    <n v="725"/>
    <x v="293"/>
    <d v="2026-04-23T00:00:00"/>
    <n v="185"/>
    <n v="9"/>
    <n v="1"/>
    <n v="8900"/>
    <n v="0"/>
    <n v="8900"/>
    <x v="1"/>
    <x v="0"/>
    <n v="4"/>
    <s v="Cancún All Inclusive"/>
    <x v="2"/>
    <x v="1"/>
  </r>
  <r>
    <n v="726"/>
    <x v="293"/>
    <d v="2026-02-28T00:00:00"/>
    <n v="19"/>
    <n v="1"/>
    <n v="4"/>
    <n v="12800"/>
    <n v="0.1"/>
    <n v="11520"/>
    <x v="0"/>
    <x v="0"/>
    <n v="4"/>
    <s v="Nordeste Encantado"/>
    <x v="2"/>
    <x v="1"/>
  </r>
  <r>
    <n v="727"/>
    <x v="293"/>
    <d v="2026-02-20T00:00:00"/>
    <n v="19"/>
    <n v="2"/>
    <n v="2"/>
    <n v="3600"/>
    <n v="0.1"/>
    <n v="3240"/>
    <x v="3"/>
    <x v="0"/>
    <n v="4"/>
    <s v="Rio Cidade Maravilhosa"/>
    <x v="4"/>
    <x v="1"/>
  </r>
  <r>
    <n v="728"/>
    <x v="294"/>
    <d v="2025-12-23T00:00:00"/>
    <n v="99"/>
    <n v="7"/>
    <n v="5"/>
    <n v="21000"/>
    <n v="0.1"/>
    <n v="18900"/>
    <x v="0"/>
    <x v="0"/>
    <n v="4"/>
    <s v="Buenos Aires Clássica"/>
    <x v="4"/>
    <x v="1"/>
  </r>
  <r>
    <n v="729"/>
    <x v="294"/>
    <d v="2025-12-19T00:00:00"/>
    <n v="3"/>
    <n v="3"/>
    <n v="1"/>
    <n v="2600"/>
    <n v="0.05"/>
    <n v="2470"/>
    <x v="3"/>
    <x v="0"/>
    <n v="3"/>
    <s v="Serra Gaúcha"/>
    <x v="3"/>
    <x v="1"/>
  </r>
  <r>
    <n v="730"/>
    <x v="294"/>
    <d v="2026-04-09T00:00:00"/>
    <n v="177"/>
    <n v="4"/>
    <n v="2"/>
    <n v="13800"/>
    <n v="0.1"/>
    <n v="12420"/>
    <x v="0"/>
    <x v="0"/>
    <n v="4"/>
    <s v="Fernando de Noronha"/>
    <x v="2"/>
    <x v="0"/>
  </r>
  <r>
    <n v="731"/>
    <x v="294"/>
    <d v="2026-02-05T00:00:00"/>
    <n v="50"/>
    <n v="8"/>
    <n v="1"/>
    <n v="5900"/>
    <n v="0"/>
    <n v="5900"/>
    <x v="3"/>
    <x v="0"/>
    <n v="4"/>
    <s v="Santiago e Neve"/>
    <x v="3"/>
    <x v="1"/>
  </r>
  <r>
    <n v="732"/>
    <x v="294"/>
    <d v="2026-01-10T00:00:00"/>
    <n v="40"/>
    <n v="1"/>
    <n v="3"/>
    <n v="9600"/>
    <n v="0.1"/>
    <n v="8640"/>
    <x v="1"/>
    <x v="0"/>
    <n v="2"/>
    <s v="Nordeste Encantado"/>
    <x v="2"/>
    <x v="0"/>
  </r>
  <r>
    <n v="733"/>
    <x v="294"/>
    <d v="2026-03-08T00:00:00"/>
    <n v="100"/>
    <n v="3"/>
    <n v="4"/>
    <n v="10400"/>
    <n v="0"/>
    <n v="10400"/>
    <x v="0"/>
    <x v="0"/>
    <n v="3"/>
    <s v="Serra Gaúcha"/>
    <x v="3"/>
    <x v="1"/>
  </r>
  <r>
    <n v="734"/>
    <x v="294"/>
    <d v="2026-01-16T00:00:00"/>
    <n v="198"/>
    <n v="3"/>
    <n v="4"/>
    <n v="10400"/>
    <n v="0"/>
    <n v="10400"/>
    <x v="3"/>
    <x v="0"/>
    <n v="5"/>
    <s v="Serra Gaúcha"/>
    <x v="3"/>
    <x v="1"/>
  </r>
  <r>
    <n v="735"/>
    <x v="295"/>
    <d v="2025-12-23T00:00:00"/>
    <n v="100"/>
    <n v="11"/>
    <n v="1"/>
    <n v="15800"/>
    <n v="0"/>
    <n v="15800"/>
    <x v="0"/>
    <x v="0"/>
    <n v="2"/>
    <s v="Paris e Londres"/>
    <x v="4"/>
    <x v="1"/>
  </r>
  <r>
    <n v="736"/>
    <x v="295"/>
    <d v="2026-03-04T00:00:00"/>
    <n v="83"/>
    <n v="2"/>
    <n v="2"/>
    <n v="3600"/>
    <n v="0"/>
    <n v="3600"/>
    <x v="0"/>
    <x v="0"/>
    <n v="5"/>
    <s v="Rio Cidade Maravilhosa"/>
    <x v="4"/>
    <x v="1"/>
  </r>
  <r>
    <n v="737"/>
    <x v="296"/>
    <d v="2025-12-31T00:00:00"/>
    <n v="91"/>
    <n v="1"/>
    <n v="2"/>
    <n v="6400"/>
    <n v="0"/>
    <n v="6400"/>
    <x v="2"/>
    <x v="0"/>
    <n v="5"/>
    <s v="Nordeste Encantado"/>
    <x v="2"/>
    <x v="1"/>
  </r>
  <r>
    <n v="738"/>
    <x v="296"/>
    <d v="2026-01-12T00:00:00"/>
    <n v="68"/>
    <n v="8"/>
    <n v="1"/>
    <n v="5900"/>
    <n v="0.05"/>
    <n v="5605"/>
    <x v="0"/>
    <x v="0"/>
    <n v="3"/>
    <s v="Santiago e Neve"/>
    <x v="3"/>
    <x v="5"/>
  </r>
  <r>
    <n v="739"/>
    <x v="296"/>
    <d v="2026-02-26T00:00:00"/>
    <n v="163"/>
    <n v="10"/>
    <n v="2"/>
    <n v="23000"/>
    <n v="0"/>
    <n v="23000"/>
    <x v="1"/>
    <x v="0"/>
    <n v="4"/>
    <s v="Orlando Parques"/>
    <x v="5"/>
    <x v="2"/>
  </r>
  <r>
    <n v="740"/>
    <x v="297"/>
    <d v="2025-12-26T00:00:00"/>
    <n v="184"/>
    <n v="3"/>
    <n v="3"/>
    <n v="7800"/>
    <n v="0.1"/>
    <n v="7020"/>
    <x v="0"/>
    <x v="0"/>
    <n v="4"/>
    <s v="Serra Gaúcha"/>
    <x v="3"/>
    <x v="1"/>
  </r>
  <r>
    <n v="741"/>
    <x v="297"/>
    <d v="2025-12-24T00:00:00"/>
    <n v="179"/>
    <n v="1"/>
    <n v="5"/>
    <n v="16000"/>
    <n v="0.1"/>
    <n v="14400"/>
    <x v="1"/>
    <x v="0"/>
    <n v="4"/>
    <s v="Nordeste Encantado"/>
    <x v="2"/>
    <x v="1"/>
  </r>
  <r>
    <n v="742"/>
    <x v="297"/>
    <d v="2026-04-14T00:00:00"/>
    <n v="124"/>
    <n v="1"/>
    <n v="1"/>
    <n v="3200"/>
    <n v="0"/>
    <n v="3200"/>
    <x v="0"/>
    <x v="0"/>
    <n v="5"/>
    <s v="Nordeste Encantado"/>
    <x v="2"/>
    <x v="5"/>
  </r>
  <r>
    <n v="743"/>
    <x v="297"/>
    <d v="2026-02-19T00:00:00"/>
    <n v="74"/>
    <n v="10"/>
    <n v="2"/>
    <n v="23000"/>
    <n v="0.1"/>
    <n v="20700"/>
    <x v="0"/>
    <x v="0"/>
    <n v="5"/>
    <s v="Orlando Parques"/>
    <x v="5"/>
    <x v="1"/>
  </r>
  <r>
    <n v="744"/>
    <x v="297"/>
    <d v="2026-01-15T00:00:00"/>
    <n v="99"/>
    <n v="7"/>
    <n v="1"/>
    <n v="4200"/>
    <n v="0"/>
    <n v="4200"/>
    <x v="0"/>
    <x v="0"/>
    <n v="4"/>
    <s v="Buenos Aires Clássica"/>
    <x v="4"/>
    <x v="1"/>
  </r>
  <r>
    <n v="745"/>
    <x v="298"/>
    <d v="2025-12-29T00:00:00"/>
    <n v="171"/>
    <n v="8"/>
    <n v="2"/>
    <n v="11800"/>
    <n v="0.05"/>
    <n v="11210"/>
    <x v="0"/>
    <x v="0"/>
    <n v="3"/>
    <s v="Santiago e Neve"/>
    <x v="3"/>
    <x v="1"/>
  </r>
  <r>
    <n v="746"/>
    <x v="298"/>
    <d v="2026-01-10T00:00:00"/>
    <n v="132"/>
    <n v="3"/>
    <n v="2"/>
    <n v="5200"/>
    <n v="0"/>
    <n v="5200"/>
    <x v="3"/>
    <x v="0"/>
    <n v="4"/>
    <s v="Serra Gaúcha"/>
    <x v="3"/>
    <x v="6"/>
  </r>
  <r>
    <n v="747"/>
    <x v="298"/>
    <d v="2026-05-05T00:00:00"/>
    <n v="177"/>
    <n v="9"/>
    <n v="1"/>
    <n v="8900"/>
    <n v="0.1"/>
    <n v="8010"/>
    <x v="3"/>
    <x v="0"/>
    <n v="4"/>
    <s v="Cancún All Inclusive"/>
    <x v="2"/>
    <x v="0"/>
  </r>
  <r>
    <n v="748"/>
    <x v="298"/>
    <d v="2026-06-04T00:00:00"/>
    <n v="189"/>
    <n v="3"/>
    <n v="2"/>
    <n v="5200"/>
    <n v="0.15"/>
    <n v="4420"/>
    <x v="1"/>
    <x v="0"/>
    <n v="4"/>
    <s v="Serra Gaúcha"/>
    <x v="3"/>
    <x v="1"/>
  </r>
  <r>
    <n v="749"/>
    <x v="298"/>
    <d v="2026-01-23T00:00:00"/>
    <n v="41"/>
    <n v="10"/>
    <n v="3"/>
    <n v="34500"/>
    <n v="0.05"/>
    <n v="32775"/>
    <x v="0"/>
    <x v="0"/>
    <n v="3"/>
    <s v="Orlando Parques"/>
    <x v="5"/>
    <x v="6"/>
  </r>
  <r>
    <n v="750"/>
    <x v="299"/>
    <d v="2026-02-11T00:00:00"/>
    <n v="49"/>
    <n v="1"/>
    <n v="2"/>
    <n v="6400"/>
    <n v="0"/>
    <n v="6400"/>
    <x v="1"/>
    <x v="0"/>
    <n v="4"/>
    <s v="Nordeste Encantado"/>
    <x v="2"/>
    <x v="0"/>
  </r>
  <r>
    <n v="751"/>
    <x v="299"/>
    <d v="2026-01-01T00:00:00"/>
    <n v="84"/>
    <n v="2"/>
    <n v="1"/>
    <n v="1800"/>
    <n v="0"/>
    <n v="1800"/>
    <x v="1"/>
    <x v="0"/>
    <n v="3"/>
    <s v="Rio Cidade Maravilhosa"/>
    <x v="4"/>
    <x v="6"/>
  </r>
  <r>
    <n v="752"/>
    <x v="299"/>
    <d v="2026-01-25T00:00:00"/>
    <n v="47"/>
    <n v="9"/>
    <n v="1"/>
    <n v="8900"/>
    <n v="0"/>
    <n v="8900"/>
    <x v="0"/>
    <x v="0"/>
    <n v="4"/>
    <s v="Cancún All Inclusive"/>
    <x v="2"/>
    <x v="5"/>
  </r>
  <r>
    <n v="753"/>
    <x v="300"/>
    <d v="2026-03-05T00:00:00"/>
    <n v="100"/>
    <n v="9"/>
    <n v="3"/>
    <n v="26700"/>
    <n v="0"/>
    <n v="26700"/>
    <x v="0"/>
    <x v="0"/>
    <n v="5"/>
    <s v="Cancún All Inclusive"/>
    <x v="2"/>
    <x v="1"/>
  </r>
  <r>
    <n v="754"/>
    <x v="300"/>
    <d v="2026-01-26T00:00:00"/>
    <n v="159"/>
    <n v="5"/>
    <n v="2"/>
    <n v="6800"/>
    <n v="0.1"/>
    <n v="6120"/>
    <x v="0"/>
    <x v="0"/>
    <n v="5"/>
    <s v="Bonito Aventura"/>
    <x v="1"/>
    <x v="1"/>
  </r>
  <r>
    <n v="755"/>
    <x v="300"/>
    <d v="2026-01-27T00:00:00"/>
    <n v="111"/>
    <n v="15"/>
    <n v="2"/>
    <n v="6200"/>
    <n v="0"/>
    <n v="6200"/>
    <x v="2"/>
    <x v="0"/>
    <n v="5"/>
    <s v="Jericoacoara"/>
    <x v="2"/>
    <x v="0"/>
  </r>
  <r>
    <n v="756"/>
    <x v="301"/>
    <d v="2026-05-11T00:00:00"/>
    <n v="63"/>
    <n v="15"/>
    <n v="4"/>
    <n v="12400"/>
    <n v="0.05"/>
    <n v="11780"/>
    <x v="0"/>
    <x v="1"/>
    <m/>
    <s v="Jericoacoara"/>
    <x v="2"/>
    <x v="6"/>
  </r>
  <r>
    <n v="757"/>
    <x v="301"/>
    <d v="2026-01-01T00:00:00"/>
    <n v="16"/>
    <n v="2"/>
    <n v="2"/>
    <n v="3600"/>
    <n v="0"/>
    <n v="3600"/>
    <x v="3"/>
    <x v="0"/>
    <n v="3"/>
    <s v="Rio Cidade Maravilhosa"/>
    <x v="4"/>
    <x v="2"/>
  </r>
  <r>
    <n v="758"/>
    <x v="302"/>
    <d v="2025-12-30T00:00:00"/>
    <n v="106"/>
    <n v="2"/>
    <n v="2"/>
    <n v="3600"/>
    <n v="0"/>
    <n v="3600"/>
    <x v="2"/>
    <x v="0"/>
    <n v="4"/>
    <s v="Rio Cidade Maravilhosa"/>
    <x v="4"/>
    <x v="7"/>
  </r>
  <r>
    <n v="759"/>
    <x v="302"/>
    <d v="2026-02-09T00:00:00"/>
    <n v="187"/>
    <n v="9"/>
    <n v="1"/>
    <n v="8900"/>
    <n v="0"/>
    <n v="8900"/>
    <x v="3"/>
    <x v="0"/>
    <n v="4"/>
    <s v="Cancún All Inclusive"/>
    <x v="2"/>
    <x v="5"/>
  </r>
  <r>
    <n v="760"/>
    <x v="302"/>
    <d v="2026-01-02T00:00:00"/>
    <n v="123"/>
    <n v="2"/>
    <n v="2"/>
    <n v="3600"/>
    <n v="0"/>
    <n v="3600"/>
    <x v="0"/>
    <x v="0"/>
    <n v="5"/>
    <s v="Rio Cidade Maravilhosa"/>
    <x v="4"/>
    <x v="3"/>
  </r>
  <r>
    <n v="761"/>
    <x v="303"/>
    <d v="2025-12-30T00:00:00"/>
    <n v="39"/>
    <n v="6"/>
    <n v="2"/>
    <n v="4200"/>
    <n v="0"/>
    <n v="4200"/>
    <x v="3"/>
    <x v="0"/>
    <n v="4"/>
    <s v="Foz do Iguaçu"/>
    <x v="0"/>
    <x v="0"/>
  </r>
  <r>
    <n v="762"/>
    <x v="304"/>
    <d v="2026-01-01T00:00:00"/>
    <n v="76"/>
    <n v="5"/>
    <n v="2"/>
    <n v="6800"/>
    <n v="0.05"/>
    <n v="6460"/>
    <x v="0"/>
    <x v="0"/>
    <n v="3"/>
    <s v="Bonito Aventura"/>
    <x v="1"/>
    <x v="2"/>
  </r>
  <r>
    <n v="763"/>
    <x v="305"/>
    <d v="2026-01-21T00:00:00"/>
    <n v="32"/>
    <n v="14"/>
    <n v="4"/>
    <n v="11600"/>
    <n v="0"/>
    <n v="11600"/>
    <x v="1"/>
    <x v="0"/>
    <n v="4"/>
    <s v="Lençóis Maranhenses"/>
    <x v="0"/>
    <x v="3"/>
  </r>
  <r>
    <n v="764"/>
    <x v="305"/>
    <d v="2026-02-09T00:00:00"/>
    <n v="110"/>
    <n v="12"/>
    <n v="3"/>
    <n v="37200"/>
    <n v="0.05"/>
    <n v="35340"/>
    <x v="0"/>
    <x v="0"/>
    <n v="3"/>
    <s v="Lisboa e Porto"/>
    <x v="4"/>
    <x v="1"/>
  </r>
  <r>
    <n v="765"/>
    <x v="306"/>
    <d v="2025-12-29T00:00:00"/>
    <n v="198"/>
    <n v="1"/>
    <n v="2"/>
    <n v="6400"/>
    <n v="0.1"/>
    <n v="5760"/>
    <x v="1"/>
    <x v="0"/>
    <n v="5"/>
    <s v="Nordeste Encantado"/>
    <x v="2"/>
    <x v="1"/>
  </r>
  <r>
    <n v="766"/>
    <x v="307"/>
    <d v="2026-01-06T00:00:00"/>
    <n v="20"/>
    <n v="6"/>
    <n v="1"/>
    <n v="2100"/>
    <n v="0.1"/>
    <n v="1890"/>
    <x v="1"/>
    <x v="0"/>
    <n v="4"/>
    <s v="Foz do Iguaçu"/>
    <x v="0"/>
    <x v="3"/>
  </r>
  <r>
    <n v="767"/>
    <x v="307"/>
    <d v="2026-02-22T00:00:00"/>
    <n v="14"/>
    <n v="2"/>
    <n v="2"/>
    <n v="3600"/>
    <n v="0"/>
    <n v="3600"/>
    <x v="1"/>
    <x v="1"/>
    <m/>
    <s v="Rio Cidade Maravilhosa"/>
    <x v="4"/>
    <x v="7"/>
  </r>
  <r>
    <n v="768"/>
    <x v="307"/>
    <d v="2026-03-24T00:00:00"/>
    <n v="170"/>
    <n v="15"/>
    <n v="2"/>
    <n v="6200"/>
    <n v="0"/>
    <n v="6200"/>
    <x v="0"/>
    <x v="0"/>
    <n v="3"/>
    <s v="Jericoacoara"/>
    <x v="2"/>
    <x v="1"/>
  </r>
  <r>
    <n v="769"/>
    <x v="307"/>
    <d v="2026-03-16T00:00:00"/>
    <n v="182"/>
    <n v="15"/>
    <n v="4"/>
    <n v="12400"/>
    <n v="0.1"/>
    <n v="11160"/>
    <x v="0"/>
    <x v="0"/>
    <n v="4"/>
    <s v="Jericoacoara"/>
    <x v="2"/>
    <x v="4"/>
  </r>
  <r>
    <n v="770"/>
    <x v="308"/>
    <d v="2026-01-02T00:00:00"/>
    <n v="35"/>
    <n v="9"/>
    <n v="2"/>
    <n v="17800"/>
    <n v="0"/>
    <n v="17800"/>
    <x v="1"/>
    <x v="0"/>
    <n v="3"/>
    <s v="Cancún All Inclusive"/>
    <x v="2"/>
    <x v="2"/>
  </r>
  <r>
    <n v="771"/>
    <x v="308"/>
    <d v="2026-04-28T00:00:00"/>
    <n v="112"/>
    <n v="15"/>
    <n v="3"/>
    <n v="9300"/>
    <n v="0"/>
    <n v="9300"/>
    <x v="1"/>
    <x v="1"/>
    <m/>
    <s v="Jericoacoara"/>
    <x v="2"/>
    <x v="1"/>
  </r>
  <r>
    <n v="772"/>
    <x v="308"/>
    <d v="2025-12-29T00:00:00"/>
    <n v="152"/>
    <n v="4"/>
    <n v="2"/>
    <n v="13800"/>
    <n v="0"/>
    <n v="13800"/>
    <x v="0"/>
    <x v="0"/>
    <n v="5"/>
    <s v="Fernando de Noronha"/>
    <x v="2"/>
    <x v="1"/>
  </r>
  <r>
    <n v="773"/>
    <x v="309"/>
    <d v="2026-02-19T00:00:00"/>
    <n v="54"/>
    <n v="1"/>
    <n v="2"/>
    <n v="6400"/>
    <n v="0.1"/>
    <n v="5760"/>
    <x v="0"/>
    <x v="1"/>
    <m/>
    <s v="Nordeste Encantado"/>
    <x v="2"/>
    <x v="0"/>
  </r>
  <r>
    <n v="774"/>
    <x v="309"/>
    <d v="2026-01-06T00:00:00"/>
    <n v="173"/>
    <n v="3"/>
    <n v="1"/>
    <n v="2600"/>
    <n v="0"/>
    <n v="2600"/>
    <x v="0"/>
    <x v="0"/>
    <n v="4"/>
    <s v="Serra Gaúcha"/>
    <x v="3"/>
    <x v="5"/>
  </r>
  <r>
    <n v="775"/>
    <x v="309"/>
    <d v="2026-03-21T00:00:00"/>
    <n v="198"/>
    <n v="3"/>
    <n v="1"/>
    <n v="2600"/>
    <n v="0"/>
    <n v="2600"/>
    <x v="3"/>
    <x v="0"/>
    <n v="4"/>
    <s v="Serra Gaúcha"/>
    <x v="3"/>
    <x v="1"/>
  </r>
  <r>
    <n v="776"/>
    <x v="309"/>
    <d v="2026-01-06T00:00:00"/>
    <n v="95"/>
    <n v="9"/>
    <n v="1"/>
    <n v="8900"/>
    <n v="0.05"/>
    <n v="8455"/>
    <x v="1"/>
    <x v="0"/>
    <n v="4"/>
    <s v="Cancún All Inclusive"/>
    <x v="2"/>
    <x v="3"/>
  </r>
  <r>
    <n v="777"/>
    <x v="309"/>
    <d v="2026-02-01T00:00:00"/>
    <n v="2"/>
    <n v="15"/>
    <n v="4"/>
    <n v="12400"/>
    <n v="0.05"/>
    <n v="11780"/>
    <x v="0"/>
    <x v="0"/>
    <n v="5"/>
    <s v="Jericoacoara"/>
    <x v="2"/>
    <x v="0"/>
  </r>
  <r>
    <n v="778"/>
    <x v="309"/>
    <d v="2026-02-18T00:00:00"/>
    <n v="47"/>
    <n v="6"/>
    <n v="2"/>
    <n v="4200"/>
    <n v="0.05"/>
    <n v="3990"/>
    <x v="2"/>
    <x v="0"/>
    <n v="5"/>
    <s v="Foz do Iguaçu"/>
    <x v="0"/>
    <x v="5"/>
  </r>
  <r>
    <n v="779"/>
    <x v="310"/>
    <d v="2026-03-20T00:00:00"/>
    <n v="187"/>
    <n v="1"/>
    <n v="4"/>
    <n v="12800"/>
    <n v="0.1"/>
    <n v="11520"/>
    <x v="0"/>
    <x v="0"/>
    <n v="4"/>
    <s v="Nordeste Encantado"/>
    <x v="2"/>
    <x v="5"/>
  </r>
  <r>
    <n v="780"/>
    <x v="310"/>
    <d v="2026-04-12T00:00:00"/>
    <n v="25"/>
    <n v="7"/>
    <n v="1"/>
    <n v="4200"/>
    <n v="0.05"/>
    <n v="3990"/>
    <x v="0"/>
    <x v="0"/>
    <n v="4"/>
    <s v="Buenos Aires Clássica"/>
    <x v="4"/>
    <x v="7"/>
  </r>
  <r>
    <n v="781"/>
    <x v="310"/>
    <d v="2026-06-04T00:00:00"/>
    <n v="136"/>
    <n v="9"/>
    <n v="2"/>
    <n v="17800"/>
    <n v="0"/>
    <n v="17800"/>
    <x v="0"/>
    <x v="1"/>
    <m/>
    <s v="Cancún All Inclusive"/>
    <x v="2"/>
    <x v="4"/>
  </r>
  <r>
    <n v="782"/>
    <x v="310"/>
    <d v="2026-02-12T00:00:00"/>
    <n v="93"/>
    <n v="14"/>
    <n v="4"/>
    <n v="11600"/>
    <n v="0"/>
    <n v="11600"/>
    <x v="0"/>
    <x v="0"/>
    <n v="5"/>
    <s v="Lençóis Maranhenses"/>
    <x v="0"/>
    <x v="2"/>
  </r>
  <r>
    <n v="783"/>
    <x v="310"/>
    <d v="2026-03-09T00:00:00"/>
    <n v="155"/>
    <n v="6"/>
    <n v="3"/>
    <n v="6300"/>
    <n v="0"/>
    <n v="6300"/>
    <x v="2"/>
    <x v="0"/>
    <n v="4"/>
    <s v="Foz do Iguaçu"/>
    <x v="0"/>
    <x v="1"/>
  </r>
  <r>
    <n v="784"/>
    <x v="311"/>
    <d v="2026-04-04T00:00:00"/>
    <n v="104"/>
    <n v="12"/>
    <n v="2"/>
    <n v="24800"/>
    <n v="0"/>
    <n v="24800"/>
    <x v="0"/>
    <x v="0"/>
    <n v="3"/>
    <s v="Lisboa e Porto"/>
    <x v="4"/>
    <x v="0"/>
  </r>
  <r>
    <n v="785"/>
    <x v="311"/>
    <d v="2026-05-18T00:00:00"/>
    <n v="101"/>
    <n v="9"/>
    <n v="3"/>
    <n v="26700"/>
    <n v="0.05"/>
    <n v="25365"/>
    <x v="0"/>
    <x v="0"/>
    <n v="3"/>
    <s v="Cancún All Inclusive"/>
    <x v="2"/>
    <x v="1"/>
  </r>
  <r>
    <n v="786"/>
    <x v="312"/>
    <d v="2026-01-07T00:00:00"/>
    <n v="119"/>
    <n v="5"/>
    <n v="2"/>
    <n v="6800"/>
    <n v="0.1"/>
    <n v="6120"/>
    <x v="0"/>
    <x v="0"/>
    <n v="5"/>
    <s v="Bonito Aventura"/>
    <x v="1"/>
    <x v="1"/>
  </r>
  <r>
    <n v="787"/>
    <x v="312"/>
    <d v="2026-02-13T00:00:00"/>
    <n v="35"/>
    <n v="3"/>
    <n v="1"/>
    <n v="2600"/>
    <n v="0"/>
    <n v="2600"/>
    <x v="3"/>
    <x v="0"/>
    <n v="5"/>
    <s v="Serra Gaúcha"/>
    <x v="3"/>
    <x v="2"/>
  </r>
  <r>
    <n v="788"/>
    <x v="313"/>
    <d v="2026-02-28T00:00:00"/>
    <n v="24"/>
    <n v="3"/>
    <n v="2"/>
    <n v="5200"/>
    <n v="0"/>
    <n v="5200"/>
    <x v="1"/>
    <x v="0"/>
    <n v="5"/>
    <s v="Serra Gaúcha"/>
    <x v="3"/>
    <x v="1"/>
  </r>
  <r>
    <n v="789"/>
    <x v="314"/>
    <d v="2026-05-06T00:00:00"/>
    <n v="38"/>
    <n v="1"/>
    <n v="2"/>
    <n v="6400"/>
    <n v="0.05"/>
    <n v="6080"/>
    <x v="0"/>
    <x v="0"/>
    <n v="5"/>
    <s v="Nordeste Encantado"/>
    <x v="2"/>
    <x v="1"/>
  </r>
  <r>
    <n v="790"/>
    <x v="314"/>
    <d v="2026-02-10T00:00:00"/>
    <n v="178"/>
    <n v="3"/>
    <n v="1"/>
    <n v="2600"/>
    <n v="0"/>
    <n v="2600"/>
    <x v="2"/>
    <x v="0"/>
    <n v="5"/>
    <s v="Serra Gaúcha"/>
    <x v="3"/>
    <x v="7"/>
  </r>
  <r>
    <n v="791"/>
    <x v="314"/>
    <d v="2026-01-10T00:00:00"/>
    <n v="190"/>
    <n v="3"/>
    <n v="3"/>
    <n v="7800"/>
    <n v="0.15"/>
    <n v="6630"/>
    <x v="3"/>
    <x v="0"/>
    <n v="4"/>
    <s v="Serra Gaúcha"/>
    <x v="3"/>
    <x v="1"/>
  </r>
  <r>
    <n v="792"/>
    <x v="315"/>
    <d v="2026-03-31T00:00:00"/>
    <n v="94"/>
    <n v="15"/>
    <n v="4"/>
    <n v="12400"/>
    <n v="0.1"/>
    <n v="11160"/>
    <x v="3"/>
    <x v="0"/>
    <n v="5"/>
    <s v="Jericoacoara"/>
    <x v="2"/>
    <x v="0"/>
  </r>
  <r>
    <n v="793"/>
    <x v="316"/>
    <d v="2026-04-03T00:00:00"/>
    <n v="127"/>
    <n v="5"/>
    <n v="2"/>
    <n v="6800"/>
    <n v="0"/>
    <n v="6800"/>
    <x v="0"/>
    <x v="0"/>
    <n v="4"/>
    <s v="Bonito Aventura"/>
    <x v="1"/>
    <x v="1"/>
  </r>
  <r>
    <n v="794"/>
    <x v="316"/>
    <d v="2026-01-11T00:00:00"/>
    <n v="181"/>
    <n v="10"/>
    <n v="1"/>
    <n v="11500"/>
    <n v="0"/>
    <n v="11500"/>
    <x v="3"/>
    <x v="0"/>
    <n v="5"/>
    <s v="Orlando Parques"/>
    <x v="5"/>
    <x v="0"/>
  </r>
  <r>
    <n v="795"/>
    <x v="317"/>
    <d v="2026-03-02T00:00:00"/>
    <n v="106"/>
    <n v="9"/>
    <n v="1"/>
    <n v="8900"/>
    <n v="0"/>
    <n v="8900"/>
    <x v="0"/>
    <x v="0"/>
    <n v="4"/>
    <s v="Cancún All Inclusive"/>
    <x v="2"/>
    <x v="7"/>
  </r>
  <r>
    <n v="796"/>
    <x v="318"/>
    <d v="2026-01-17T00:00:00"/>
    <n v="161"/>
    <n v="2"/>
    <n v="2"/>
    <n v="3600"/>
    <n v="0"/>
    <n v="3600"/>
    <x v="2"/>
    <x v="0"/>
    <n v="3"/>
    <s v="Rio Cidade Maravilhosa"/>
    <x v="4"/>
    <x v="1"/>
  </r>
  <r>
    <n v="797"/>
    <x v="318"/>
    <d v="2026-06-27T00:00:00"/>
    <n v="163"/>
    <n v="6"/>
    <n v="3"/>
    <n v="6300"/>
    <n v="0.05"/>
    <n v="5985"/>
    <x v="0"/>
    <x v="0"/>
    <n v="5"/>
    <s v="Foz do Iguaçu"/>
    <x v="0"/>
    <x v="2"/>
  </r>
  <r>
    <n v="798"/>
    <x v="319"/>
    <d v="2026-04-09T00:00:00"/>
    <n v="136"/>
    <n v="7"/>
    <n v="1"/>
    <n v="4200"/>
    <n v="0"/>
    <n v="4200"/>
    <x v="1"/>
    <x v="0"/>
    <n v="5"/>
    <s v="Buenos Aires Clássica"/>
    <x v="4"/>
    <x v="4"/>
  </r>
  <r>
    <n v="799"/>
    <x v="319"/>
    <d v="2026-05-21T00:00:00"/>
    <n v="33"/>
    <n v="6"/>
    <n v="4"/>
    <n v="8400"/>
    <n v="0.15"/>
    <n v="7140"/>
    <x v="3"/>
    <x v="0"/>
    <n v="5"/>
    <s v="Foz do Iguaçu"/>
    <x v="0"/>
    <x v="3"/>
  </r>
  <r>
    <n v="800"/>
    <x v="319"/>
    <d v="2026-01-17T00:00:00"/>
    <n v="4"/>
    <n v="6"/>
    <n v="1"/>
    <n v="2100"/>
    <n v="0.05"/>
    <n v="1995"/>
    <x v="3"/>
    <x v="0"/>
    <n v="5"/>
    <s v="Foz do Iguaçu"/>
    <x v="0"/>
    <x v="0"/>
  </r>
  <r>
    <n v="801"/>
    <x v="320"/>
    <d v="2026-06-19T00:00:00"/>
    <n v="84"/>
    <n v="14"/>
    <n v="2"/>
    <n v="5800"/>
    <n v="0"/>
    <n v="5800"/>
    <x v="3"/>
    <x v="0"/>
    <n v="5"/>
    <s v="Lençóis Maranhenses"/>
    <x v="0"/>
    <x v="6"/>
  </r>
  <r>
    <n v="802"/>
    <x v="320"/>
    <d v="2026-04-20T00:00:00"/>
    <n v="77"/>
    <n v="2"/>
    <n v="2"/>
    <n v="3600"/>
    <n v="0.05"/>
    <n v="3420"/>
    <x v="0"/>
    <x v="0"/>
    <n v="5"/>
    <s v="Rio Cidade Maravilhosa"/>
    <x v="4"/>
    <x v="0"/>
  </r>
  <r>
    <n v="803"/>
    <x v="320"/>
    <d v="2026-06-12T00:00:00"/>
    <n v="24"/>
    <n v="8"/>
    <n v="1"/>
    <n v="5900"/>
    <n v="0"/>
    <n v="5900"/>
    <x v="1"/>
    <x v="0"/>
    <n v="4"/>
    <s v="Santiago e Neve"/>
    <x v="3"/>
    <x v="1"/>
  </r>
  <r>
    <n v="804"/>
    <x v="321"/>
    <d v="2026-01-29T00:00:00"/>
    <n v="200"/>
    <n v="4"/>
    <n v="2"/>
    <n v="13800"/>
    <n v="0"/>
    <n v="13800"/>
    <x v="0"/>
    <x v="0"/>
    <n v="4"/>
    <s v="Fernando de Noronha"/>
    <x v="2"/>
    <x v="3"/>
  </r>
  <r>
    <n v="805"/>
    <x v="322"/>
    <d v="2026-03-12T00:00:00"/>
    <n v="141"/>
    <n v="6"/>
    <n v="4"/>
    <n v="8400"/>
    <n v="0"/>
    <n v="8400"/>
    <x v="0"/>
    <x v="0"/>
    <n v="4"/>
    <s v="Foz do Iguaçu"/>
    <x v="0"/>
    <x v="2"/>
  </r>
  <r>
    <n v="806"/>
    <x v="322"/>
    <d v="2026-03-12T00:00:00"/>
    <n v="119"/>
    <n v="15"/>
    <n v="1"/>
    <n v="3100"/>
    <n v="0"/>
    <n v="3100"/>
    <x v="2"/>
    <x v="0"/>
    <n v="3"/>
    <s v="Jericoacoara"/>
    <x v="2"/>
    <x v="1"/>
  </r>
  <r>
    <n v="807"/>
    <x v="323"/>
    <d v="2026-01-31T00:00:00"/>
    <n v="104"/>
    <n v="7"/>
    <n v="3"/>
    <n v="12600"/>
    <n v="0.1"/>
    <n v="11340"/>
    <x v="0"/>
    <x v="0"/>
    <n v="5"/>
    <s v="Buenos Aires Clássica"/>
    <x v="4"/>
    <x v="0"/>
  </r>
  <r>
    <n v="808"/>
    <x v="323"/>
    <d v="2026-01-19T00:00:00"/>
    <n v="48"/>
    <n v="9"/>
    <n v="2"/>
    <n v="17800"/>
    <n v="0.05"/>
    <n v="16910"/>
    <x v="0"/>
    <x v="0"/>
    <n v="5"/>
    <s v="Cancún All Inclusive"/>
    <x v="2"/>
    <x v="1"/>
  </r>
  <r>
    <n v="809"/>
    <x v="323"/>
    <d v="2026-04-04T00:00:00"/>
    <n v="57"/>
    <n v="1"/>
    <n v="2"/>
    <n v="6400"/>
    <n v="0"/>
    <n v="6400"/>
    <x v="3"/>
    <x v="1"/>
    <m/>
    <s v="Nordeste Encantado"/>
    <x v="2"/>
    <x v="4"/>
  </r>
  <r>
    <n v="810"/>
    <x v="324"/>
    <d v="2026-01-24T00:00:00"/>
    <n v="65"/>
    <n v="13"/>
    <n v="2"/>
    <n v="14600"/>
    <n v="0.1"/>
    <n v="13140"/>
    <x v="3"/>
    <x v="0"/>
    <n v="5"/>
    <s v="Machu Picchu"/>
    <x v="1"/>
    <x v="1"/>
  </r>
  <r>
    <n v="811"/>
    <x v="324"/>
    <d v="2026-02-16T00:00:00"/>
    <n v="35"/>
    <n v="12"/>
    <n v="4"/>
    <n v="49600"/>
    <n v="0.05"/>
    <n v="47120"/>
    <x v="1"/>
    <x v="0"/>
    <n v="3"/>
    <s v="Lisboa e Porto"/>
    <x v="4"/>
    <x v="2"/>
  </r>
  <r>
    <n v="812"/>
    <x v="325"/>
    <d v="2026-01-29T00:00:00"/>
    <n v="83"/>
    <n v="1"/>
    <n v="2"/>
    <n v="6400"/>
    <n v="0"/>
    <n v="6400"/>
    <x v="0"/>
    <x v="0"/>
    <n v="5"/>
    <s v="Nordeste Encantado"/>
    <x v="2"/>
    <x v="1"/>
  </r>
  <r>
    <n v="813"/>
    <x v="326"/>
    <d v="2026-01-23T00:00:00"/>
    <n v="19"/>
    <n v="1"/>
    <n v="4"/>
    <n v="12800"/>
    <n v="0"/>
    <n v="12800"/>
    <x v="0"/>
    <x v="0"/>
    <n v="4"/>
    <s v="Nordeste Encantado"/>
    <x v="2"/>
    <x v="1"/>
  </r>
  <r>
    <n v="814"/>
    <x v="327"/>
    <d v="2026-03-13T00:00:00"/>
    <n v="174"/>
    <n v="15"/>
    <n v="3"/>
    <n v="9300"/>
    <n v="0.1"/>
    <n v="8370"/>
    <x v="0"/>
    <x v="1"/>
    <m/>
    <s v="Jericoacoara"/>
    <x v="2"/>
    <x v="1"/>
  </r>
  <r>
    <n v="815"/>
    <x v="327"/>
    <d v="2026-01-30T00:00:00"/>
    <n v="25"/>
    <n v="11"/>
    <n v="1"/>
    <n v="15800"/>
    <n v="0.05"/>
    <n v="15010"/>
    <x v="0"/>
    <x v="0"/>
    <n v="4"/>
    <s v="Paris e Londres"/>
    <x v="4"/>
    <x v="7"/>
  </r>
  <r>
    <n v="816"/>
    <x v="328"/>
    <d v="2026-04-22T00:00:00"/>
    <n v="111"/>
    <n v="1"/>
    <n v="1"/>
    <n v="3200"/>
    <n v="0"/>
    <n v="3200"/>
    <x v="2"/>
    <x v="0"/>
    <n v="4"/>
    <s v="Nordeste Encantado"/>
    <x v="2"/>
    <x v="0"/>
  </r>
  <r>
    <n v="817"/>
    <x v="328"/>
    <d v="2026-02-13T00:00:00"/>
    <n v="67"/>
    <n v="13"/>
    <n v="1"/>
    <n v="7300"/>
    <n v="0.1"/>
    <n v="6570"/>
    <x v="0"/>
    <x v="1"/>
    <m/>
    <s v="Machu Picchu"/>
    <x v="1"/>
    <x v="0"/>
  </r>
  <r>
    <n v="818"/>
    <x v="328"/>
    <d v="2026-01-26T00:00:00"/>
    <n v="143"/>
    <n v="8"/>
    <n v="2"/>
    <n v="11800"/>
    <n v="0"/>
    <n v="11800"/>
    <x v="3"/>
    <x v="0"/>
    <n v="4"/>
    <s v="Santiago e Neve"/>
    <x v="3"/>
    <x v="2"/>
  </r>
  <r>
    <n v="819"/>
    <x v="329"/>
    <d v="2026-03-08T00:00:00"/>
    <n v="178"/>
    <n v="1"/>
    <n v="2"/>
    <n v="6400"/>
    <n v="0.1"/>
    <n v="5760"/>
    <x v="2"/>
    <x v="0"/>
    <n v="4"/>
    <s v="Nordeste Encantado"/>
    <x v="2"/>
    <x v="7"/>
  </r>
  <r>
    <n v="820"/>
    <x v="329"/>
    <d v="2026-03-14T00:00:00"/>
    <n v="15"/>
    <n v="3"/>
    <n v="3"/>
    <n v="7800"/>
    <n v="0.1"/>
    <n v="7020"/>
    <x v="0"/>
    <x v="0"/>
    <n v="5"/>
    <s v="Serra Gaúcha"/>
    <x v="3"/>
    <x v="1"/>
  </r>
  <r>
    <n v="821"/>
    <x v="330"/>
    <d v="2026-06-19T00:00:00"/>
    <n v="114"/>
    <n v="2"/>
    <n v="1"/>
    <n v="1800"/>
    <n v="0"/>
    <n v="1800"/>
    <x v="2"/>
    <x v="0"/>
    <n v="4"/>
    <s v="Rio Cidade Maravilhosa"/>
    <x v="4"/>
    <x v="1"/>
  </r>
  <r>
    <n v="822"/>
    <x v="330"/>
    <d v="2026-02-03T00:00:00"/>
    <n v="57"/>
    <n v="6"/>
    <n v="4"/>
    <n v="8400"/>
    <n v="0.05"/>
    <n v="7980"/>
    <x v="1"/>
    <x v="0"/>
    <n v="5"/>
    <s v="Foz do Iguaçu"/>
    <x v="0"/>
    <x v="4"/>
  </r>
  <r>
    <n v="823"/>
    <x v="330"/>
    <d v="2026-02-15T00:00:00"/>
    <n v="183"/>
    <n v="8"/>
    <n v="2"/>
    <n v="11800"/>
    <n v="0.1"/>
    <n v="10620"/>
    <x v="0"/>
    <x v="0"/>
    <n v="3"/>
    <s v="Santiago e Neve"/>
    <x v="3"/>
    <x v="4"/>
  </r>
  <r>
    <n v="824"/>
    <x v="331"/>
    <d v="2026-02-04T00:00:00"/>
    <n v="75"/>
    <n v="2"/>
    <n v="1"/>
    <n v="1800"/>
    <n v="0"/>
    <n v="1800"/>
    <x v="2"/>
    <x v="0"/>
    <n v="3"/>
    <s v="Rio Cidade Maravilhosa"/>
    <x v="4"/>
    <x v="6"/>
  </r>
  <r>
    <n v="825"/>
    <x v="332"/>
    <d v="2026-02-05T00:00:00"/>
    <n v="193"/>
    <n v="2"/>
    <n v="1"/>
    <n v="1800"/>
    <n v="0.1"/>
    <n v="1620"/>
    <x v="2"/>
    <x v="0"/>
    <n v="1"/>
    <s v="Rio Cidade Maravilhosa"/>
    <x v="4"/>
    <x v="1"/>
  </r>
  <r>
    <n v="826"/>
    <x v="332"/>
    <d v="2026-04-17T00:00:00"/>
    <n v="177"/>
    <n v="3"/>
    <n v="2"/>
    <n v="5200"/>
    <n v="0.1"/>
    <n v="4680"/>
    <x v="0"/>
    <x v="0"/>
    <n v="4"/>
    <s v="Serra Gaúcha"/>
    <x v="3"/>
    <x v="0"/>
  </r>
  <r>
    <n v="827"/>
    <x v="333"/>
    <d v="2026-04-10T00:00:00"/>
    <n v="126"/>
    <n v="6"/>
    <n v="2"/>
    <n v="4200"/>
    <n v="0"/>
    <n v="4200"/>
    <x v="0"/>
    <x v="1"/>
    <m/>
    <s v="Foz do Iguaçu"/>
    <x v="0"/>
    <x v="4"/>
  </r>
  <r>
    <n v="828"/>
    <x v="334"/>
    <d v="2026-02-19T00:00:00"/>
    <n v="23"/>
    <n v="6"/>
    <n v="2"/>
    <n v="4200"/>
    <n v="0.1"/>
    <n v="3780"/>
    <x v="3"/>
    <x v="1"/>
    <m/>
    <s v="Foz do Iguaçu"/>
    <x v="0"/>
    <x v="1"/>
  </r>
  <r>
    <n v="829"/>
    <x v="334"/>
    <d v="2026-02-12T00:00:00"/>
    <n v="46"/>
    <n v="7"/>
    <n v="2"/>
    <n v="8400"/>
    <n v="0"/>
    <n v="8400"/>
    <x v="1"/>
    <x v="0"/>
    <n v="5"/>
    <s v="Buenos Aires Clássica"/>
    <x v="4"/>
    <x v="0"/>
  </r>
  <r>
    <n v="830"/>
    <x v="334"/>
    <d v="2026-02-11T00:00:00"/>
    <n v="108"/>
    <n v="1"/>
    <n v="2"/>
    <n v="6400"/>
    <n v="0"/>
    <n v="6400"/>
    <x v="0"/>
    <x v="0"/>
    <n v="5"/>
    <s v="Nordeste Encantado"/>
    <x v="2"/>
    <x v="4"/>
  </r>
  <r>
    <n v="831"/>
    <x v="334"/>
    <d v="2026-07-18T00:00:00"/>
    <n v="17"/>
    <n v="5"/>
    <n v="2"/>
    <n v="6800"/>
    <n v="0.05"/>
    <n v="6460"/>
    <x v="1"/>
    <x v="0"/>
    <n v="4"/>
    <s v="Bonito Aventura"/>
    <x v="1"/>
    <x v="0"/>
  </r>
  <r>
    <n v="832"/>
    <x v="335"/>
    <d v="2026-02-15T00:00:00"/>
    <n v="100"/>
    <n v="6"/>
    <n v="2"/>
    <n v="4200"/>
    <n v="0"/>
    <n v="4200"/>
    <x v="0"/>
    <x v="0"/>
    <n v="4"/>
    <s v="Foz do Iguaçu"/>
    <x v="0"/>
    <x v="1"/>
  </r>
  <r>
    <n v="833"/>
    <x v="336"/>
    <d v="2026-07-07T00:00:00"/>
    <n v="153"/>
    <n v="6"/>
    <n v="1"/>
    <n v="2100"/>
    <n v="0"/>
    <n v="2100"/>
    <x v="0"/>
    <x v="0"/>
    <n v="5"/>
    <s v="Foz do Iguaçu"/>
    <x v="0"/>
    <x v="1"/>
  </r>
  <r>
    <n v="834"/>
    <x v="337"/>
    <d v="2026-02-22T00:00:00"/>
    <n v="115"/>
    <n v="9"/>
    <n v="1"/>
    <n v="8900"/>
    <n v="0"/>
    <n v="8900"/>
    <x v="1"/>
    <x v="0"/>
    <n v="5"/>
    <s v="Cancún All Inclusive"/>
    <x v="2"/>
    <x v="1"/>
  </r>
  <r>
    <n v="835"/>
    <x v="337"/>
    <d v="2026-04-19T00:00:00"/>
    <n v="18"/>
    <n v="1"/>
    <n v="3"/>
    <n v="9600"/>
    <n v="0.15"/>
    <n v="8160"/>
    <x v="1"/>
    <x v="0"/>
    <n v="4"/>
    <s v="Nordeste Encantado"/>
    <x v="2"/>
    <x v="3"/>
  </r>
  <r>
    <n v="836"/>
    <x v="338"/>
    <d v="2026-03-24T00:00:00"/>
    <n v="159"/>
    <n v="9"/>
    <n v="2"/>
    <n v="17800"/>
    <n v="0"/>
    <n v="17800"/>
    <x v="0"/>
    <x v="0"/>
    <n v="4"/>
    <s v="Cancún All Inclusive"/>
    <x v="2"/>
    <x v="1"/>
  </r>
  <r>
    <n v="837"/>
    <x v="339"/>
    <d v="2026-02-08T00:00:00"/>
    <n v="53"/>
    <n v="10"/>
    <n v="1"/>
    <n v="11500"/>
    <n v="0.05"/>
    <n v="10925"/>
    <x v="0"/>
    <x v="0"/>
    <n v="5"/>
    <s v="Orlando Parques"/>
    <x v="5"/>
    <x v="0"/>
  </r>
  <r>
    <n v="838"/>
    <x v="339"/>
    <d v="2026-03-04T00:00:00"/>
    <n v="1"/>
    <n v="7"/>
    <n v="2"/>
    <n v="8400"/>
    <n v="0.05"/>
    <n v="7980"/>
    <x v="3"/>
    <x v="0"/>
    <n v="5"/>
    <s v="Buenos Aires Clássica"/>
    <x v="4"/>
    <x v="2"/>
  </r>
  <r>
    <n v="839"/>
    <x v="339"/>
    <d v="2026-04-20T00:00:00"/>
    <n v="180"/>
    <n v="1"/>
    <n v="2"/>
    <n v="6400"/>
    <n v="0"/>
    <n v="6400"/>
    <x v="0"/>
    <x v="0"/>
    <n v="1"/>
    <s v="Nordeste Encantado"/>
    <x v="2"/>
    <x v="3"/>
  </r>
  <r>
    <n v="840"/>
    <x v="339"/>
    <d v="2026-03-09T00:00:00"/>
    <n v="197"/>
    <n v="14"/>
    <n v="1"/>
    <n v="2900"/>
    <n v="0"/>
    <n v="2900"/>
    <x v="0"/>
    <x v="1"/>
    <m/>
    <s v="Lençóis Maranhenses"/>
    <x v="0"/>
    <x v="1"/>
  </r>
  <r>
    <n v="841"/>
    <x v="339"/>
    <d v="2026-06-15T00:00:00"/>
    <n v="57"/>
    <n v="1"/>
    <n v="2"/>
    <n v="6400"/>
    <n v="0"/>
    <n v="6400"/>
    <x v="1"/>
    <x v="0"/>
    <n v="5"/>
    <s v="Nordeste Encantado"/>
    <x v="2"/>
    <x v="4"/>
  </r>
  <r>
    <n v="842"/>
    <x v="340"/>
    <d v="2026-07-02T00:00:00"/>
    <n v="109"/>
    <n v="5"/>
    <n v="2"/>
    <n v="6800"/>
    <n v="0"/>
    <n v="6800"/>
    <x v="1"/>
    <x v="0"/>
    <n v="4"/>
    <s v="Bonito Aventura"/>
    <x v="1"/>
    <x v="1"/>
  </r>
  <r>
    <n v="843"/>
    <x v="341"/>
    <d v="2026-05-27T00:00:00"/>
    <n v="96"/>
    <n v="10"/>
    <n v="1"/>
    <n v="11500"/>
    <n v="0"/>
    <n v="11500"/>
    <x v="0"/>
    <x v="0"/>
    <n v="5"/>
    <s v="Orlando Parques"/>
    <x v="5"/>
    <x v="4"/>
  </r>
  <r>
    <n v="844"/>
    <x v="341"/>
    <d v="2026-03-30T00:00:00"/>
    <n v="185"/>
    <n v="15"/>
    <n v="1"/>
    <n v="3100"/>
    <n v="0"/>
    <n v="3100"/>
    <x v="0"/>
    <x v="0"/>
    <n v="4"/>
    <s v="Jericoacoara"/>
    <x v="2"/>
    <x v="1"/>
  </r>
  <r>
    <n v="845"/>
    <x v="341"/>
    <d v="2026-02-26T00:00:00"/>
    <n v="136"/>
    <n v="2"/>
    <n v="3"/>
    <n v="5400"/>
    <n v="0.05"/>
    <n v="5130"/>
    <x v="1"/>
    <x v="0"/>
    <n v="4"/>
    <s v="Rio Cidade Maravilhosa"/>
    <x v="4"/>
    <x v="4"/>
  </r>
  <r>
    <n v="846"/>
    <x v="341"/>
    <d v="2026-03-10T00:00:00"/>
    <n v="161"/>
    <n v="14"/>
    <n v="1"/>
    <n v="2900"/>
    <n v="0"/>
    <n v="2900"/>
    <x v="0"/>
    <x v="0"/>
    <n v="5"/>
    <s v="Lençóis Maranhenses"/>
    <x v="0"/>
    <x v="1"/>
  </r>
  <r>
    <n v="847"/>
    <x v="341"/>
    <d v="2026-03-21T00:00:00"/>
    <n v="11"/>
    <n v="11"/>
    <n v="3"/>
    <n v="47400"/>
    <n v="0.15"/>
    <n v="40290"/>
    <x v="3"/>
    <x v="1"/>
    <m/>
    <s v="Paris e Londres"/>
    <x v="4"/>
    <x v="0"/>
  </r>
  <r>
    <n v="848"/>
    <x v="342"/>
    <d v="2026-03-02T00:00:00"/>
    <n v="199"/>
    <n v="11"/>
    <n v="2"/>
    <n v="31600"/>
    <n v="0"/>
    <n v="31600"/>
    <x v="0"/>
    <x v="0"/>
    <n v="4"/>
    <s v="Paris e Londres"/>
    <x v="4"/>
    <x v="1"/>
  </r>
  <r>
    <n v="849"/>
    <x v="343"/>
    <d v="2026-06-21T00:00:00"/>
    <n v="59"/>
    <n v="3"/>
    <n v="1"/>
    <n v="2600"/>
    <n v="0"/>
    <n v="2600"/>
    <x v="1"/>
    <x v="0"/>
    <n v="4"/>
    <s v="Serra Gaúcha"/>
    <x v="3"/>
    <x v="2"/>
  </r>
  <r>
    <n v="850"/>
    <x v="343"/>
    <d v="2026-03-24T00:00:00"/>
    <n v="37"/>
    <n v="2"/>
    <n v="1"/>
    <n v="1800"/>
    <n v="0.05"/>
    <n v="1710"/>
    <x v="0"/>
    <x v="0"/>
    <n v="4"/>
    <s v="Rio Cidade Maravilhosa"/>
    <x v="4"/>
    <x v="2"/>
  </r>
  <r>
    <n v="851"/>
    <x v="343"/>
    <d v="2026-04-12T00:00:00"/>
    <n v="31"/>
    <n v="13"/>
    <n v="5"/>
    <n v="36500"/>
    <n v="0.1"/>
    <n v="32850"/>
    <x v="0"/>
    <x v="0"/>
    <n v="4"/>
    <s v="Machu Picchu"/>
    <x v="1"/>
    <x v="1"/>
  </r>
  <r>
    <n v="852"/>
    <x v="343"/>
    <d v="2026-05-27T00:00:00"/>
    <n v="64"/>
    <n v="3"/>
    <n v="2"/>
    <n v="5200"/>
    <n v="0"/>
    <n v="5200"/>
    <x v="0"/>
    <x v="0"/>
    <n v="4"/>
    <s v="Serra Gaúcha"/>
    <x v="3"/>
    <x v="7"/>
  </r>
  <r>
    <n v="853"/>
    <x v="344"/>
    <d v="2026-03-29T00:00:00"/>
    <n v="50"/>
    <n v="10"/>
    <n v="2"/>
    <n v="23000"/>
    <n v="0.1"/>
    <n v="20700"/>
    <x v="0"/>
    <x v="0"/>
    <n v="5"/>
    <s v="Orlando Parques"/>
    <x v="5"/>
    <x v="1"/>
  </r>
  <r>
    <n v="854"/>
    <x v="345"/>
    <d v="2026-02-23T00:00:00"/>
    <n v="152"/>
    <n v="11"/>
    <n v="2"/>
    <n v="31600"/>
    <n v="0"/>
    <n v="31600"/>
    <x v="0"/>
    <x v="0"/>
    <n v="5"/>
    <s v="Paris e Londres"/>
    <x v="4"/>
    <x v="1"/>
  </r>
  <r>
    <n v="855"/>
    <x v="345"/>
    <d v="2026-02-24T00:00:00"/>
    <n v="148"/>
    <n v="12"/>
    <n v="2"/>
    <n v="24800"/>
    <n v="0"/>
    <n v="24800"/>
    <x v="1"/>
    <x v="0"/>
    <n v="1"/>
    <s v="Lisboa e Porto"/>
    <x v="4"/>
    <x v="1"/>
  </r>
  <r>
    <n v="856"/>
    <x v="346"/>
    <d v="2026-03-23T00:00:00"/>
    <n v="162"/>
    <n v="10"/>
    <n v="2"/>
    <n v="23000"/>
    <n v="0.1"/>
    <n v="20700"/>
    <x v="0"/>
    <x v="0"/>
    <n v="5"/>
    <s v="Orlando Parques"/>
    <x v="5"/>
    <x v="1"/>
  </r>
  <r>
    <n v="857"/>
    <x v="347"/>
    <d v="2026-02-21T00:00:00"/>
    <n v="12"/>
    <n v="1"/>
    <n v="4"/>
    <n v="12800"/>
    <n v="0"/>
    <n v="12800"/>
    <x v="1"/>
    <x v="0"/>
    <n v="5"/>
    <s v="Nordeste Encantado"/>
    <x v="2"/>
    <x v="0"/>
  </r>
  <r>
    <n v="858"/>
    <x v="347"/>
    <d v="2026-03-11T00:00:00"/>
    <n v="117"/>
    <n v="2"/>
    <n v="1"/>
    <n v="1800"/>
    <n v="0"/>
    <n v="1800"/>
    <x v="3"/>
    <x v="0"/>
    <n v="3"/>
    <s v="Rio Cidade Maravilhosa"/>
    <x v="4"/>
    <x v="1"/>
  </r>
  <r>
    <n v="859"/>
    <x v="348"/>
    <d v="2026-03-05T00:00:00"/>
    <n v="11"/>
    <n v="1"/>
    <n v="3"/>
    <n v="9600"/>
    <n v="0.1"/>
    <n v="8640"/>
    <x v="0"/>
    <x v="0"/>
    <n v="5"/>
    <s v="Nordeste Encantado"/>
    <x v="2"/>
    <x v="0"/>
  </r>
  <r>
    <n v="860"/>
    <x v="348"/>
    <d v="2026-03-23T00:00:00"/>
    <n v="90"/>
    <n v="9"/>
    <n v="1"/>
    <n v="8900"/>
    <n v="0"/>
    <n v="8900"/>
    <x v="2"/>
    <x v="0"/>
    <n v="5"/>
    <s v="Cancún All Inclusive"/>
    <x v="2"/>
    <x v="6"/>
  </r>
  <r>
    <n v="861"/>
    <x v="348"/>
    <d v="2026-06-27T00:00:00"/>
    <n v="159"/>
    <n v="15"/>
    <n v="3"/>
    <n v="9300"/>
    <n v="0.15"/>
    <n v="7905"/>
    <x v="1"/>
    <x v="0"/>
    <n v="4"/>
    <s v="Jericoacoara"/>
    <x v="2"/>
    <x v="1"/>
  </r>
  <r>
    <n v="862"/>
    <x v="348"/>
    <d v="2026-03-21T00:00:00"/>
    <n v="22"/>
    <n v="14"/>
    <n v="2"/>
    <n v="5800"/>
    <n v="0.05"/>
    <n v="5510"/>
    <x v="0"/>
    <x v="0"/>
    <n v="5"/>
    <s v="Lençóis Maranhenses"/>
    <x v="0"/>
    <x v="1"/>
  </r>
  <r>
    <n v="863"/>
    <x v="348"/>
    <d v="2026-07-14T00:00:00"/>
    <n v="120"/>
    <n v="14"/>
    <n v="4"/>
    <n v="11600"/>
    <n v="0.1"/>
    <n v="10440"/>
    <x v="3"/>
    <x v="0"/>
    <n v="5"/>
    <s v="Lençóis Maranhenses"/>
    <x v="0"/>
    <x v="3"/>
  </r>
  <r>
    <n v="864"/>
    <x v="349"/>
    <d v="2026-04-05T00:00:00"/>
    <n v="191"/>
    <n v="5"/>
    <n v="4"/>
    <n v="13600"/>
    <n v="0"/>
    <n v="13600"/>
    <x v="0"/>
    <x v="0"/>
    <n v="4"/>
    <s v="Bonito Aventura"/>
    <x v="1"/>
    <x v="1"/>
  </r>
  <r>
    <n v="865"/>
    <x v="350"/>
    <d v="2026-03-09T00:00:00"/>
    <n v="51"/>
    <n v="8"/>
    <n v="2"/>
    <n v="11800"/>
    <n v="0"/>
    <n v="11800"/>
    <x v="2"/>
    <x v="0"/>
    <n v="4"/>
    <s v="Santiago e Neve"/>
    <x v="3"/>
    <x v="0"/>
  </r>
  <r>
    <n v="866"/>
    <x v="350"/>
    <d v="2026-03-05T00:00:00"/>
    <n v="117"/>
    <n v="3"/>
    <n v="2"/>
    <n v="5200"/>
    <n v="0"/>
    <n v="5200"/>
    <x v="3"/>
    <x v="0"/>
    <n v="5"/>
    <s v="Serra Gaúcha"/>
    <x v="3"/>
    <x v="1"/>
  </r>
  <r>
    <n v="867"/>
    <x v="351"/>
    <d v="2026-02-27T00:00:00"/>
    <n v="196"/>
    <n v="2"/>
    <n v="2"/>
    <n v="3600"/>
    <n v="0.1"/>
    <n v="3240"/>
    <x v="3"/>
    <x v="0"/>
    <n v="5"/>
    <s v="Rio Cidade Maravilhosa"/>
    <x v="4"/>
    <x v="2"/>
  </r>
  <r>
    <n v="868"/>
    <x v="351"/>
    <d v="2026-03-21T00:00:00"/>
    <n v="150"/>
    <n v="7"/>
    <n v="1"/>
    <n v="4200"/>
    <n v="0.05"/>
    <n v="3990"/>
    <x v="2"/>
    <x v="0"/>
    <n v="5"/>
    <s v="Buenos Aires Clássica"/>
    <x v="4"/>
    <x v="1"/>
  </r>
  <r>
    <n v="869"/>
    <x v="352"/>
    <d v="2026-03-01T00:00:00"/>
    <n v="71"/>
    <n v="9"/>
    <n v="1"/>
    <n v="8900"/>
    <n v="0.05"/>
    <n v="8455"/>
    <x v="0"/>
    <x v="0"/>
    <n v="5"/>
    <s v="Cancún All Inclusive"/>
    <x v="2"/>
    <x v="0"/>
  </r>
  <r>
    <n v="870"/>
    <x v="353"/>
    <d v="2026-07-03T00:00:00"/>
    <n v="113"/>
    <n v="9"/>
    <n v="3"/>
    <n v="26700"/>
    <n v="0"/>
    <n v="26700"/>
    <x v="1"/>
    <x v="1"/>
    <m/>
    <s v="Cancún All Inclusive"/>
    <x v="2"/>
    <x v="1"/>
  </r>
  <r>
    <n v="871"/>
    <x v="353"/>
    <d v="2026-06-04T00:00:00"/>
    <n v="93"/>
    <n v="11"/>
    <n v="1"/>
    <n v="15800"/>
    <n v="0"/>
    <n v="15800"/>
    <x v="3"/>
    <x v="0"/>
    <n v="4"/>
    <s v="Paris e Londres"/>
    <x v="4"/>
    <x v="2"/>
  </r>
  <r>
    <n v="872"/>
    <x v="353"/>
    <d v="2026-06-22T00:00:00"/>
    <n v="13"/>
    <n v="2"/>
    <n v="4"/>
    <n v="7200"/>
    <n v="0"/>
    <n v="7200"/>
    <x v="1"/>
    <x v="0"/>
    <n v="5"/>
    <s v="Rio Cidade Maravilhosa"/>
    <x v="4"/>
    <x v="6"/>
  </r>
  <r>
    <n v="873"/>
    <x v="354"/>
    <d v="2026-03-03T00:00:00"/>
    <n v="147"/>
    <n v="2"/>
    <n v="2"/>
    <n v="3600"/>
    <n v="0"/>
    <n v="3600"/>
    <x v="0"/>
    <x v="0"/>
    <n v="5"/>
    <s v="Rio Cidade Maravilhosa"/>
    <x v="4"/>
    <x v="1"/>
  </r>
  <r>
    <n v="874"/>
    <x v="354"/>
    <d v="2026-04-02T00:00:00"/>
    <n v="83"/>
    <n v="15"/>
    <n v="2"/>
    <n v="6200"/>
    <n v="0.1"/>
    <n v="5580"/>
    <x v="1"/>
    <x v="0"/>
    <n v="4"/>
    <s v="Jericoacoara"/>
    <x v="2"/>
    <x v="1"/>
  </r>
  <r>
    <n v="875"/>
    <x v="355"/>
    <d v="2026-06-23T00:00:00"/>
    <n v="135"/>
    <n v="7"/>
    <n v="1"/>
    <n v="4200"/>
    <n v="0"/>
    <n v="4200"/>
    <x v="1"/>
    <x v="0"/>
    <n v="5"/>
    <s v="Buenos Aires Clássica"/>
    <x v="4"/>
    <x v="0"/>
  </r>
  <r>
    <n v="876"/>
    <x v="356"/>
    <d v="2026-06-28T00:00:00"/>
    <n v="133"/>
    <n v="1"/>
    <n v="1"/>
    <n v="3200"/>
    <n v="0.05"/>
    <n v="3040"/>
    <x v="3"/>
    <x v="0"/>
    <n v="4"/>
    <s v="Nordeste Encantado"/>
    <x v="2"/>
    <x v="1"/>
  </r>
  <r>
    <n v="877"/>
    <x v="356"/>
    <d v="2026-07-10T00:00:00"/>
    <n v="162"/>
    <n v="2"/>
    <n v="2"/>
    <n v="3600"/>
    <n v="0"/>
    <n v="3600"/>
    <x v="0"/>
    <x v="0"/>
    <n v="4"/>
    <s v="Rio Cidade Maravilhosa"/>
    <x v="4"/>
    <x v="1"/>
  </r>
  <r>
    <n v="878"/>
    <x v="357"/>
    <d v="2026-03-18T00:00:00"/>
    <n v="162"/>
    <n v="2"/>
    <n v="4"/>
    <n v="7200"/>
    <n v="0.05"/>
    <n v="6840"/>
    <x v="0"/>
    <x v="0"/>
    <n v="4"/>
    <s v="Rio Cidade Maravilhosa"/>
    <x v="4"/>
    <x v="1"/>
  </r>
  <r>
    <n v="879"/>
    <x v="358"/>
    <d v="2026-03-11T00:00:00"/>
    <n v="110"/>
    <n v="2"/>
    <n v="3"/>
    <n v="5400"/>
    <n v="0"/>
    <n v="5400"/>
    <x v="0"/>
    <x v="0"/>
    <n v="5"/>
    <s v="Rio Cidade Maravilhosa"/>
    <x v="4"/>
    <x v="1"/>
  </r>
  <r>
    <n v="880"/>
    <x v="359"/>
    <d v="2026-03-15T00:00:00"/>
    <n v="186"/>
    <n v="8"/>
    <n v="1"/>
    <n v="5900"/>
    <n v="0"/>
    <n v="5900"/>
    <x v="2"/>
    <x v="0"/>
    <n v="4"/>
    <s v="Santiago e Neve"/>
    <x v="3"/>
    <x v="0"/>
  </r>
  <r>
    <n v="881"/>
    <x v="360"/>
    <d v="2026-04-01T00:00:00"/>
    <n v="36"/>
    <n v="2"/>
    <n v="4"/>
    <n v="7200"/>
    <n v="0"/>
    <n v="7200"/>
    <x v="0"/>
    <x v="0"/>
    <n v="4"/>
    <s v="Rio Cidade Maravilhosa"/>
    <x v="4"/>
    <x v="1"/>
  </r>
  <r>
    <n v="882"/>
    <x v="360"/>
    <d v="2026-03-13T00:00:00"/>
    <n v="151"/>
    <n v="6"/>
    <n v="2"/>
    <n v="4200"/>
    <n v="0"/>
    <n v="4200"/>
    <x v="1"/>
    <x v="0"/>
    <n v="4"/>
    <s v="Foz do Iguaçu"/>
    <x v="0"/>
    <x v="1"/>
  </r>
  <r>
    <n v="883"/>
    <x v="361"/>
    <d v="2026-03-14T00:00:00"/>
    <n v="101"/>
    <n v="9"/>
    <n v="2"/>
    <n v="17800"/>
    <n v="0"/>
    <n v="17800"/>
    <x v="1"/>
    <x v="0"/>
    <n v="4"/>
    <s v="Cancún All Inclusive"/>
    <x v="2"/>
    <x v="1"/>
  </r>
  <r>
    <n v="884"/>
    <x v="361"/>
    <d v="2026-08-23T00:00:00"/>
    <n v="36"/>
    <n v="13"/>
    <n v="1"/>
    <n v="7300"/>
    <n v="0"/>
    <n v="7300"/>
    <x v="0"/>
    <x v="0"/>
    <n v="5"/>
    <s v="Machu Picchu"/>
    <x v="1"/>
    <x v="1"/>
  </r>
  <r>
    <n v="885"/>
    <x v="361"/>
    <d v="2026-04-23T00:00:00"/>
    <n v="167"/>
    <n v="14"/>
    <n v="5"/>
    <n v="14500"/>
    <n v="0"/>
    <n v="14500"/>
    <x v="0"/>
    <x v="0"/>
    <n v="5"/>
    <s v="Lençóis Maranhenses"/>
    <x v="0"/>
    <x v="1"/>
  </r>
  <r>
    <n v="886"/>
    <x v="361"/>
    <d v="2026-04-13T00:00:00"/>
    <n v="124"/>
    <n v="9"/>
    <n v="2"/>
    <n v="17800"/>
    <n v="0"/>
    <n v="17800"/>
    <x v="1"/>
    <x v="0"/>
    <n v="1"/>
    <s v="Cancún All Inclusive"/>
    <x v="2"/>
    <x v="5"/>
  </r>
  <r>
    <n v="887"/>
    <x v="362"/>
    <d v="2026-04-06T00:00:00"/>
    <n v="174"/>
    <n v="15"/>
    <n v="2"/>
    <n v="6200"/>
    <n v="0.05"/>
    <n v="5890"/>
    <x v="0"/>
    <x v="0"/>
    <n v="5"/>
    <s v="Jericoacoara"/>
    <x v="2"/>
    <x v="1"/>
  </r>
  <r>
    <n v="888"/>
    <x v="362"/>
    <d v="2026-08-12T00:00:00"/>
    <n v="96"/>
    <n v="11"/>
    <n v="4"/>
    <n v="63200"/>
    <n v="0"/>
    <n v="63200"/>
    <x v="3"/>
    <x v="0"/>
    <n v="5"/>
    <s v="Paris e Londres"/>
    <x v="4"/>
    <x v="4"/>
  </r>
  <r>
    <n v="889"/>
    <x v="362"/>
    <d v="2026-05-14T00:00:00"/>
    <n v="160"/>
    <n v="15"/>
    <n v="2"/>
    <n v="6200"/>
    <n v="0.1"/>
    <n v="5580"/>
    <x v="0"/>
    <x v="0"/>
    <n v="5"/>
    <s v="Jericoacoara"/>
    <x v="2"/>
    <x v="0"/>
  </r>
  <r>
    <n v="890"/>
    <x v="363"/>
    <d v="2026-05-28T00:00:00"/>
    <n v="117"/>
    <n v="10"/>
    <n v="3"/>
    <n v="34500"/>
    <n v="0.15"/>
    <n v="29325"/>
    <x v="1"/>
    <x v="1"/>
    <m/>
    <s v="Orlando Parques"/>
    <x v="5"/>
    <x v="1"/>
  </r>
  <r>
    <n v="891"/>
    <x v="364"/>
    <d v="2026-07-19T00:00:00"/>
    <n v="121"/>
    <n v="8"/>
    <n v="2"/>
    <n v="11800"/>
    <n v="0"/>
    <n v="11800"/>
    <x v="1"/>
    <x v="0"/>
    <n v="4"/>
    <s v="Santiago e Neve"/>
    <x v="3"/>
    <x v="6"/>
  </r>
  <r>
    <n v="892"/>
    <x v="364"/>
    <d v="2026-04-08T00:00:00"/>
    <n v="68"/>
    <n v="14"/>
    <n v="1"/>
    <n v="2900"/>
    <n v="0.1"/>
    <n v="2610"/>
    <x v="2"/>
    <x v="0"/>
    <n v="3"/>
    <s v="Lençóis Maranhenses"/>
    <x v="0"/>
    <x v="5"/>
  </r>
  <r>
    <n v="893"/>
    <x v="364"/>
    <d v="2026-05-13T00:00:00"/>
    <n v="129"/>
    <n v="14"/>
    <n v="4"/>
    <n v="11600"/>
    <n v="0.1"/>
    <n v="10440"/>
    <x v="0"/>
    <x v="0"/>
    <n v="4"/>
    <s v="Lençóis Maranhenses"/>
    <x v="0"/>
    <x v="4"/>
  </r>
  <r>
    <n v="894"/>
    <x v="365"/>
    <d v="2026-03-18T00:00:00"/>
    <n v="171"/>
    <n v="13"/>
    <n v="2"/>
    <n v="14600"/>
    <n v="0.05"/>
    <n v="13870"/>
    <x v="0"/>
    <x v="0"/>
    <n v="4"/>
    <s v="Machu Picchu"/>
    <x v="1"/>
    <x v="1"/>
  </r>
  <r>
    <n v="895"/>
    <x v="365"/>
    <d v="2026-03-21T00:00:00"/>
    <n v="113"/>
    <n v="6"/>
    <n v="1"/>
    <n v="2100"/>
    <n v="0.15"/>
    <n v="1785"/>
    <x v="0"/>
    <x v="0"/>
    <n v="4"/>
    <s v="Foz do Iguaçu"/>
    <x v="0"/>
    <x v="1"/>
  </r>
  <r>
    <n v="896"/>
    <x v="365"/>
    <d v="2026-06-23T00:00:00"/>
    <n v="62"/>
    <n v="1"/>
    <n v="1"/>
    <n v="3200"/>
    <n v="0"/>
    <n v="3200"/>
    <x v="0"/>
    <x v="1"/>
    <m/>
    <s v="Nordeste Encantado"/>
    <x v="2"/>
    <x v="1"/>
  </r>
  <r>
    <n v="897"/>
    <x v="365"/>
    <d v="2026-06-30T00:00:00"/>
    <n v="32"/>
    <n v="2"/>
    <n v="4"/>
    <n v="7200"/>
    <n v="0"/>
    <n v="7200"/>
    <x v="3"/>
    <x v="0"/>
    <n v="5"/>
    <s v="Rio Cidade Maravilhosa"/>
    <x v="4"/>
    <x v="3"/>
  </r>
  <r>
    <n v="898"/>
    <x v="366"/>
    <d v="2026-04-11T00:00:00"/>
    <n v="102"/>
    <n v="1"/>
    <n v="1"/>
    <n v="3200"/>
    <n v="0"/>
    <n v="3200"/>
    <x v="0"/>
    <x v="1"/>
    <m/>
    <s v="Nordeste Encantado"/>
    <x v="2"/>
    <x v="3"/>
  </r>
  <r>
    <n v="899"/>
    <x v="367"/>
    <d v="2026-05-22T00:00:00"/>
    <n v="119"/>
    <n v="6"/>
    <n v="2"/>
    <n v="4200"/>
    <n v="0"/>
    <n v="4200"/>
    <x v="2"/>
    <x v="0"/>
    <n v="5"/>
    <s v="Foz do Iguaçu"/>
    <x v="0"/>
    <x v="1"/>
  </r>
  <r>
    <n v="900"/>
    <x v="368"/>
    <d v="2026-04-03T00:00:00"/>
    <n v="15"/>
    <n v="2"/>
    <n v="2"/>
    <n v="3600"/>
    <n v="0.05"/>
    <n v="3420"/>
    <x v="0"/>
    <x v="0"/>
    <n v="4"/>
    <s v="Rio Cidade Maravilhosa"/>
    <x v="4"/>
    <x v="1"/>
  </r>
  <r>
    <n v="901"/>
    <x v="368"/>
    <d v="2026-03-17T00:00:00"/>
    <n v="133"/>
    <n v="5"/>
    <n v="1"/>
    <n v="3400"/>
    <n v="0"/>
    <n v="3400"/>
    <x v="3"/>
    <x v="0"/>
    <n v="5"/>
    <s v="Bonito Aventura"/>
    <x v="1"/>
    <x v="1"/>
  </r>
  <r>
    <n v="902"/>
    <x v="369"/>
    <d v="2026-05-04T00:00:00"/>
    <n v="19"/>
    <n v="2"/>
    <n v="4"/>
    <n v="7200"/>
    <n v="0"/>
    <n v="7200"/>
    <x v="0"/>
    <x v="1"/>
    <m/>
    <s v="Rio Cidade Maravilhosa"/>
    <x v="4"/>
    <x v="1"/>
  </r>
  <r>
    <n v="903"/>
    <x v="369"/>
    <d v="2026-04-18T00:00:00"/>
    <n v="140"/>
    <n v="8"/>
    <n v="2"/>
    <n v="11800"/>
    <n v="0"/>
    <n v="11800"/>
    <x v="0"/>
    <x v="0"/>
    <n v="2"/>
    <s v="Santiago e Neve"/>
    <x v="3"/>
    <x v="0"/>
  </r>
  <r>
    <n v="904"/>
    <x v="370"/>
    <d v="2026-03-25T00:00:00"/>
    <n v="2"/>
    <n v="11"/>
    <n v="5"/>
    <n v="79000"/>
    <n v="0"/>
    <n v="79000"/>
    <x v="1"/>
    <x v="0"/>
    <n v="4"/>
    <s v="Paris e Londres"/>
    <x v="4"/>
    <x v="0"/>
  </r>
  <r>
    <n v="905"/>
    <x v="371"/>
    <d v="2026-04-13T00:00:00"/>
    <n v="121"/>
    <n v="7"/>
    <n v="2"/>
    <n v="8400"/>
    <n v="0"/>
    <n v="8400"/>
    <x v="0"/>
    <x v="0"/>
    <n v="5"/>
    <s v="Buenos Aires Clássica"/>
    <x v="4"/>
    <x v="6"/>
  </r>
  <r>
    <n v="906"/>
    <x v="371"/>
    <d v="2026-03-18T00:00:00"/>
    <n v="135"/>
    <n v="7"/>
    <n v="1"/>
    <n v="4200"/>
    <n v="0"/>
    <n v="4200"/>
    <x v="0"/>
    <x v="0"/>
    <n v="5"/>
    <s v="Buenos Aires Clássica"/>
    <x v="4"/>
    <x v="0"/>
  </r>
  <r>
    <n v="907"/>
    <x v="372"/>
    <d v="2026-05-11T00:00:00"/>
    <n v="197"/>
    <n v="7"/>
    <n v="1"/>
    <n v="4200"/>
    <n v="0.1"/>
    <n v="3780"/>
    <x v="0"/>
    <x v="0"/>
    <n v="5"/>
    <s v="Buenos Aires Clássica"/>
    <x v="4"/>
    <x v="1"/>
  </r>
  <r>
    <n v="908"/>
    <x v="372"/>
    <d v="2026-09-06T00:00:00"/>
    <n v="110"/>
    <n v="1"/>
    <n v="2"/>
    <n v="6400"/>
    <n v="0.05"/>
    <n v="6080"/>
    <x v="0"/>
    <x v="0"/>
    <n v="5"/>
    <s v="Nordeste Encantado"/>
    <x v="2"/>
    <x v="1"/>
  </r>
  <r>
    <n v="909"/>
    <x v="372"/>
    <d v="2026-07-10T00:00:00"/>
    <n v="97"/>
    <n v="9"/>
    <n v="2"/>
    <n v="17800"/>
    <n v="0.1"/>
    <n v="16020"/>
    <x v="3"/>
    <x v="0"/>
    <n v="5"/>
    <s v="Cancún All Inclusive"/>
    <x v="2"/>
    <x v="1"/>
  </r>
  <r>
    <n v="910"/>
    <x v="373"/>
    <d v="2026-04-24T00:00:00"/>
    <n v="83"/>
    <n v="1"/>
    <n v="2"/>
    <n v="6400"/>
    <n v="0"/>
    <n v="6400"/>
    <x v="0"/>
    <x v="1"/>
    <m/>
    <s v="Nordeste Encantado"/>
    <x v="2"/>
    <x v="1"/>
  </r>
  <r>
    <n v="911"/>
    <x v="373"/>
    <d v="2026-06-06T00:00:00"/>
    <n v="70"/>
    <n v="7"/>
    <n v="2"/>
    <n v="8400"/>
    <n v="0"/>
    <n v="8400"/>
    <x v="0"/>
    <x v="0"/>
    <n v="3"/>
    <s v="Buenos Aires Clássica"/>
    <x v="4"/>
    <x v="4"/>
  </r>
  <r>
    <n v="912"/>
    <x v="374"/>
    <d v="2026-05-18T00:00:00"/>
    <n v="34"/>
    <n v="12"/>
    <n v="2"/>
    <n v="24800"/>
    <n v="0"/>
    <n v="24800"/>
    <x v="3"/>
    <x v="0"/>
    <n v="5"/>
    <s v="Lisboa e Porto"/>
    <x v="4"/>
    <x v="1"/>
  </r>
  <r>
    <n v="913"/>
    <x v="375"/>
    <d v="2026-03-29T00:00:00"/>
    <n v="4"/>
    <n v="15"/>
    <n v="4"/>
    <n v="12400"/>
    <n v="0"/>
    <n v="12400"/>
    <x v="3"/>
    <x v="0"/>
    <n v="5"/>
    <s v="Jericoacoara"/>
    <x v="2"/>
    <x v="0"/>
  </r>
  <r>
    <n v="914"/>
    <x v="375"/>
    <d v="2026-09-09T00:00:00"/>
    <n v="69"/>
    <n v="12"/>
    <n v="1"/>
    <n v="12400"/>
    <n v="0"/>
    <n v="12400"/>
    <x v="3"/>
    <x v="0"/>
    <n v="5"/>
    <s v="Lisboa e Porto"/>
    <x v="4"/>
    <x v="0"/>
  </r>
  <r>
    <n v="915"/>
    <x v="376"/>
    <d v="2026-07-05T00:00:00"/>
    <n v="181"/>
    <n v="1"/>
    <n v="4"/>
    <n v="12800"/>
    <n v="0"/>
    <n v="12800"/>
    <x v="0"/>
    <x v="1"/>
    <m/>
    <s v="Nordeste Encantado"/>
    <x v="2"/>
    <x v="0"/>
  </r>
  <r>
    <n v="916"/>
    <x v="376"/>
    <d v="2026-06-11T00:00:00"/>
    <n v="34"/>
    <n v="1"/>
    <n v="2"/>
    <n v="6400"/>
    <n v="0.05"/>
    <n v="6080"/>
    <x v="3"/>
    <x v="0"/>
    <n v="5"/>
    <s v="Nordeste Encantado"/>
    <x v="2"/>
    <x v="1"/>
  </r>
  <r>
    <n v="917"/>
    <x v="376"/>
    <d v="2026-04-21T00:00:00"/>
    <n v="135"/>
    <n v="2"/>
    <n v="2"/>
    <n v="3600"/>
    <n v="0"/>
    <n v="3600"/>
    <x v="1"/>
    <x v="0"/>
    <n v="4"/>
    <s v="Rio Cidade Maravilhosa"/>
    <x v="4"/>
    <x v="0"/>
  </r>
  <r>
    <n v="918"/>
    <x v="376"/>
    <d v="2026-05-17T00:00:00"/>
    <n v="91"/>
    <n v="8"/>
    <n v="1"/>
    <n v="5900"/>
    <n v="0"/>
    <n v="5900"/>
    <x v="2"/>
    <x v="0"/>
    <n v="4"/>
    <s v="Santiago e Neve"/>
    <x v="3"/>
    <x v="1"/>
  </r>
  <r>
    <n v="919"/>
    <x v="376"/>
    <d v="2026-04-08T00:00:00"/>
    <n v="124"/>
    <n v="1"/>
    <n v="5"/>
    <n v="16000"/>
    <n v="0.1"/>
    <n v="14400"/>
    <x v="1"/>
    <x v="0"/>
    <n v="2"/>
    <s v="Nordeste Encantado"/>
    <x v="2"/>
    <x v="5"/>
  </r>
  <r>
    <n v="920"/>
    <x v="376"/>
    <d v="2026-05-08T00:00:00"/>
    <n v="160"/>
    <n v="4"/>
    <n v="3"/>
    <n v="20700"/>
    <n v="0"/>
    <n v="20700"/>
    <x v="0"/>
    <x v="0"/>
    <n v="3"/>
    <s v="Fernando de Noronha"/>
    <x v="2"/>
    <x v="0"/>
  </r>
  <r>
    <n v="921"/>
    <x v="377"/>
    <d v="2026-04-03T00:00:00"/>
    <n v="140"/>
    <n v="6"/>
    <n v="2"/>
    <n v="4200"/>
    <n v="0.15"/>
    <n v="3570"/>
    <x v="3"/>
    <x v="0"/>
    <n v="4"/>
    <s v="Foz do Iguaçu"/>
    <x v="0"/>
    <x v="0"/>
  </r>
  <r>
    <n v="922"/>
    <x v="378"/>
    <d v="2026-04-11T00:00:00"/>
    <n v="116"/>
    <n v="5"/>
    <n v="1"/>
    <n v="3400"/>
    <n v="0"/>
    <n v="3400"/>
    <x v="0"/>
    <x v="0"/>
    <n v="5"/>
    <s v="Bonito Aventura"/>
    <x v="1"/>
    <x v="0"/>
  </r>
  <r>
    <n v="923"/>
    <x v="378"/>
    <d v="2026-06-19T00:00:00"/>
    <n v="118"/>
    <n v="10"/>
    <n v="1"/>
    <n v="11500"/>
    <n v="0.05"/>
    <n v="10925"/>
    <x v="3"/>
    <x v="0"/>
    <n v="4"/>
    <s v="Orlando Parques"/>
    <x v="5"/>
    <x v="1"/>
  </r>
  <r>
    <n v="924"/>
    <x v="378"/>
    <d v="2026-05-09T00:00:00"/>
    <n v="184"/>
    <n v="2"/>
    <n v="2"/>
    <n v="3600"/>
    <n v="0"/>
    <n v="3600"/>
    <x v="1"/>
    <x v="0"/>
    <n v="4"/>
    <s v="Rio Cidade Maravilhosa"/>
    <x v="4"/>
    <x v="1"/>
  </r>
  <r>
    <n v="925"/>
    <x v="379"/>
    <d v="2026-04-03T00:00:00"/>
    <n v="134"/>
    <n v="9"/>
    <n v="1"/>
    <n v="8900"/>
    <n v="0"/>
    <n v="8900"/>
    <x v="3"/>
    <x v="1"/>
    <m/>
    <s v="Cancún All Inclusive"/>
    <x v="2"/>
    <x v="4"/>
  </r>
  <r>
    <n v="926"/>
    <x v="379"/>
    <d v="2026-05-07T00:00:00"/>
    <n v="126"/>
    <n v="1"/>
    <n v="1"/>
    <n v="3200"/>
    <n v="0"/>
    <n v="3200"/>
    <x v="2"/>
    <x v="1"/>
    <m/>
    <s v="Nordeste Encantado"/>
    <x v="2"/>
    <x v="4"/>
  </r>
  <r>
    <n v="927"/>
    <x v="379"/>
    <d v="2026-04-23T00:00:00"/>
    <n v="87"/>
    <n v="7"/>
    <n v="2"/>
    <n v="8400"/>
    <n v="0"/>
    <n v="8400"/>
    <x v="1"/>
    <x v="0"/>
    <n v="2"/>
    <s v="Buenos Aires Clássica"/>
    <x v="4"/>
    <x v="1"/>
  </r>
  <r>
    <n v="928"/>
    <x v="380"/>
    <d v="2026-08-23T00:00:00"/>
    <n v="38"/>
    <n v="7"/>
    <n v="1"/>
    <n v="4200"/>
    <n v="0.1"/>
    <n v="3780"/>
    <x v="0"/>
    <x v="0"/>
    <n v="3"/>
    <s v="Buenos Aires Clássica"/>
    <x v="4"/>
    <x v="1"/>
  </r>
  <r>
    <n v="929"/>
    <x v="381"/>
    <d v="2026-07-06T00:00:00"/>
    <n v="28"/>
    <n v="1"/>
    <n v="4"/>
    <n v="12800"/>
    <n v="0"/>
    <n v="12800"/>
    <x v="0"/>
    <x v="0"/>
    <n v="4"/>
    <s v="Nordeste Encantado"/>
    <x v="2"/>
    <x v="1"/>
  </r>
  <r>
    <n v="930"/>
    <x v="382"/>
    <d v="2026-05-23T00:00:00"/>
    <n v="156"/>
    <n v="2"/>
    <n v="1"/>
    <n v="1800"/>
    <n v="0"/>
    <n v="1800"/>
    <x v="0"/>
    <x v="0"/>
    <n v="4"/>
    <s v="Rio Cidade Maravilhosa"/>
    <x v="4"/>
    <x v="1"/>
  </r>
  <r>
    <n v="931"/>
    <x v="383"/>
    <d v="2026-04-13T00:00:00"/>
    <n v="177"/>
    <n v="1"/>
    <n v="2"/>
    <n v="6400"/>
    <n v="0"/>
    <n v="6400"/>
    <x v="1"/>
    <x v="0"/>
    <n v="4"/>
    <s v="Nordeste Encantado"/>
    <x v="2"/>
    <x v="0"/>
  </r>
  <r>
    <n v="932"/>
    <x v="383"/>
    <d v="2026-07-22T00:00:00"/>
    <n v="147"/>
    <n v="4"/>
    <n v="4"/>
    <n v="27600"/>
    <n v="0.05"/>
    <n v="26220"/>
    <x v="0"/>
    <x v="0"/>
    <n v="5"/>
    <s v="Fernando de Noronha"/>
    <x v="2"/>
    <x v="1"/>
  </r>
  <r>
    <n v="933"/>
    <x v="383"/>
    <d v="2026-04-01T00:00:00"/>
    <n v="180"/>
    <n v="1"/>
    <n v="1"/>
    <n v="3200"/>
    <n v="0"/>
    <n v="3200"/>
    <x v="3"/>
    <x v="0"/>
    <n v="4"/>
    <s v="Nordeste Encantado"/>
    <x v="2"/>
    <x v="3"/>
  </r>
  <r>
    <n v="934"/>
    <x v="383"/>
    <d v="2026-05-02T00:00:00"/>
    <n v="141"/>
    <n v="7"/>
    <n v="2"/>
    <n v="8400"/>
    <n v="0.1"/>
    <n v="7560"/>
    <x v="0"/>
    <x v="0"/>
    <n v="4"/>
    <s v="Buenos Aires Clássica"/>
    <x v="4"/>
    <x v="2"/>
  </r>
  <r>
    <n v="935"/>
    <x v="383"/>
    <d v="2026-07-02T00:00:00"/>
    <n v="174"/>
    <n v="7"/>
    <n v="1"/>
    <n v="4200"/>
    <n v="0"/>
    <n v="4200"/>
    <x v="0"/>
    <x v="0"/>
    <n v="4"/>
    <s v="Buenos Aires Clássica"/>
    <x v="4"/>
    <x v="1"/>
  </r>
  <r>
    <n v="936"/>
    <x v="383"/>
    <d v="2026-07-13T00:00:00"/>
    <n v="160"/>
    <n v="6"/>
    <n v="3"/>
    <n v="6300"/>
    <n v="0.1"/>
    <n v="5670"/>
    <x v="3"/>
    <x v="0"/>
    <n v="4"/>
    <s v="Foz do Iguaçu"/>
    <x v="0"/>
    <x v="0"/>
  </r>
  <r>
    <n v="937"/>
    <x v="384"/>
    <d v="2026-06-25T00:00:00"/>
    <n v="138"/>
    <n v="5"/>
    <n v="2"/>
    <n v="6800"/>
    <n v="0.1"/>
    <n v="6120"/>
    <x v="0"/>
    <x v="0"/>
    <n v="4"/>
    <s v="Bonito Aventura"/>
    <x v="1"/>
    <x v="1"/>
  </r>
  <r>
    <n v="938"/>
    <x v="384"/>
    <d v="2026-04-01T00:00:00"/>
    <n v="27"/>
    <n v="3"/>
    <n v="2"/>
    <n v="5200"/>
    <n v="0"/>
    <n v="5200"/>
    <x v="0"/>
    <x v="0"/>
    <n v="5"/>
    <s v="Serra Gaúcha"/>
    <x v="3"/>
    <x v="3"/>
  </r>
  <r>
    <n v="939"/>
    <x v="384"/>
    <d v="2026-04-06T00:00:00"/>
    <n v="40"/>
    <n v="2"/>
    <n v="4"/>
    <n v="7200"/>
    <n v="0"/>
    <n v="7200"/>
    <x v="3"/>
    <x v="0"/>
    <n v="5"/>
    <s v="Rio Cidade Maravilhosa"/>
    <x v="4"/>
    <x v="0"/>
  </r>
  <r>
    <n v="940"/>
    <x v="385"/>
    <d v="2026-07-24T00:00:00"/>
    <n v="11"/>
    <n v="5"/>
    <n v="2"/>
    <n v="6800"/>
    <n v="0"/>
    <n v="6800"/>
    <x v="0"/>
    <x v="0"/>
    <n v="3"/>
    <s v="Bonito Aventura"/>
    <x v="1"/>
    <x v="0"/>
  </r>
  <r>
    <n v="941"/>
    <x v="385"/>
    <d v="2026-05-08T00:00:00"/>
    <n v="160"/>
    <n v="12"/>
    <n v="2"/>
    <n v="24800"/>
    <n v="0"/>
    <n v="24800"/>
    <x v="1"/>
    <x v="0"/>
    <n v="4"/>
    <s v="Lisboa e Porto"/>
    <x v="4"/>
    <x v="0"/>
  </r>
  <r>
    <n v="942"/>
    <x v="386"/>
    <d v="2026-05-22T00:00:00"/>
    <n v="88"/>
    <n v="1"/>
    <n v="4"/>
    <n v="12800"/>
    <n v="0"/>
    <n v="12800"/>
    <x v="1"/>
    <x v="0"/>
    <n v="5"/>
    <s v="Nordeste Encantado"/>
    <x v="2"/>
    <x v="0"/>
  </r>
  <r>
    <n v="943"/>
    <x v="386"/>
    <d v="2026-05-15T00:00:00"/>
    <n v="112"/>
    <n v="5"/>
    <n v="2"/>
    <n v="6800"/>
    <n v="0"/>
    <n v="6800"/>
    <x v="1"/>
    <x v="0"/>
    <n v="4"/>
    <s v="Bonito Aventura"/>
    <x v="1"/>
    <x v="1"/>
  </r>
  <r>
    <n v="944"/>
    <x v="386"/>
    <d v="2026-07-18T00:00:00"/>
    <n v="40"/>
    <n v="3"/>
    <n v="3"/>
    <n v="7800"/>
    <n v="0.15"/>
    <n v="6630"/>
    <x v="3"/>
    <x v="0"/>
    <n v="5"/>
    <s v="Serra Gaúcha"/>
    <x v="3"/>
    <x v="0"/>
  </r>
  <r>
    <n v="945"/>
    <x v="387"/>
    <d v="2026-07-26T00:00:00"/>
    <n v="53"/>
    <n v="2"/>
    <n v="1"/>
    <n v="1800"/>
    <n v="0.1"/>
    <n v="1620"/>
    <x v="2"/>
    <x v="0"/>
    <n v="1"/>
    <s v="Rio Cidade Maravilhosa"/>
    <x v="4"/>
    <x v="0"/>
  </r>
  <r>
    <n v="946"/>
    <x v="387"/>
    <d v="2026-04-18T00:00:00"/>
    <n v="25"/>
    <n v="15"/>
    <n v="1"/>
    <n v="3100"/>
    <n v="0"/>
    <n v="3100"/>
    <x v="1"/>
    <x v="0"/>
    <n v="5"/>
    <s v="Jericoacoara"/>
    <x v="2"/>
    <x v="7"/>
  </r>
  <r>
    <n v="947"/>
    <x v="387"/>
    <d v="2026-05-18T00:00:00"/>
    <n v="189"/>
    <n v="3"/>
    <n v="2"/>
    <n v="5200"/>
    <n v="0.1"/>
    <n v="4680"/>
    <x v="3"/>
    <x v="0"/>
    <n v="5"/>
    <s v="Serra Gaúcha"/>
    <x v="3"/>
    <x v="1"/>
  </r>
  <r>
    <n v="948"/>
    <x v="388"/>
    <d v="2026-04-25T00:00:00"/>
    <n v="153"/>
    <n v="7"/>
    <n v="1"/>
    <n v="4200"/>
    <n v="0.05"/>
    <n v="3990"/>
    <x v="0"/>
    <x v="0"/>
    <n v="4"/>
    <s v="Buenos Aires Clássica"/>
    <x v="4"/>
    <x v="1"/>
  </r>
  <r>
    <n v="949"/>
    <x v="388"/>
    <d v="2026-04-26T00:00:00"/>
    <n v="12"/>
    <n v="6"/>
    <n v="1"/>
    <n v="2100"/>
    <n v="0"/>
    <n v="2100"/>
    <x v="3"/>
    <x v="0"/>
    <n v="4"/>
    <s v="Foz do Iguaçu"/>
    <x v="0"/>
    <x v="0"/>
  </r>
  <r>
    <n v="950"/>
    <x v="388"/>
    <d v="2026-04-10T00:00:00"/>
    <n v="191"/>
    <n v="3"/>
    <n v="2"/>
    <n v="5200"/>
    <n v="0.05"/>
    <n v="4940"/>
    <x v="0"/>
    <x v="0"/>
    <n v="4"/>
    <s v="Serra Gaúcha"/>
    <x v="3"/>
    <x v="1"/>
  </r>
  <r>
    <n v="951"/>
    <x v="389"/>
    <d v="2026-04-10T00:00:00"/>
    <n v="156"/>
    <n v="10"/>
    <n v="1"/>
    <n v="11500"/>
    <n v="0"/>
    <n v="11500"/>
    <x v="0"/>
    <x v="0"/>
    <n v="4"/>
    <s v="Orlando Parques"/>
    <x v="5"/>
    <x v="1"/>
  </r>
  <r>
    <n v="952"/>
    <x v="390"/>
    <d v="2026-04-18T00:00:00"/>
    <n v="96"/>
    <n v="10"/>
    <n v="2"/>
    <n v="23000"/>
    <n v="0.1"/>
    <n v="20700"/>
    <x v="1"/>
    <x v="0"/>
    <n v="4"/>
    <s v="Orlando Parques"/>
    <x v="5"/>
    <x v="4"/>
  </r>
  <r>
    <n v="953"/>
    <x v="390"/>
    <d v="2026-04-28T00:00:00"/>
    <n v="65"/>
    <n v="1"/>
    <n v="2"/>
    <n v="6400"/>
    <n v="0.05"/>
    <n v="6080"/>
    <x v="0"/>
    <x v="0"/>
    <n v="4"/>
    <s v="Nordeste Encantado"/>
    <x v="2"/>
    <x v="1"/>
  </r>
  <r>
    <n v="954"/>
    <x v="390"/>
    <d v="2026-04-12T00:00:00"/>
    <n v="150"/>
    <n v="10"/>
    <n v="1"/>
    <n v="11500"/>
    <n v="0"/>
    <n v="11500"/>
    <x v="2"/>
    <x v="0"/>
    <n v="5"/>
    <s v="Orlando Parques"/>
    <x v="5"/>
    <x v="1"/>
  </r>
  <r>
    <n v="955"/>
    <x v="391"/>
    <d v="2026-09-19T00:00:00"/>
    <n v="25"/>
    <n v="9"/>
    <n v="2"/>
    <n v="17800"/>
    <n v="0"/>
    <n v="17800"/>
    <x v="0"/>
    <x v="0"/>
    <n v="3"/>
    <s v="Cancún All Inclusive"/>
    <x v="2"/>
    <x v="7"/>
  </r>
  <r>
    <n v="956"/>
    <x v="391"/>
    <d v="2026-04-20T00:00:00"/>
    <n v="119"/>
    <n v="6"/>
    <n v="2"/>
    <n v="4200"/>
    <n v="0"/>
    <n v="4200"/>
    <x v="0"/>
    <x v="0"/>
    <n v="5"/>
    <s v="Foz do Iguaçu"/>
    <x v="0"/>
    <x v="1"/>
  </r>
  <r>
    <n v="957"/>
    <x v="392"/>
    <d v="2026-04-26T00:00:00"/>
    <n v="171"/>
    <n v="5"/>
    <n v="4"/>
    <n v="13600"/>
    <n v="0"/>
    <n v="13600"/>
    <x v="1"/>
    <x v="1"/>
    <m/>
    <s v="Bonito Aventura"/>
    <x v="1"/>
    <x v="1"/>
  </r>
  <r>
    <n v="958"/>
    <x v="393"/>
    <d v="2026-05-08T00:00:00"/>
    <n v="190"/>
    <n v="9"/>
    <n v="3"/>
    <n v="26700"/>
    <n v="0"/>
    <n v="26700"/>
    <x v="0"/>
    <x v="0"/>
    <n v="5"/>
    <s v="Cancún All Inclusive"/>
    <x v="2"/>
    <x v="1"/>
  </r>
  <r>
    <n v="959"/>
    <x v="393"/>
    <d v="2026-04-17T00:00:00"/>
    <n v="20"/>
    <n v="2"/>
    <n v="1"/>
    <n v="1800"/>
    <n v="0"/>
    <n v="1800"/>
    <x v="3"/>
    <x v="0"/>
    <n v="5"/>
    <s v="Rio Cidade Maravilhosa"/>
    <x v="4"/>
    <x v="3"/>
  </r>
  <r>
    <n v="960"/>
    <x v="393"/>
    <d v="2026-07-01T00:00:00"/>
    <n v="31"/>
    <n v="3"/>
    <n v="2"/>
    <n v="5200"/>
    <n v="0.1"/>
    <n v="4680"/>
    <x v="0"/>
    <x v="0"/>
    <n v="4"/>
    <s v="Serra Gaúcha"/>
    <x v="3"/>
    <x v="1"/>
  </r>
  <r>
    <n v="961"/>
    <x v="394"/>
    <d v="2026-09-17T00:00:00"/>
    <n v="40"/>
    <n v="4"/>
    <n v="1"/>
    <n v="6900"/>
    <n v="0.05"/>
    <n v="6555"/>
    <x v="1"/>
    <x v="0"/>
    <n v="5"/>
    <s v="Fernando de Noronha"/>
    <x v="2"/>
    <x v="0"/>
  </r>
  <r>
    <n v="962"/>
    <x v="394"/>
    <d v="2026-04-20T00:00:00"/>
    <n v="182"/>
    <n v="13"/>
    <n v="3"/>
    <n v="21900"/>
    <n v="0"/>
    <n v="21900"/>
    <x v="1"/>
    <x v="0"/>
    <n v="5"/>
    <s v="Machu Picchu"/>
    <x v="1"/>
    <x v="4"/>
  </r>
  <r>
    <n v="963"/>
    <x v="394"/>
    <d v="2026-07-18T00:00:00"/>
    <n v="10"/>
    <n v="2"/>
    <n v="2"/>
    <n v="3600"/>
    <n v="0"/>
    <n v="3600"/>
    <x v="1"/>
    <x v="0"/>
    <n v="4"/>
    <s v="Rio Cidade Maravilhosa"/>
    <x v="4"/>
    <x v="1"/>
  </r>
  <r>
    <n v="964"/>
    <x v="394"/>
    <d v="2026-04-24T00:00:00"/>
    <n v="30"/>
    <n v="3"/>
    <n v="2"/>
    <n v="5200"/>
    <n v="0.1"/>
    <n v="4680"/>
    <x v="3"/>
    <x v="0"/>
    <n v="2"/>
    <s v="Serra Gaúcha"/>
    <x v="3"/>
    <x v="1"/>
  </r>
  <r>
    <n v="965"/>
    <x v="395"/>
    <d v="2026-05-18T00:00:00"/>
    <n v="74"/>
    <n v="9"/>
    <n v="2"/>
    <n v="17800"/>
    <n v="0.05"/>
    <n v="16910"/>
    <x v="3"/>
    <x v="0"/>
    <n v="5"/>
    <s v="Cancún All Inclusive"/>
    <x v="2"/>
    <x v="1"/>
  </r>
  <r>
    <n v="966"/>
    <x v="395"/>
    <d v="2026-09-03T00:00:00"/>
    <n v="174"/>
    <n v="6"/>
    <n v="4"/>
    <n v="8400"/>
    <n v="0"/>
    <n v="8400"/>
    <x v="1"/>
    <x v="0"/>
    <n v="5"/>
    <s v="Foz do Iguaçu"/>
    <x v="0"/>
    <x v="1"/>
  </r>
  <r>
    <n v="967"/>
    <x v="395"/>
    <d v="2026-05-23T00:00:00"/>
    <n v="14"/>
    <n v="2"/>
    <n v="1"/>
    <n v="1800"/>
    <n v="0.15"/>
    <n v="1530"/>
    <x v="1"/>
    <x v="0"/>
    <n v="1"/>
    <s v="Rio Cidade Maravilhosa"/>
    <x v="4"/>
    <x v="7"/>
  </r>
  <r>
    <n v="968"/>
    <x v="395"/>
    <d v="2026-05-09T00:00:00"/>
    <n v="65"/>
    <n v="11"/>
    <n v="5"/>
    <n v="79000"/>
    <n v="0"/>
    <n v="79000"/>
    <x v="1"/>
    <x v="0"/>
    <n v="5"/>
    <s v="Paris e Londres"/>
    <x v="4"/>
    <x v="1"/>
  </r>
  <r>
    <n v="969"/>
    <x v="395"/>
    <d v="2026-04-13T00:00:00"/>
    <n v="62"/>
    <n v="15"/>
    <n v="1"/>
    <n v="3100"/>
    <n v="0.1"/>
    <n v="2790"/>
    <x v="2"/>
    <x v="0"/>
    <n v="4"/>
    <s v="Jericoacoara"/>
    <x v="2"/>
    <x v="1"/>
  </r>
  <r>
    <n v="970"/>
    <x v="396"/>
    <d v="2026-07-14T00:00:00"/>
    <n v="11"/>
    <n v="8"/>
    <n v="2"/>
    <n v="11800"/>
    <n v="0.1"/>
    <n v="10620"/>
    <x v="3"/>
    <x v="0"/>
    <n v="3"/>
    <s v="Santiago e Neve"/>
    <x v="3"/>
    <x v="0"/>
  </r>
  <r>
    <n v="971"/>
    <x v="396"/>
    <d v="2026-04-25T00:00:00"/>
    <n v="154"/>
    <n v="8"/>
    <n v="1"/>
    <n v="5900"/>
    <n v="0"/>
    <n v="5900"/>
    <x v="1"/>
    <x v="0"/>
    <n v="5"/>
    <s v="Santiago e Neve"/>
    <x v="3"/>
    <x v="2"/>
  </r>
  <r>
    <n v="972"/>
    <x v="396"/>
    <d v="2026-06-01T00:00:00"/>
    <n v="131"/>
    <n v="7"/>
    <n v="4"/>
    <n v="16800"/>
    <n v="0"/>
    <n v="16800"/>
    <x v="3"/>
    <x v="0"/>
    <n v="4"/>
    <s v="Buenos Aires Clássica"/>
    <x v="4"/>
    <x v="0"/>
  </r>
  <r>
    <n v="973"/>
    <x v="397"/>
    <d v="2026-04-20T00:00:00"/>
    <n v="158"/>
    <n v="2"/>
    <n v="2"/>
    <n v="3600"/>
    <n v="0.05"/>
    <n v="3420"/>
    <x v="0"/>
    <x v="0"/>
    <n v="4"/>
    <s v="Rio Cidade Maravilhosa"/>
    <x v="4"/>
    <x v="6"/>
  </r>
  <r>
    <n v="974"/>
    <x v="397"/>
    <d v="2026-04-27T00:00:00"/>
    <n v="75"/>
    <n v="15"/>
    <n v="1"/>
    <n v="3100"/>
    <n v="0"/>
    <n v="3100"/>
    <x v="2"/>
    <x v="0"/>
    <n v="5"/>
    <s v="Jericoacoara"/>
    <x v="2"/>
    <x v="6"/>
  </r>
  <r>
    <n v="975"/>
    <x v="398"/>
    <d v="2026-04-23T00:00:00"/>
    <n v="155"/>
    <n v="3"/>
    <n v="2"/>
    <n v="5200"/>
    <n v="0"/>
    <n v="5200"/>
    <x v="2"/>
    <x v="0"/>
    <n v="5"/>
    <s v="Serra Gaúcha"/>
    <x v="3"/>
    <x v="1"/>
  </r>
  <r>
    <n v="976"/>
    <x v="398"/>
    <d v="2026-09-20T00:00:00"/>
    <n v="97"/>
    <n v="4"/>
    <n v="4"/>
    <n v="27600"/>
    <n v="0"/>
    <n v="27600"/>
    <x v="1"/>
    <x v="0"/>
    <n v="4"/>
    <s v="Fernando de Noronha"/>
    <x v="2"/>
    <x v="1"/>
  </r>
  <r>
    <n v="977"/>
    <x v="399"/>
    <d v="2026-04-21T00:00:00"/>
    <n v="176"/>
    <n v="2"/>
    <n v="3"/>
    <n v="5400"/>
    <n v="0.05"/>
    <n v="5130"/>
    <x v="3"/>
    <x v="0"/>
    <n v="4"/>
    <s v="Rio Cidade Maravilhosa"/>
    <x v="4"/>
    <x v="1"/>
  </r>
  <r>
    <n v="978"/>
    <x v="399"/>
    <d v="2026-08-24T00:00:00"/>
    <n v="163"/>
    <n v="7"/>
    <n v="3"/>
    <n v="12600"/>
    <n v="0"/>
    <n v="12600"/>
    <x v="1"/>
    <x v="0"/>
    <n v="5"/>
    <s v="Buenos Aires Clássica"/>
    <x v="4"/>
    <x v="2"/>
  </r>
  <r>
    <n v="979"/>
    <x v="400"/>
    <d v="2026-05-07T00:00:00"/>
    <n v="133"/>
    <n v="14"/>
    <n v="1"/>
    <n v="2900"/>
    <n v="0"/>
    <n v="2900"/>
    <x v="0"/>
    <x v="0"/>
    <n v="4"/>
    <s v="Lençóis Maranhenses"/>
    <x v="0"/>
    <x v="1"/>
  </r>
  <r>
    <n v="980"/>
    <x v="401"/>
    <d v="2026-04-30T00:00:00"/>
    <n v="122"/>
    <n v="13"/>
    <n v="2"/>
    <n v="14600"/>
    <n v="0.1"/>
    <n v="13140"/>
    <x v="0"/>
    <x v="0"/>
    <n v="5"/>
    <s v="Machu Picchu"/>
    <x v="1"/>
    <x v="3"/>
  </r>
  <r>
    <n v="981"/>
    <x v="401"/>
    <d v="2026-04-30T00:00:00"/>
    <n v="17"/>
    <n v="6"/>
    <n v="2"/>
    <n v="4200"/>
    <n v="0.05"/>
    <n v="3990"/>
    <x v="3"/>
    <x v="1"/>
    <m/>
    <s v="Foz do Iguaçu"/>
    <x v="0"/>
    <x v="0"/>
  </r>
  <r>
    <n v="982"/>
    <x v="401"/>
    <d v="2026-06-09T00:00:00"/>
    <n v="136"/>
    <n v="2"/>
    <n v="4"/>
    <n v="7200"/>
    <n v="0.1"/>
    <n v="6480"/>
    <x v="3"/>
    <x v="0"/>
    <n v="5"/>
    <s v="Rio Cidade Maravilhosa"/>
    <x v="4"/>
    <x v="4"/>
  </r>
  <r>
    <n v="983"/>
    <x v="401"/>
    <d v="2026-09-17T00:00:00"/>
    <n v="30"/>
    <n v="15"/>
    <n v="4"/>
    <n v="12400"/>
    <n v="0.15"/>
    <n v="10540"/>
    <x v="3"/>
    <x v="0"/>
    <n v="4"/>
    <s v="Jericoacoara"/>
    <x v="2"/>
    <x v="1"/>
  </r>
  <r>
    <n v="984"/>
    <x v="402"/>
    <d v="2026-06-01T00:00:00"/>
    <n v="126"/>
    <n v="7"/>
    <n v="1"/>
    <n v="4200"/>
    <n v="0"/>
    <n v="4200"/>
    <x v="2"/>
    <x v="0"/>
    <n v="3"/>
    <s v="Buenos Aires Clássica"/>
    <x v="4"/>
    <x v="4"/>
  </r>
  <r>
    <n v="985"/>
    <x v="403"/>
    <d v="2026-06-09T00:00:00"/>
    <n v="153"/>
    <n v="4"/>
    <n v="1"/>
    <n v="6900"/>
    <n v="0"/>
    <n v="6900"/>
    <x v="0"/>
    <x v="0"/>
    <n v="4"/>
    <s v="Fernando de Noronha"/>
    <x v="2"/>
    <x v="1"/>
  </r>
  <r>
    <n v="986"/>
    <x v="403"/>
    <d v="2026-06-05T00:00:00"/>
    <n v="34"/>
    <n v="11"/>
    <n v="1"/>
    <n v="15800"/>
    <n v="0.1"/>
    <n v="14220"/>
    <x v="0"/>
    <x v="0"/>
    <n v="5"/>
    <s v="Paris e Londres"/>
    <x v="4"/>
    <x v="1"/>
  </r>
  <r>
    <n v="987"/>
    <x v="403"/>
    <d v="2026-04-27T00:00:00"/>
    <n v="42"/>
    <n v="1"/>
    <n v="2"/>
    <n v="6400"/>
    <n v="0"/>
    <n v="6400"/>
    <x v="0"/>
    <x v="0"/>
    <n v="5"/>
    <s v="Nordeste Encantado"/>
    <x v="2"/>
    <x v="1"/>
  </r>
  <r>
    <n v="988"/>
    <x v="404"/>
    <d v="2026-05-29T00:00:00"/>
    <n v="47"/>
    <n v="7"/>
    <n v="1"/>
    <n v="4200"/>
    <n v="0.1"/>
    <n v="3780"/>
    <x v="2"/>
    <x v="0"/>
    <n v="4"/>
    <s v="Buenos Aires Clássica"/>
    <x v="4"/>
    <x v="5"/>
  </r>
  <r>
    <n v="989"/>
    <x v="404"/>
    <d v="2026-09-05T00:00:00"/>
    <n v="129"/>
    <n v="7"/>
    <n v="3"/>
    <n v="12600"/>
    <n v="0"/>
    <n v="12600"/>
    <x v="1"/>
    <x v="0"/>
    <n v="4"/>
    <s v="Buenos Aires Clássica"/>
    <x v="4"/>
    <x v="4"/>
  </r>
  <r>
    <n v="990"/>
    <x v="405"/>
    <d v="2026-05-16T00:00:00"/>
    <n v="103"/>
    <n v="3"/>
    <n v="1"/>
    <n v="2600"/>
    <n v="0.05"/>
    <n v="2470"/>
    <x v="1"/>
    <x v="0"/>
    <n v="2"/>
    <s v="Serra Gaúcha"/>
    <x v="3"/>
    <x v="1"/>
  </r>
  <r>
    <n v="991"/>
    <x v="405"/>
    <d v="2026-07-28T00:00:00"/>
    <n v="80"/>
    <n v="8"/>
    <n v="2"/>
    <n v="11800"/>
    <n v="0"/>
    <n v="11800"/>
    <x v="1"/>
    <x v="1"/>
    <m/>
    <s v="Santiago e Neve"/>
    <x v="3"/>
    <x v="1"/>
  </r>
  <r>
    <n v="992"/>
    <x v="405"/>
    <d v="2026-06-13T00:00:00"/>
    <n v="130"/>
    <n v="2"/>
    <n v="1"/>
    <n v="1800"/>
    <n v="0"/>
    <n v="1800"/>
    <x v="1"/>
    <x v="1"/>
    <m/>
    <s v="Rio Cidade Maravilhosa"/>
    <x v="4"/>
    <x v="1"/>
  </r>
  <r>
    <n v="993"/>
    <x v="406"/>
    <d v="2026-05-03T00:00:00"/>
    <n v="129"/>
    <n v="6"/>
    <n v="2"/>
    <n v="4200"/>
    <n v="0.05"/>
    <n v="3990"/>
    <x v="0"/>
    <x v="0"/>
    <n v="3"/>
    <s v="Foz do Iguaçu"/>
    <x v="0"/>
    <x v="4"/>
  </r>
  <r>
    <n v="994"/>
    <x v="406"/>
    <d v="2026-05-25T00:00:00"/>
    <n v="52"/>
    <n v="5"/>
    <n v="1"/>
    <n v="3400"/>
    <n v="0"/>
    <n v="3400"/>
    <x v="1"/>
    <x v="0"/>
    <n v="4"/>
    <s v="Bonito Aventura"/>
    <x v="1"/>
    <x v="1"/>
  </r>
  <r>
    <n v="995"/>
    <x v="406"/>
    <d v="2026-09-15T00:00:00"/>
    <n v="113"/>
    <n v="13"/>
    <n v="3"/>
    <n v="21900"/>
    <n v="0"/>
    <n v="21900"/>
    <x v="0"/>
    <x v="1"/>
    <m/>
    <s v="Machu Picchu"/>
    <x v="1"/>
    <x v="1"/>
  </r>
  <r>
    <n v="996"/>
    <x v="407"/>
    <d v="2026-07-29T00:00:00"/>
    <n v="61"/>
    <n v="3"/>
    <n v="1"/>
    <n v="2600"/>
    <n v="0"/>
    <n v="2600"/>
    <x v="1"/>
    <x v="0"/>
    <n v="3"/>
    <s v="Serra Gaúcha"/>
    <x v="3"/>
    <x v="2"/>
  </r>
  <r>
    <n v="997"/>
    <x v="407"/>
    <d v="2026-05-21T00:00:00"/>
    <n v="58"/>
    <n v="1"/>
    <n v="2"/>
    <n v="6400"/>
    <n v="0.15"/>
    <n v="5440"/>
    <x v="0"/>
    <x v="0"/>
    <n v="4"/>
    <s v="Nordeste Encantado"/>
    <x v="2"/>
    <x v="1"/>
  </r>
  <r>
    <n v="998"/>
    <x v="407"/>
    <d v="2026-05-06T00:00:00"/>
    <n v="24"/>
    <n v="14"/>
    <n v="2"/>
    <n v="5800"/>
    <n v="0"/>
    <n v="5800"/>
    <x v="3"/>
    <x v="0"/>
    <n v="4"/>
    <s v="Lençóis Maranhenses"/>
    <x v="0"/>
    <x v="1"/>
  </r>
  <r>
    <n v="999"/>
    <x v="408"/>
    <d v="2026-09-28T00:00:00"/>
    <n v="193"/>
    <n v="15"/>
    <n v="2"/>
    <n v="6200"/>
    <n v="0"/>
    <n v="6200"/>
    <x v="0"/>
    <x v="0"/>
    <m/>
    <s v="Jericoacoara"/>
    <x v="2"/>
    <x v="1"/>
  </r>
  <r>
    <n v="1000"/>
    <x v="409"/>
    <d v="2026-06-25T00:00:00"/>
    <n v="179"/>
    <n v="12"/>
    <n v="1"/>
    <n v="12400"/>
    <n v="0"/>
    <n v="12400"/>
    <x v="1"/>
    <x v="0"/>
    <n v="4"/>
    <s v="Lisboa e Porto"/>
    <x v="4"/>
    <x v="1"/>
  </r>
  <r>
    <n v="1001"/>
    <x v="409"/>
    <d v="2026-07-29T00:00:00"/>
    <n v="100"/>
    <n v="7"/>
    <n v="2"/>
    <n v="8400"/>
    <n v="0"/>
    <n v="8400"/>
    <x v="1"/>
    <x v="0"/>
    <n v="3"/>
    <s v="Buenos Aires Clássica"/>
    <x v="4"/>
    <x v="1"/>
  </r>
  <r>
    <n v="1002"/>
    <x v="409"/>
    <d v="2026-05-28T00:00:00"/>
    <n v="30"/>
    <n v="6"/>
    <n v="1"/>
    <n v="2100"/>
    <n v="0.15"/>
    <n v="1785"/>
    <x v="3"/>
    <x v="0"/>
    <n v="4"/>
    <s v="Foz do Iguaçu"/>
    <x v="0"/>
    <x v="1"/>
  </r>
  <r>
    <n v="1003"/>
    <x v="409"/>
    <d v="2026-06-23T00:00:00"/>
    <n v="194"/>
    <n v="12"/>
    <n v="2"/>
    <n v="24800"/>
    <n v="0"/>
    <n v="24800"/>
    <x v="3"/>
    <x v="0"/>
    <n v="4"/>
    <s v="Lisboa e Porto"/>
    <x v="4"/>
    <x v="2"/>
  </r>
  <r>
    <n v="1004"/>
    <x v="410"/>
    <d v="2026-05-22T00:00:00"/>
    <n v="172"/>
    <n v="9"/>
    <n v="2"/>
    <n v="17800"/>
    <n v="0"/>
    <n v="17800"/>
    <x v="1"/>
    <x v="0"/>
    <n v="5"/>
    <s v="Cancún All Inclusive"/>
    <x v="2"/>
    <x v="2"/>
  </r>
  <r>
    <n v="1005"/>
    <x v="410"/>
    <d v="2026-10-16T00:00:00"/>
    <n v="117"/>
    <n v="10"/>
    <n v="2"/>
    <n v="23000"/>
    <n v="0.05"/>
    <n v="21850"/>
    <x v="3"/>
    <x v="0"/>
    <m/>
    <s v="Orlando Parques"/>
    <x v="5"/>
    <x v="1"/>
  </r>
  <r>
    <n v="1006"/>
    <x v="410"/>
    <d v="2026-07-19T00:00:00"/>
    <n v="51"/>
    <n v="4"/>
    <n v="2"/>
    <n v="13800"/>
    <n v="0"/>
    <n v="13800"/>
    <x v="2"/>
    <x v="0"/>
    <n v="5"/>
    <s v="Fernando de Noronha"/>
    <x v="2"/>
    <x v="0"/>
  </r>
  <r>
    <n v="1007"/>
    <x v="411"/>
    <d v="2026-05-26T00:00:00"/>
    <n v="2"/>
    <n v="3"/>
    <n v="4"/>
    <n v="10400"/>
    <n v="0"/>
    <n v="10400"/>
    <x v="0"/>
    <x v="0"/>
    <n v="3"/>
    <s v="Serra Gaúcha"/>
    <x v="3"/>
    <x v="0"/>
  </r>
  <r>
    <n v="1008"/>
    <x v="411"/>
    <d v="2026-05-18T00:00:00"/>
    <n v="38"/>
    <n v="7"/>
    <n v="2"/>
    <n v="8400"/>
    <n v="0"/>
    <n v="8400"/>
    <x v="0"/>
    <x v="0"/>
    <n v="5"/>
    <s v="Buenos Aires Clássica"/>
    <x v="4"/>
    <x v="1"/>
  </r>
  <r>
    <n v="1009"/>
    <x v="411"/>
    <d v="2026-07-14T00:00:00"/>
    <n v="53"/>
    <n v="6"/>
    <n v="1"/>
    <n v="2100"/>
    <n v="0"/>
    <n v="2100"/>
    <x v="2"/>
    <x v="0"/>
    <n v="5"/>
    <s v="Foz do Iguaçu"/>
    <x v="0"/>
    <x v="0"/>
  </r>
  <r>
    <n v="1010"/>
    <x v="411"/>
    <d v="2026-06-02T00:00:00"/>
    <n v="39"/>
    <n v="1"/>
    <n v="5"/>
    <n v="16000"/>
    <n v="0"/>
    <n v="16000"/>
    <x v="0"/>
    <x v="1"/>
    <m/>
    <s v="Nordeste Encantado"/>
    <x v="2"/>
    <x v="0"/>
  </r>
  <r>
    <n v="1011"/>
    <x v="412"/>
    <d v="2026-05-17T00:00:00"/>
    <n v="17"/>
    <n v="2"/>
    <n v="2"/>
    <n v="3600"/>
    <n v="0.05"/>
    <n v="3420"/>
    <x v="1"/>
    <x v="0"/>
    <n v="4"/>
    <s v="Rio Cidade Maravilhosa"/>
    <x v="4"/>
    <x v="0"/>
  </r>
  <r>
    <n v="1012"/>
    <x v="412"/>
    <d v="2026-07-06T00:00:00"/>
    <n v="12"/>
    <n v="15"/>
    <n v="5"/>
    <n v="15500"/>
    <n v="0.05"/>
    <n v="14725"/>
    <x v="3"/>
    <x v="0"/>
    <n v="5"/>
    <s v="Jericoacoara"/>
    <x v="2"/>
    <x v="0"/>
  </r>
  <r>
    <n v="1013"/>
    <x v="412"/>
    <d v="2026-07-16T00:00:00"/>
    <n v="18"/>
    <n v="1"/>
    <n v="3"/>
    <n v="9600"/>
    <n v="0.05"/>
    <n v="9120"/>
    <x v="3"/>
    <x v="1"/>
    <m/>
    <s v="Nordeste Encantado"/>
    <x v="2"/>
    <x v="3"/>
  </r>
  <r>
    <n v="1014"/>
    <x v="412"/>
    <d v="2026-07-28T00:00:00"/>
    <n v="7"/>
    <n v="1"/>
    <n v="1"/>
    <n v="3200"/>
    <n v="0"/>
    <n v="3200"/>
    <x v="0"/>
    <x v="0"/>
    <n v="3"/>
    <s v="Nordeste Encantado"/>
    <x v="2"/>
    <x v="1"/>
  </r>
  <r>
    <n v="1015"/>
    <x v="412"/>
    <d v="2026-05-18T00:00:00"/>
    <n v="63"/>
    <n v="15"/>
    <n v="3"/>
    <n v="9300"/>
    <n v="0"/>
    <n v="9300"/>
    <x v="0"/>
    <x v="0"/>
    <n v="5"/>
    <s v="Jericoacoara"/>
    <x v="2"/>
    <x v="6"/>
  </r>
  <r>
    <n v="1016"/>
    <x v="413"/>
    <d v="2026-07-15T00:00:00"/>
    <n v="83"/>
    <n v="2"/>
    <n v="2"/>
    <n v="3600"/>
    <n v="0"/>
    <n v="3600"/>
    <x v="0"/>
    <x v="1"/>
    <m/>
    <s v="Rio Cidade Maravilhosa"/>
    <x v="4"/>
    <x v="1"/>
  </r>
  <r>
    <n v="1017"/>
    <x v="413"/>
    <d v="2026-09-20T00:00:00"/>
    <n v="47"/>
    <n v="6"/>
    <n v="1"/>
    <n v="2100"/>
    <n v="0.05"/>
    <n v="1995"/>
    <x v="0"/>
    <x v="0"/>
    <n v="5"/>
    <s v="Foz do Iguaçu"/>
    <x v="0"/>
    <x v="5"/>
  </r>
  <r>
    <n v="1018"/>
    <x v="413"/>
    <d v="2026-08-25T00:00:00"/>
    <n v="40"/>
    <n v="15"/>
    <n v="2"/>
    <n v="6200"/>
    <n v="0"/>
    <n v="6200"/>
    <x v="1"/>
    <x v="0"/>
    <n v="4"/>
    <s v="Jericoacoara"/>
    <x v="2"/>
    <x v="0"/>
  </r>
  <r>
    <n v="1019"/>
    <x v="413"/>
    <d v="2026-05-19T00:00:00"/>
    <n v="189"/>
    <n v="2"/>
    <n v="2"/>
    <n v="3600"/>
    <n v="0.1"/>
    <n v="3240"/>
    <x v="3"/>
    <x v="0"/>
    <n v="4"/>
    <s v="Rio Cidade Maravilhosa"/>
    <x v="4"/>
    <x v="1"/>
  </r>
  <r>
    <n v="1020"/>
    <x v="414"/>
    <d v="2026-06-07T00:00:00"/>
    <n v="183"/>
    <n v="6"/>
    <n v="3"/>
    <n v="6300"/>
    <n v="0"/>
    <n v="6300"/>
    <x v="0"/>
    <x v="0"/>
    <n v="5"/>
    <s v="Foz do Iguaçu"/>
    <x v="0"/>
    <x v="4"/>
  </r>
  <r>
    <n v="1021"/>
    <x v="414"/>
    <d v="2026-05-28T00:00:00"/>
    <n v="49"/>
    <n v="3"/>
    <n v="4"/>
    <n v="10400"/>
    <n v="0.15"/>
    <n v="8840"/>
    <x v="0"/>
    <x v="0"/>
    <n v="4"/>
    <s v="Serra Gaúcha"/>
    <x v="3"/>
    <x v="0"/>
  </r>
  <r>
    <n v="1022"/>
    <x v="415"/>
    <d v="2026-09-19T00:00:00"/>
    <n v="66"/>
    <n v="1"/>
    <n v="3"/>
    <n v="9600"/>
    <n v="0"/>
    <n v="9600"/>
    <x v="0"/>
    <x v="0"/>
    <n v="4"/>
    <s v="Nordeste Encantado"/>
    <x v="2"/>
    <x v="5"/>
  </r>
  <r>
    <n v="1023"/>
    <x v="416"/>
    <d v="2026-06-22T00:00:00"/>
    <n v="2"/>
    <n v="10"/>
    <n v="1"/>
    <n v="11500"/>
    <n v="0"/>
    <n v="11500"/>
    <x v="3"/>
    <x v="1"/>
    <m/>
    <s v="Orlando Parques"/>
    <x v="5"/>
    <x v="0"/>
  </r>
  <r>
    <n v="1024"/>
    <x v="416"/>
    <d v="2026-08-12T00:00:00"/>
    <n v="169"/>
    <n v="6"/>
    <n v="2"/>
    <n v="4200"/>
    <n v="0.05"/>
    <n v="3990"/>
    <x v="0"/>
    <x v="0"/>
    <n v="4"/>
    <s v="Foz do Iguaçu"/>
    <x v="0"/>
    <x v="5"/>
  </r>
  <r>
    <n v="1025"/>
    <x v="416"/>
    <d v="2026-05-23T00:00:00"/>
    <n v="39"/>
    <n v="4"/>
    <n v="3"/>
    <n v="20700"/>
    <n v="0"/>
    <n v="20700"/>
    <x v="0"/>
    <x v="0"/>
    <n v="3"/>
    <s v="Fernando de Noronha"/>
    <x v="2"/>
    <x v="0"/>
  </r>
  <r>
    <n v="1026"/>
    <x v="416"/>
    <d v="2026-06-26T00:00:00"/>
    <n v="42"/>
    <n v="10"/>
    <n v="2"/>
    <n v="23000"/>
    <n v="0"/>
    <n v="23000"/>
    <x v="0"/>
    <x v="0"/>
    <n v="4"/>
    <s v="Orlando Parques"/>
    <x v="5"/>
    <x v="1"/>
  </r>
  <r>
    <n v="1027"/>
    <x v="417"/>
    <d v="2026-06-18T00:00:00"/>
    <n v="102"/>
    <n v="4"/>
    <n v="4"/>
    <n v="27600"/>
    <n v="0"/>
    <n v="27600"/>
    <x v="0"/>
    <x v="1"/>
    <m/>
    <s v="Fernando de Noronha"/>
    <x v="2"/>
    <x v="3"/>
  </r>
  <r>
    <n v="1028"/>
    <x v="417"/>
    <d v="2026-05-13T00:00:00"/>
    <n v="53"/>
    <n v="15"/>
    <n v="1"/>
    <n v="3100"/>
    <n v="0"/>
    <n v="3100"/>
    <x v="2"/>
    <x v="1"/>
    <m/>
    <s v="Jericoacoara"/>
    <x v="2"/>
    <x v="0"/>
  </r>
  <r>
    <n v="1029"/>
    <x v="418"/>
    <d v="2026-07-23T00:00:00"/>
    <n v="6"/>
    <n v="2"/>
    <n v="1"/>
    <n v="1800"/>
    <n v="0"/>
    <n v="1800"/>
    <x v="0"/>
    <x v="1"/>
    <m/>
    <s v="Rio Cidade Maravilhosa"/>
    <x v="4"/>
    <x v="1"/>
  </r>
  <r>
    <n v="1030"/>
    <x v="419"/>
    <d v="2026-05-13T00:00:00"/>
    <n v="160"/>
    <n v="3"/>
    <n v="2"/>
    <n v="5200"/>
    <n v="0"/>
    <n v="5200"/>
    <x v="1"/>
    <x v="0"/>
    <n v="3"/>
    <s v="Serra Gaúcha"/>
    <x v="3"/>
    <x v="0"/>
  </r>
  <r>
    <n v="1031"/>
    <x v="420"/>
    <d v="2026-05-19T00:00:00"/>
    <n v="63"/>
    <n v="6"/>
    <n v="2"/>
    <n v="4200"/>
    <n v="0.05"/>
    <n v="3990"/>
    <x v="1"/>
    <x v="0"/>
    <n v="4"/>
    <s v="Foz do Iguaçu"/>
    <x v="0"/>
    <x v="6"/>
  </r>
  <r>
    <n v="1032"/>
    <x v="421"/>
    <d v="2026-08-30T00:00:00"/>
    <n v="3"/>
    <n v="10"/>
    <n v="2"/>
    <n v="23000"/>
    <n v="0"/>
    <n v="23000"/>
    <x v="3"/>
    <x v="0"/>
    <n v="5"/>
    <s v="Orlando Parques"/>
    <x v="5"/>
    <x v="1"/>
  </r>
  <r>
    <n v="1033"/>
    <x v="421"/>
    <d v="2026-05-29T00:00:00"/>
    <n v="9"/>
    <n v="7"/>
    <n v="2"/>
    <n v="8400"/>
    <n v="0.15"/>
    <n v="7140"/>
    <x v="1"/>
    <x v="0"/>
    <n v="4"/>
    <s v="Buenos Aires Clássica"/>
    <x v="4"/>
    <x v="4"/>
  </r>
  <r>
    <n v="1034"/>
    <x v="422"/>
    <d v="2026-06-29T00:00:00"/>
    <n v="44"/>
    <n v="1"/>
    <n v="2"/>
    <n v="6400"/>
    <n v="0"/>
    <n v="6400"/>
    <x v="0"/>
    <x v="0"/>
    <n v="1"/>
    <s v="Nordeste Encantado"/>
    <x v="2"/>
    <x v="2"/>
  </r>
  <r>
    <n v="1035"/>
    <x v="422"/>
    <d v="2026-05-17T00:00:00"/>
    <n v="20"/>
    <n v="15"/>
    <n v="1"/>
    <n v="3100"/>
    <n v="0.1"/>
    <n v="2790"/>
    <x v="1"/>
    <x v="0"/>
    <n v="4"/>
    <s v="Jericoacoara"/>
    <x v="2"/>
    <x v="3"/>
  </r>
  <r>
    <n v="1036"/>
    <x v="423"/>
    <d v="2026-06-17T00:00:00"/>
    <n v="53"/>
    <n v="11"/>
    <n v="1"/>
    <n v="15800"/>
    <n v="0.05"/>
    <n v="15010"/>
    <x v="2"/>
    <x v="0"/>
    <n v="3"/>
    <s v="Paris e Londres"/>
    <x v="4"/>
    <x v="0"/>
  </r>
  <r>
    <n v="1037"/>
    <x v="423"/>
    <d v="2026-07-06T00:00:00"/>
    <n v="103"/>
    <n v="7"/>
    <n v="2"/>
    <n v="8400"/>
    <n v="0"/>
    <n v="8400"/>
    <x v="0"/>
    <x v="1"/>
    <m/>
    <s v="Buenos Aires Clássica"/>
    <x v="4"/>
    <x v="1"/>
  </r>
  <r>
    <n v="1038"/>
    <x v="423"/>
    <d v="2026-06-27T00:00:00"/>
    <n v="21"/>
    <n v="14"/>
    <n v="3"/>
    <n v="8700"/>
    <n v="0"/>
    <n v="8700"/>
    <x v="0"/>
    <x v="0"/>
    <n v="5"/>
    <s v="Lençóis Maranhenses"/>
    <x v="0"/>
    <x v="4"/>
  </r>
  <r>
    <n v="1039"/>
    <x v="424"/>
    <d v="2026-07-10T00:00:00"/>
    <n v="81"/>
    <n v="8"/>
    <n v="2"/>
    <n v="11800"/>
    <n v="0.15"/>
    <n v="10030"/>
    <x v="0"/>
    <x v="0"/>
    <n v="5"/>
    <s v="Santiago e Neve"/>
    <x v="3"/>
    <x v="1"/>
  </r>
  <r>
    <n v="1040"/>
    <x v="424"/>
    <d v="2026-06-30T00:00:00"/>
    <n v="34"/>
    <n v="1"/>
    <n v="2"/>
    <n v="6400"/>
    <n v="0"/>
    <n v="6400"/>
    <x v="0"/>
    <x v="0"/>
    <n v="5"/>
    <s v="Nordeste Encantado"/>
    <x v="2"/>
    <x v="1"/>
  </r>
  <r>
    <n v="1041"/>
    <x v="424"/>
    <d v="2026-06-23T00:00:00"/>
    <n v="175"/>
    <n v="15"/>
    <n v="2"/>
    <n v="6200"/>
    <n v="0.05"/>
    <n v="5890"/>
    <x v="2"/>
    <x v="0"/>
    <n v="5"/>
    <s v="Jericoacoara"/>
    <x v="2"/>
    <x v="5"/>
  </r>
  <r>
    <n v="1042"/>
    <x v="425"/>
    <d v="2026-07-26T00:00:00"/>
    <n v="83"/>
    <n v="5"/>
    <n v="1"/>
    <n v="3400"/>
    <n v="0"/>
    <n v="3400"/>
    <x v="3"/>
    <x v="0"/>
    <n v="3"/>
    <s v="Bonito Aventura"/>
    <x v="1"/>
    <x v="1"/>
  </r>
  <r>
    <n v="1043"/>
    <x v="425"/>
    <d v="2026-10-25T00:00:00"/>
    <n v="49"/>
    <n v="7"/>
    <n v="2"/>
    <n v="8400"/>
    <n v="0"/>
    <n v="8400"/>
    <x v="1"/>
    <x v="0"/>
    <m/>
    <s v="Buenos Aires Clássica"/>
    <x v="4"/>
    <x v="0"/>
  </r>
  <r>
    <n v="1044"/>
    <x v="425"/>
    <d v="2026-06-27T00:00:00"/>
    <n v="83"/>
    <n v="12"/>
    <n v="2"/>
    <n v="24800"/>
    <n v="0"/>
    <n v="24800"/>
    <x v="0"/>
    <x v="0"/>
    <n v="1"/>
    <s v="Lisboa e Porto"/>
    <x v="4"/>
    <x v="1"/>
  </r>
  <r>
    <n v="1045"/>
    <x v="426"/>
    <d v="2026-06-27T00:00:00"/>
    <n v="37"/>
    <n v="9"/>
    <n v="4"/>
    <n v="35600"/>
    <n v="0"/>
    <n v="35600"/>
    <x v="3"/>
    <x v="0"/>
    <n v="4"/>
    <s v="Cancún All Inclusive"/>
    <x v="2"/>
    <x v="2"/>
  </r>
  <r>
    <n v="1046"/>
    <x v="426"/>
    <d v="2026-06-07T00:00:00"/>
    <n v="8"/>
    <n v="6"/>
    <n v="2"/>
    <n v="4200"/>
    <n v="0.1"/>
    <n v="3780"/>
    <x v="1"/>
    <x v="0"/>
    <n v="5"/>
    <s v="Foz do Iguaçu"/>
    <x v="0"/>
    <x v="1"/>
  </r>
  <r>
    <n v="1047"/>
    <x v="426"/>
    <d v="2026-05-30T00:00:00"/>
    <n v="49"/>
    <n v="14"/>
    <n v="3"/>
    <n v="8700"/>
    <n v="0"/>
    <n v="8700"/>
    <x v="0"/>
    <x v="0"/>
    <n v="5"/>
    <s v="Lençóis Maranhenses"/>
    <x v="0"/>
    <x v="0"/>
  </r>
  <r>
    <n v="1048"/>
    <x v="427"/>
    <d v="2026-09-03T00:00:00"/>
    <n v="96"/>
    <n v="9"/>
    <n v="2"/>
    <n v="17800"/>
    <n v="0.05"/>
    <n v="16910"/>
    <x v="1"/>
    <x v="0"/>
    <n v="5"/>
    <s v="Cancún All Inclusive"/>
    <x v="2"/>
    <x v="4"/>
  </r>
  <r>
    <n v="1049"/>
    <x v="427"/>
    <d v="2026-06-07T00:00:00"/>
    <n v="141"/>
    <n v="7"/>
    <n v="3"/>
    <n v="12600"/>
    <n v="0"/>
    <n v="12600"/>
    <x v="1"/>
    <x v="1"/>
    <m/>
    <s v="Buenos Aires Clássica"/>
    <x v="4"/>
    <x v="2"/>
  </r>
  <r>
    <n v="1050"/>
    <x v="427"/>
    <d v="2026-05-28T00:00:00"/>
    <n v="74"/>
    <n v="11"/>
    <n v="2"/>
    <n v="31600"/>
    <n v="0.05"/>
    <n v="30020"/>
    <x v="0"/>
    <x v="0"/>
    <n v="5"/>
    <s v="Paris e Londres"/>
    <x v="4"/>
    <x v="1"/>
  </r>
  <r>
    <n v="1051"/>
    <x v="428"/>
    <d v="2026-06-21T00:00:00"/>
    <n v="55"/>
    <n v="9"/>
    <n v="2"/>
    <n v="17800"/>
    <n v="0"/>
    <n v="17800"/>
    <x v="1"/>
    <x v="0"/>
    <n v="5"/>
    <s v="Cancún All Inclusive"/>
    <x v="2"/>
    <x v="5"/>
  </r>
  <r>
    <n v="1052"/>
    <x v="429"/>
    <d v="2026-11-08T00:00:00"/>
    <n v="105"/>
    <n v="1"/>
    <n v="2"/>
    <n v="6400"/>
    <n v="0.1"/>
    <n v="5760"/>
    <x v="0"/>
    <x v="0"/>
    <m/>
    <s v="Nordeste Encantado"/>
    <x v="2"/>
    <x v="5"/>
  </r>
  <r>
    <n v="1053"/>
    <x v="430"/>
    <d v="2026-08-01T00:00:00"/>
    <n v="32"/>
    <n v="1"/>
    <n v="2"/>
    <n v="6400"/>
    <n v="0.05"/>
    <n v="6080"/>
    <x v="0"/>
    <x v="0"/>
    <n v="4"/>
    <s v="Nordeste Encantado"/>
    <x v="2"/>
    <x v="3"/>
  </r>
  <r>
    <n v="1054"/>
    <x v="430"/>
    <d v="2026-05-27T00:00:00"/>
    <n v="191"/>
    <n v="7"/>
    <n v="2"/>
    <n v="8400"/>
    <n v="0"/>
    <n v="8400"/>
    <x v="0"/>
    <x v="0"/>
    <n v="5"/>
    <s v="Buenos Aires Clássica"/>
    <x v="4"/>
    <x v="1"/>
  </r>
  <r>
    <n v="1055"/>
    <x v="430"/>
    <d v="2026-05-26T00:00:00"/>
    <n v="50"/>
    <n v="1"/>
    <n v="2"/>
    <n v="6400"/>
    <n v="0"/>
    <n v="6400"/>
    <x v="1"/>
    <x v="1"/>
    <m/>
    <s v="Nordeste Encantado"/>
    <x v="2"/>
    <x v="1"/>
  </r>
  <r>
    <n v="1056"/>
    <x v="430"/>
    <d v="2026-06-07T00:00:00"/>
    <n v="17"/>
    <n v="5"/>
    <n v="5"/>
    <n v="17000"/>
    <n v="0.05"/>
    <n v="16150"/>
    <x v="1"/>
    <x v="0"/>
    <n v="3"/>
    <s v="Bonito Aventura"/>
    <x v="1"/>
    <x v="0"/>
  </r>
  <r>
    <n v="1057"/>
    <x v="430"/>
    <d v="2026-05-24T00:00:00"/>
    <n v="47"/>
    <n v="7"/>
    <n v="1"/>
    <n v="4200"/>
    <n v="0"/>
    <n v="4200"/>
    <x v="2"/>
    <x v="1"/>
    <m/>
    <s v="Buenos Aires Clássica"/>
    <x v="4"/>
    <x v="5"/>
  </r>
  <r>
    <n v="1058"/>
    <x v="431"/>
    <d v="2026-07-18T00:00:00"/>
    <n v="132"/>
    <n v="7"/>
    <n v="4"/>
    <n v="16800"/>
    <n v="0"/>
    <n v="16800"/>
    <x v="1"/>
    <x v="0"/>
    <n v="5"/>
    <s v="Buenos Aires Clássica"/>
    <x v="4"/>
    <x v="6"/>
  </r>
  <r>
    <n v="1059"/>
    <x v="432"/>
    <d v="2026-09-06T00:00:00"/>
    <n v="12"/>
    <n v="9"/>
    <n v="1"/>
    <n v="8900"/>
    <n v="0"/>
    <n v="8900"/>
    <x v="3"/>
    <x v="0"/>
    <n v="3"/>
    <s v="Cancún All Inclusive"/>
    <x v="2"/>
    <x v="0"/>
  </r>
  <r>
    <n v="1060"/>
    <x v="432"/>
    <d v="2026-10-16T00:00:00"/>
    <n v="37"/>
    <n v="12"/>
    <n v="5"/>
    <n v="62000"/>
    <n v="0.15"/>
    <n v="52700"/>
    <x v="3"/>
    <x v="0"/>
    <m/>
    <s v="Lisboa e Porto"/>
    <x v="4"/>
    <x v="2"/>
  </r>
  <r>
    <n v="1061"/>
    <x v="432"/>
    <d v="2026-05-27T00:00:00"/>
    <n v="163"/>
    <n v="1"/>
    <n v="2"/>
    <n v="6400"/>
    <n v="0.1"/>
    <n v="5760"/>
    <x v="3"/>
    <x v="1"/>
    <m/>
    <s v="Nordeste Encantado"/>
    <x v="2"/>
    <x v="2"/>
  </r>
  <r>
    <n v="1062"/>
    <x v="433"/>
    <d v="2026-06-17T00:00:00"/>
    <n v="140"/>
    <n v="5"/>
    <n v="1"/>
    <n v="3400"/>
    <n v="0"/>
    <n v="3400"/>
    <x v="1"/>
    <x v="1"/>
    <m/>
    <s v="Bonito Aventura"/>
    <x v="1"/>
    <x v="0"/>
  </r>
  <r>
    <n v="1063"/>
    <x v="433"/>
    <d v="2026-05-29T00:00:00"/>
    <n v="92"/>
    <n v="1"/>
    <n v="4"/>
    <n v="12800"/>
    <n v="0"/>
    <n v="12800"/>
    <x v="0"/>
    <x v="0"/>
    <n v="4"/>
    <s v="Nordeste Encantado"/>
    <x v="2"/>
    <x v="1"/>
  </r>
  <r>
    <n v="1064"/>
    <x v="434"/>
    <d v="2026-07-15T00:00:00"/>
    <n v="89"/>
    <n v="2"/>
    <n v="3"/>
    <n v="5400"/>
    <n v="0.05"/>
    <n v="5130"/>
    <x v="0"/>
    <x v="0"/>
    <n v="5"/>
    <s v="Rio Cidade Maravilhosa"/>
    <x v="4"/>
    <x v="4"/>
  </r>
  <r>
    <n v="1065"/>
    <x v="434"/>
    <d v="2026-06-25T00:00:00"/>
    <n v="36"/>
    <n v="9"/>
    <n v="3"/>
    <n v="26700"/>
    <n v="0"/>
    <n v="26700"/>
    <x v="1"/>
    <x v="1"/>
    <m/>
    <s v="Cancún All Inclusive"/>
    <x v="2"/>
    <x v="1"/>
  </r>
  <r>
    <n v="1066"/>
    <x v="434"/>
    <d v="2026-05-30T00:00:00"/>
    <n v="188"/>
    <n v="15"/>
    <n v="1"/>
    <n v="3100"/>
    <n v="0"/>
    <n v="3100"/>
    <x v="2"/>
    <x v="0"/>
    <n v="5"/>
    <s v="Jericoacoara"/>
    <x v="2"/>
    <x v="1"/>
  </r>
  <r>
    <n v="1067"/>
    <x v="435"/>
    <d v="2026-06-04T00:00:00"/>
    <n v="77"/>
    <n v="5"/>
    <n v="2"/>
    <n v="6800"/>
    <n v="0"/>
    <n v="6800"/>
    <x v="0"/>
    <x v="0"/>
    <n v="4"/>
    <s v="Bonito Aventura"/>
    <x v="1"/>
    <x v="0"/>
  </r>
  <r>
    <n v="1068"/>
    <x v="435"/>
    <d v="2026-07-18T00:00:00"/>
    <n v="97"/>
    <n v="7"/>
    <n v="3"/>
    <n v="12600"/>
    <n v="0"/>
    <n v="12600"/>
    <x v="3"/>
    <x v="0"/>
    <n v="1"/>
    <s v="Buenos Aires Clássica"/>
    <x v="4"/>
    <x v="1"/>
  </r>
  <r>
    <n v="1069"/>
    <x v="435"/>
    <d v="2026-07-28T00:00:00"/>
    <n v="64"/>
    <n v="1"/>
    <n v="2"/>
    <n v="6400"/>
    <n v="0.05"/>
    <n v="6080"/>
    <x v="3"/>
    <x v="0"/>
    <n v="3"/>
    <s v="Nordeste Encantado"/>
    <x v="2"/>
    <x v="7"/>
  </r>
  <r>
    <n v="1070"/>
    <x v="436"/>
    <d v="2026-06-05T00:00:00"/>
    <n v="43"/>
    <n v="3"/>
    <n v="1"/>
    <n v="2600"/>
    <n v="0"/>
    <n v="2600"/>
    <x v="2"/>
    <x v="1"/>
    <m/>
    <s v="Serra Gaúcha"/>
    <x v="3"/>
    <x v="3"/>
  </r>
  <r>
    <n v="1071"/>
    <x v="436"/>
    <d v="2026-06-09T00:00:00"/>
    <n v="48"/>
    <n v="13"/>
    <n v="2"/>
    <n v="14600"/>
    <n v="0.05"/>
    <n v="13870"/>
    <x v="1"/>
    <x v="0"/>
    <n v="4"/>
    <s v="Machu Picchu"/>
    <x v="1"/>
    <x v="1"/>
  </r>
  <r>
    <n v="1072"/>
    <x v="437"/>
    <d v="2026-06-07T00:00:00"/>
    <n v="9"/>
    <n v="2"/>
    <n v="2"/>
    <n v="3600"/>
    <n v="0"/>
    <n v="3600"/>
    <x v="3"/>
    <x v="1"/>
    <m/>
    <s v="Rio Cidade Maravilhosa"/>
    <x v="4"/>
    <x v="4"/>
  </r>
  <r>
    <n v="1073"/>
    <x v="438"/>
    <d v="2026-06-07T00:00:00"/>
    <n v="165"/>
    <n v="9"/>
    <n v="5"/>
    <n v="44500"/>
    <n v="0"/>
    <n v="44500"/>
    <x v="3"/>
    <x v="0"/>
    <n v="5"/>
    <s v="Cancún All Inclusive"/>
    <x v="2"/>
    <x v="1"/>
  </r>
  <r>
    <n v="1074"/>
    <x v="438"/>
    <d v="2026-08-30T00:00:00"/>
    <n v="34"/>
    <n v="4"/>
    <n v="1"/>
    <n v="6900"/>
    <n v="0.05"/>
    <n v="6555"/>
    <x v="1"/>
    <x v="0"/>
    <n v="4"/>
    <s v="Fernando de Noronha"/>
    <x v="2"/>
    <x v="1"/>
  </r>
  <r>
    <n v="1075"/>
    <x v="439"/>
    <d v="2026-06-06T00:00:00"/>
    <n v="96"/>
    <n v="3"/>
    <n v="2"/>
    <n v="5200"/>
    <n v="0"/>
    <n v="5200"/>
    <x v="0"/>
    <x v="0"/>
    <n v="3"/>
    <s v="Serra Gaúcha"/>
    <x v="3"/>
    <x v="4"/>
  </r>
  <r>
    <n v="1076"/>
    <x v="439"/>
    <d v="2026-07-06T00:00:00"/>
    <n v="71"/>
    <n v="4"/>
    <n v="2"/>
    <n v="13800"/>
    <n v="0.15"/>
    <n v="11730"/>
    <x v="3"/>
    <x v="0"/>
    <n v="3"/>
    <s v="Fernando de Noronha"/>
    <x v="2"/>
    <x v="0"/>
  </r>
  <r>
    <n v="1077"/>
    <x v="439"/>
    <d v="2026-07-03T00:00:00"/>
    <n v="185"/>
    <n v="1"/>
    <n v="1"/>
    <n v="3200"/>
    <n v="0.1"/>
    <n v="2880"/>
    <x v="3"/>
    <x v="0"/>
    <n v="5"/>
    <s v="Nordeste Encantado"/>
    <x v="2"/>
    <x v="1"/>
  </r>
  <r>
    <n v="1078"/>
    <x v="439"/>
    <d v="2026-06-17T00:00:00"/>
    <n v="58"/>
    <n v="1"/>
    <n v="1"/>
    <n v="3200"/>
    <n v="0.1"/>
    <n v="2880"/>
    <x v="2"/>
    <x v="0"/>
    <n v="5"/>
    <s v="Nordeste Encantado"/>
    <x v="2"/>
    <x v="1"/>
  </r>
  <r>
    <n v="1079"/>
    <x v="439"/>
    <d v="2026-08-14T00:00:00"/>
    <n v="33"/>
    <n v="3"/>
    <n v="2"/>
    <n v="5200"/>
    <n v="0.05"/>
    <n v="4940"/>
    <x v="0"/>
    <x v="0"/>
    <n v="4"/>
    <s v="Serra Gaúcha"/>
    <x v="3"/>
    <x v="3"/>
  </r>
  <r>
    <n v="1080"/>
    <x v="440"/>
    <d v="2026-06-16T00:00:00"/>
    <n v="99"/>
    <n v="7"/>
    <n v="3"/>
    <n v="12600"/>
    <n v="0.1"/>
    <n v="11340"/>
    <x v="3"/>
    <x v="1"/>
    <m/>
    <s v="Buenos Aires Clássica"/>
    <x v="4"/>
    <x v="1"/>
  </r>
  <r>
    <n v="1081"/>
    <x v="440"/>
    <d v="2026-06-12T00:00:00"/>
    <n v="31"/>
    <n v="8"/>
    <n v="2"/>
    <n v="11800"/>
    <n v="0.05"/>
    <n v="11210"/>
    <x v="0"/>
    <x v="0"/>
    <n v="5"/>
    <s v="Santiago e Neve"/>
    <x v="3"/>
    <x v="1"/>
  </r>
  <r>
    <n v="1082"/>
    <x v="441"/>
    <d v="2026-09-02T00:00:00"/>
    <n v="115"/>
    <n v="5"/>
    <n v="2"/>
    <n v="6800"/>
    <n v="0"/>
    <n v="6800"/>
    <x v="0"/>
    <x v="0"/>
    <n v="5"/>
    <s v="Bonito Aventura"/>
    <x v="1"/>
    <x v="1"/>
  </r>
  <r>
    <n v="1083"/>
    <x v="441"/>
    <d v="2026-11-07T00:00:00"/>
    <n v="42"/>
    <n v="10"/>
    <n v="2"/>
    <n v="23000"/>
    <n v="0"/>
    <n v="23000"/>
    <x v="2"/>
    <x v="0"/>
    <m/>
    <s v="Orlando Parques"/>
    <x v="5"/>
    <x v="1"/>
  </r>
  <r>
    <n v="1084"/>
    <x v="442"/>
    <d v="2026-06-10T00:00:00"/>
    <n v="167"/>
    <n v="7"/>
    <n v="1"/>
    <n v="4200"/>
    <n v="0"/>
    <n v="4200"/>
    <x v="1"/>
    <x v="0"/>
    <n v="4"/>
    <s v="Buenos Aires Clássica"/>
    <x v="4"/>
    <x v="1"/>
  </r>
  <r>
    <n v="1085"/>
    <x v="442"/>
    <d v="2026-06-21T00:00:00"/>
    <n v="107"/>
    <n v="1"/>
    <n v="3"/>
    <n v="9600"/>
    <n v="0.05"/>
    <n v="9120"/>
    <x v="0"/>
    <x v="1"/>
    <m/>
    <s v="Nordeste Encantado"/>
    <x v="2"/>
    <x v="2"/>
  </r>
  <r>
    <n v="1086"/>
    <x v="442"/>
    <d v="2026-08-30T00:00:00"/>
    <n v="173"/>
    <n v="6"/>
    <n v="2"/>
    <n v="4200"/>
    <n v="0"/>
    <n v="4200"/>
    <x v="2"/>
    <x v="0"/>
    <n v="5"/>
    <s v="Foz do Iguaçu"/>
    <x v="0"/>
    <x v="5"/>
  </r>
  <r>
    <n v="1087"/>
    <x v="443"/>
    <d v="2026-11-01T00:00:00"/>
    <n v="135"/>
    <n v="15"/>
    <n v="3"/>
    <n v="9300"/>
    <n v="0.1"/>
    <n v="8370"/>
    <x v="3"/>
    <x v="0"/>
    <m/>
    <s v="Jericoacoara"/>
    <x v="2"/>
    <x v="0"/>
  </r>
  <r>
    <n v="1088"/>
    <x v="443"/>
    <d v="2026-11-18T00:00:00"/>
    <n v="121"/>
    <n v="5"/>
    <n v="4"/>
    <n v="13600"/>
    <n v="0"/>
    <n v="13600"/>
    <x v="1"/>
    <x v="0"/>
    <m/>
    <s v="Bonito Aventura"/>
    <x v="1"/>
    <x v="6"/>
  </r>
  <r>
    <n v="1089"/>
    <x v="443"/>
    <d v="2026-07-24T00:00:00"/>
    <n v="114"/>
    <n v="1"/>
    <n v="1"/>
    <n v="3200"/>
    <n v="0.05"/>
    <n v="3040"/>
    <x v="2"/>
    <x v="0"/>
    <n v="5"/>
    <s v="Nordeste Encantado"/>
    <x v="2"/>
    <x v="1"/>
  </r>
  <r>
    <n v="1090"/>
    <x v="443"/>
    <d v="2026-06-16T00:00:00"/>
    <n v="153"/>
    <n v="6"/>
    <n v="1"/>
    <n v="2100"/>
    <n v="0"/>
    <n v="2100"/>
    <x v="2"/>
    <x v="0"/>
    <n v="2"/>
    <s v="Foz do Iguaçu"/>
    <x v="0"/>
    <x v="1"/>
  </r>
  <r>
    <n v="1091"/>
    <x v="443"/>
    <d v="2026-06-27T00:00:00"/>
    <n v="6"/>
    <n v="7"/>
    <n v="2"/>
    <n v="8400"/>
    <n v="0.05"/>
    <n v="7980"/>
    <x v="2"/>
    <x v="0"/>
    <n v="5"/>
    <s v="Buenos Aires Clássica"/>
    <x v="4"/>
    <x v="1"/>
  </r>
  <r>
    <n v="1092"/>
    <x v="444"/>
    <d v="2026-07-18T00:00:00"/>
    <n v="121"/>
    <n v="14"/>
    <n v="1"/>
    <n v="2900"/>
    <n v="0"/>
    <n v="2900"/>
    <x v="0"/>
    <x v="0"/>
    <n v="4"/>
    <s v="Lençóis Maranhenses"/>
    <x v="0"/>
    <x v="6"/>
  </r>
  <r>
    <n v="1093"/>
    <x v="445"/>
    <d v="2026-07-18T00:00:00"/>
    <n v="176"/>
    <n v="3"/>
    <n v="1"/>
    <n v="2600"/>
    <n v="0"/>
    <n v="2600"/>
    <x v="3"/>
    <x v="0"/>
    <n v="3"/>
    <s v="Serra Gaúcha"/>
    <x v="3"/>
    <x v="1"/>
  </r>
  <r>
    <n v="1094"/>
    <x v="446"/>
    <d v="2026-09-28T00:00:00"/>
    <n v="140"/>
    <n v="7"/>
    <n v="1"/>
    <n v="4200"/>
    <n v="0"/>
    <n v="4200"/>
    <x v="0"/>
    <x v="0"/>
    <m/>
    <s v="Buenos Aires Clássica"/>
    <x v="4"/>
    <x v="0"/>
  </r>
  <r>
    <n v="1095"/>
    <x v="446"/>
    <d v="2026-07-02T00:00:00"/>
    <n v="14"/>
    <n v="2"/>
    <n v="3"/>
    <n v="5400"/>
    <n v="0"/>
    <n v="5400"/>
    <x v="1"/>
    <x v="0"/>
    <n v="4"/>
    <s v="Rio Cidade Maravilhosa"/>
    <x v="4"/>
    <x v="7"/>
  </r>
  <r>
    <n v="1096"/>
    <x v="446"/>
    <d v="2026-06-28T00:00:00"/>
    <n v="182"/>
    <n v="1"/>
    <n v="2"/>
    <n v="6400"/>
    <n v="0.15"/>
    <n v="5440"/>
    <x v="0"/>
    <x v="0"/>
    <n v="2"/>
    <s v="Nordeste Encantado"/>
    <x v="2"/>
    <x v="4"/>
  </r>
  <r>
    <n v="1097"/>
    <x v="446"/>
    <d v="2026-08-28T00:00:00"/>
    <n v="99"/>
    <n v="14"/>
    <n v="2"/>
    <n v="5800"/>
    <n v="0"/>
    <n v="5800"/>
    <x v="1"/>
    <x v="0"/>
    <n v="4"/>
    <s v="Lençóis Maranhenses"/>
    <x v="0"/>
    <x v="1"/>
  </r>
  <r>
    <n v="1098"/>
    <x v="446"/>
    <d v="2026-08-13T00:00:00"/>
    <n v="30"/>
    <n v="8"/>
    <n v="4"/>
    <n v="23600"/>
    <n v="0.05"/>
    <n v="22420"/>
    <x v="0"/>
    <x v="1"/>
    <m/>
    <s v="Santiago e Neve"/>
    <x v="3"/>
    <x v="1"/>
  </r>
  <r>
    <n v="1099"/>
    <x v="447"/>
    <d v="2026-11-15T00:00:00"/>
    <n v="174"/>
    <n v="10"/>
    <n v="4"/>
    <n v="46000"/>
    <n v="0"/>
    <n v="46000"/>
    <x v="3"/>
    <x v="0"/>
    <m/>
    <s v="Orlando Parques"/>
    <x v="5"/>
    <x v="1"/>
  </r>
  <r>
    <n v="1100"/>
    <x v="447"/>
    <d v="2026-06-13T00:00:00"/>
    <n v="191"/>
    <n v="8"/>
    <n v="1"/>
    <n v="5900"/>
    <n v="0"/>
    <n v="5900"/>
    <x v="3"/>
    <x v="0"/>
    <n v="1"/>
    <s v="Santiago e Neve"/>
    <x v="3"/>
    <x v="1"/>
  </r>
  <r>
    <n v="1101"/>
    <x v="447"/>
    <d v="2026-07-21T00:00:00"/>
    <n v="97"/>
    <n v="4"/>
    <n v="3"/>
    <n v="20700"/>
    <n v="0"/>
    <n v="20700"/>
    <x v="3"/>
    <x v="1"/>
    <m/>
    <s v="Fernando de Noronha"/>
    <x v="2"/>
    <x v="1"/>
  </r>
  <r>
    <n v="1102"/>
    <x v="448"/>
    <d v="2026-08-05T00:00:00"/>
    <n v="172"/>
    <n v="1"/>
    <n v="1"/>
    <n v="3200"/>
    <n v="0.15"/>
    <n v="2720"/>
    <x v="1"/>
    <x v="0"/>
    <n v="4"/>
    <s v="Nordeste Encantado"/>
    <x v="2"/>
    <x v="2"/>
  </r>
  <r>
    <n v="1103"/>
    <x v="448"/>
    <d v="2026-11-02T00:00:00"/>
    <n v="115"/>
    <n v="7"/>
    <n v="2"/>
    <n v="8400"/>
    <n v="0.1"/>
    <n v="7560"/>
    <x v="1"/>
    <x v="1"/>
    <m/>
    <s v="Buenos Aires Clássica"/>
    <x v="4"/>
    <x v="1"/>
  </r>
  <r>
    <n v="1104"/>
    <x v="448"/>
    <d v="2026-08-25T00:00:00"/>
    <n v="43"/>
    <n v="5"/>
    <n v="1"/>
    <n v="3400"/>
    <n v="0"/>
    <n v="3400"/>
    <x v="2"/>
    <x v="0"/>
    <n v="2"/>
    <s v="Bonito Aventura"/>
    <x v="1"/>
    <x v="3"/>
  </r>
  <r>
    <n v="1105"/>
    <x v="448"/>
    <d v="2026-07-28T00:00:00"/>
    <n v="154"/>
    <n v="3"/>
    <n v="4"/>
    <n v="10400"/>
    <n v="0.1"/>
    <n v="9360"/>
    <x v="1"/>
    <x v="0"/>
    <n v="4"/>
    <s v="Serra Gaúcha"/>
    <x v="3"/>
    <x v="2"/>
  </r>
  <r>
    <n v="1106"/>
    <x v="448"/>
    <d v="2026-06-16T00:00:00"/>
    <n v="45"/>
    <n v="7"/>
    <n v="4"/>
    <n v="16800"/>
    <n v="0"/>
    <n v="16800"/>
    <x v="0"/>
    <x v="0"/>
    <n v="4"/>
    <s v="Buenos Aires Clássica"/>
    <x v="4"/>
    <x v="1"/>
  </r>
  <r>
    <n v="1107"/>
    <x v="448"/>
    <d v="2026-06-20T00:00:00"/>
    <n v="134"/>
    <n v="1"/>
    <n v="3"/>
    <n v="9600"/>
    <n v="0"/>
    <n v="9600"/>
    <x v="0"/>
    <x v="0"/>
    <n v="4"/>
    <s v="Nordeste Encantado"/>
    <x v="2"/>
    <x v="4"/>
  </r>
  <r>
    <n v="1108"/>
    <x v="448"/>
    <d v="2026-07-27T00:00:00"/>
    <n v="94"/>
    <n v="15"/>
    <n v="2"/>
    <n v="6200"/>
    <n v="0.1"/>
    <n v="5580"/>
    <x v="3"/>
    <x v="0"/>
    <n v="4"/>
    <s v="Jericoacoara"/>
    <x v="2"/>
    <x v="0"/>
  </r>
  <r>
    <n v="1109"/>
    <x v="449"/>
    <d v="2026-06-28T00:00:00"/>
    <n v="22"/>
    <n v="14"/>
    <n v="2"/>
    <n v="5800"/>
    <n v="0.1"/>
    <n v="5220"/>
    <x v="3"/>
    <x v="1"/>
    <m/>
    <s v="Lençóis Maranhenses"/>
    <x v="0"/>
    <x v="1"/>
  </r>
  <r>
    <n v="1110"/>
    <x v="449"/>
    <d v="2026-08-20T00:00:00"/>
    <n v="35"/>
    <n v="9"/>
    <n v="2"/>
    <n v="17800"/>
    <n v="0.15"/>
    <n v="15130"/>
    <x v="0"/>
    <x v="0"/>
    <n v="5"/>
    <s v="Cancún All Inclusive"/>
    <x v="2"/>
    <x v="2"/>
  </r>
  <r>
    <n v="1111"/>
    <x v="449"/>
    <d v="2026-08-01T00:00:00"/>
    <n v="153"/>
    <n v="10"/>
    <n v="3"/>
    <n v="34500"/>
    <n v="0.1"/>
    <n v="31050"/>
    <x v="2"/>
    <x v="0"/>
    <n v="5"/>
    <s v="Orlando Parques"/>
    <x v="5"/>
    <x v="1"/>
  </r>
  <r>
    <n v="1112"/>
    <x v="449"/>
    <d v="2026-08-23T00:00:00"/>
    <n v="75"/>
    <n v="15"/>
    <n v="2"/>
    <n v="6200"/>
    <n v="0.1"/>
    <n v="5580"/>
    <x v="2"/>
    <x v="0"/>
    <n v="5"/>
    <s v="Jericoacoara"/>
    <x v="2"/>
    <x v="6"/>
  </r>
  <r>
    <n v="1113"/>
    <x v="449"/>
    <d v="2026-08-02T00:00:00"/>
    <n v="87"/>
    <n v="4"/>
    <n v="2"/>
    <n v="13800"/>
    <n v="0.1"/>
    <n v="12420"/>
    <x v="1"/>
    <x v="0"/>
    <n v="3"/>
    <s v="Fernando de Noronha"/>
    <x v="2"/>
    <x v="1"/>
  </r>
  <r>
    <n v="1114"/>
    <x v="449"/>
    <d v="2026-06-28T00:00:00"/>
    <n v="200"/>
    <n v="3"/>
    <n v="2"/>
    <n v="5200"/>
    <n v="0.05"/>
    <n v="4940"/>
    <x v="3"/>
    <x v="0"/>
    <n v="5"/>
    <s v="Serra Gaúcha"/>
    <x v="3"/>
    <x v="3"/>
  </r>
  <r>
    <n v="1115"/>
    <x v="450"/>
    <d v="2026-06-27T00:00:00"/>
    <n v="176"/>
    <n v="1"/>
    <n v="2"/>
    <n v="6400"/>
    <n v="0"/>
    <n v="6400"/>
    <x v="1"/>
    <x v="0"/>
    <n v="2"/>
    <s v="Nordeste Encantado"/>
    <x v="2"/>
    <x v="1"/>
  </r>
  <r>
    <n v="1116"/>
    <x v="450"/>
    <d v="2026-07-15T00:00:00"/>
    <n v="93"/>
    <n v="15"/>
    <n v="3"/>
    <n v="9300"/>
    <n v="0.15"/>
    <n v="7905"/>
    <x v="0"/>
    <x v="1"/>
    <m/>
    <s v="Jericoacoara"/>
    <x v="2"/>
    <x v="2"/>
  </r>
  <r>
    <n v="1117"/>
    <x v="450"/>
    <d v="2026-12-05T00:00:00"/>
    <n v="54"/>
    <n v="3"/>
    <n v="4"/>
    <n v="10400"/>
    <n v="0.1"/>
    <n v="9360"/>
    <x v="1"/>
    <x v="0"/>
    <m/>
    <s v="Serra Gaúcha"/>
    <x v="3"/>
    <x v="0"/>
  </r>
  <r>
    <n v="1118"/>
    <x v="450"/>
    <d v="2026-08-10T00:00:00"/>
    <n v="67"/>
    <n v="7"/>
    <n v="2"/>
    <n v="8400"/>
    <n v="0.05"/>
    <n v="7980"/>
    <x v="3"/>
    <x v="1"/>
    <m/>
    <s v="Buenos Aires Clássica"/>
    <x v="4"/>
    <x v="0"/>
  </r>
  <r>
    <n v="1119"/>
    <x v="450"/>
    <d v="2026-07-06T00:00:00"/>
    <n v="27"/>
    <n v="6"/>
    <n v="1"/>
    <n v="2100"/>
    <n v="0.1"/>
    <n v="1890"/>
    <x v="2"/>
    <x v="0"/>
    <n v="2"/>
    <s v="Foz do Iguaçu"/>
    <x v="0"/>
    <x v="3"/>
  </r>
  <r>
    <n v="1120"/>
    <x v="450"/>
    <d v="2026-07-28T00:00:00"/>
    <n v="180"/>
    <n v="6"/>
    <n v="4"/>
    <n v="8400"/>
    <n v="0"/>
    <n v="8400"/>
    <x v="1"/>
    <x v="0"/>
    <n v="5"/>
    <s v="Foz do Iguaçu"/>
    <x v="0"/>
    <x v="3"/>
  </r>
  <r>
    <n v="1121"/>
    <x v="451"/>
    <d v="2026-09-22T00:00:00"/>
    <n v="59"/>
    <n v="6"/>
    <n v="4"/>
    <n v="8400"/>
    <n v="0"/>
    <n v="8400"/>
    <x v="0"/>
    <x v="0"/>
    <n v="5"/>
    <s v="Foz do Iguaçu"/>
    <x v="0"/>
    <x v="2"/>
  </r>
  <r>
    <n v="1122"/>
    <x v="451"/>
    <d v="2026-06-17T00:00:00"/>
    <n v="38"/>
    <n v="7"/>
    <n v="2"/>
    <n v="8400"/>
    <n v="0.05"/>
    <n v="7980"/>
    <x v="1"/>
    <x v="0"/>
    <n v="4"/>
    <s v="Buenos Aires Clássica"/>
    <x v="4"/>
    <x v="1"/>
  </r>
  <r>
    <n v="1123"/>
    <x v="451"/>
    <d v="2026-08-11T00:00:00"/>
    <n v="173"/>
    <n v="12"/>
    <n v="1"/>
    <n v="12400"/>
    <n v="0.05"/>
    <n v="11780"/>
    <x v="2"/>
    <x v="1"/>
    <m/>
    <s v="Lisboa e Porto"/>
    <x v="4"/>
    <x v="5"/>
  </r>
  <r>
    <n v="1124"/>
    <x v="451"/>
    <d v="2026-08-30T00:00:00"/>
    <n v="30"/>
    <n v="4"/>
    <n v="4"/>
    <n v="27600"/>
    <n v="0.05"/>
    <n v="26220"/>
    <x v="0"/>
    <x v="0"/>
    <n v="5"/>
    <s v="Fernando de Noronha"/>
    <x v="2"/>
    <x v="1"/>
  </r>
  <r>
    <n v="1125"/>
    <x v="452"/>
    <d v="2026-06-18T00:00:00"/>
    <n v="64"/>
    <n v="13"/>
    <n v="2"/>
    <n v="14600"/>
    <n v="0"/>
    <n v="14600"/>
    <x v="3"/>
    <x v="0"/>
    <n v="2"/>
    <s v="Machu Picchu"/>
    <x v="1"/>
    <x v="7"/>
  </r>
  <r>
    <n v="1126"/>
    <x v="452"/>
    <d v="2026-10-30T00:00:00"/>
    <n v="137"/>
    <n v="6"/>
    <n v="1"/>
    <n v="2100"/>
    <n v="0.05"/>
    <n v="1995"/>
    <x v="1"/>
    <x v="0"/>
    <m/>
    <s v="Foz do Iguaçu"/>
    <x v="0"/>
    <x v="1"/>
  </r>
  <r>
    <n v="1127"/>
    <x v="453"/>
    <d v="2026-11-23T00:00:00"/>
    <n v="191"/>
    <n v="1"/>
    <n v="3"/>
    <n v="9600"/>
    <n v="0"/>
    <n v="9600"/>
    <x v="1"/>
    <x v="0"/>
    <m/>
    <s v="Nordeste Encantado"/>
    <x v="2"/>
    <x v="1"/>
  </r>
  <r>
    <n v="1128"/>
    <x v="453"/>
    <d v="2026-09-01T00:00:00"/>
    <n v="120"/>
    <n v="1"/>
    <n v="2"/>
    <n v="6400"/>
    <n v="0.1"/>
    <n v="5760"/>
    <x v="0"/>
    <x v="0"/>
    <n v="4"/>
    <s v="Nordeste Encantado"/>
    <x v="2"/>
    <x v="3"/>
  </r>
  <r>
    <n v="1129"/>
    <x v="454"/>
    <d v="2026-07-17T00:00:00"/>
    <n v="188"/>
    <n v="6"/>
    <n v="1"/>
    <n v="2100"/>
    <n v="0"/>
    <n v="2100"/>
    <x v="2"/>
    <x v="0"/>
    <n v="4"/>
    <s v="Foz do Iguaçu"/>
    <x v="0"/>
    <x v="1"/>
  </r>
  <r>
    <n v="1130"/>
    <x v="454"/>
    <d v="2026-12-10T00:00:00"/>
    <n v="121"/>
    <n v="15"/>
    <n v="2"/>
    <n v="6200"/>
    <n v="0.1"/>
    <n v="5580"/>
    <x v="0"/>
    <x v="1"/>
    <m/>
    <s v="Jericoacoara"/>
    <x v="2"/>
    <x v="6"/>
  </r>
  <r>
    <n v="1131"/>
    <x v="454"/>
    <d v="2026-08-15T00:00:00"/>
    <n v="158"/>
    <n v="7"/>
    <n v="4"/>
    <n v="16800"/>
    <n v="0"/>
    <n v="16800"/>
    <x v="3"/>
    <x v="0"/>
    <n v="5"/>
    <s v="Buenos Aires Clássica"/>
    <x v="4"/>
    <x v="6"/>
  </r>
  <r>
    <n v="1132"/>
    <x v="454"/>
    <d v="2026-07-03T00:00:00"/>
    <n v="174"/>
    <n v="9"/>
    <n v="2"/>
    <n v="17800"/>
    <n v="0"/>
    <n v="17800"/>
    <x v="1"/>
    <x v="1"/>
    <m/>
    <s v="Cancún All Inclusive"/>
    <x v="2"/>
    <x v="1"/>
  </r>
  <r>
    <n v="1133"/>
    <x v="455"/>
    <d v="2026-07-06T00:00:00"/>
    <n v="80"/>
    <n v="3"/>
    <n v="1"/>
    <n v="2600"/>
    <n v="0.05"/>
    <n v="2470"/>
    <x v="1"/>
    <x v="0"/>
    <n v="3"/>
    <s v="Serra Gaúcha"/>
    <x v="3"/>
    <x v="1"/>
  </r>
  <r>
    <n v="1134"/>
    <x v="455"/>
    <d v="2026-07-22T00:00:00"/>
    <n v="196"/>
    <n v="12"/>
    <n v="1"/>
    <n v="12400"/>
    <n v="0"/>
    <n v="12400"/>
    <x v="3"/>
    <x v="0"/>
    <n v="4"/>
    <s v="Lisboa e Porto"/>
    <x v="4"/>
    <x v="2"/>
  </r>
  <r>
    <n v="1135"/>
    <x v="456"/>
    <d v="2026-06-24T00:00:00"/>
    <n v="18"/>
    <n v="2"/>
    <n v="2"/>
    <n v="3600"/>
    <n v="0"/>
    <n v="3600"/>
    <x v="1"/>
    <x v="1"/>
    <m/>
    <s v="Rio Cidade Maravilhosa"/>
    <x v="4"/>
    <x v="3"/>
  </r>
  <r>
    <n v="1136"/>
    <x v="456"/>
    <d v="2026-08-15T00:00:00"/>
    <n v="80"/>
    <n v="2"/>
    <n v="3"/>
    <n v="5400"/>
    <n v="0.05"/>
    <n v="5130"/>
    <x v="0"/>
    <x v="0"/>
    <n v="5"/>
    <s v="Rio Cidade Maravilhosa"/>
    <x v="4"/>
    <x v="1"/>
  </r>
  <r>
    <n v="1137"/>
    <x v="456"/>
    <d v="2026-09-30T00:00:00"/>
    <n v="74"/>
    <n v="5"/>
    <n v="1"/>
    <n v="3400"/>
    <n v="0"/>
    <n v="3400"/>
    <x v="0"/>
    <x v="0"/>
    <m/>
    <s v="Bonito Aventura"/>
    <x v="1"/>
    <x v="1"/>
  </r>
  <r>
    <n v="1138"/>
    <x v="456"/>
    <d v="2026-06-27T00:00:00"/>
    <n v="184"/>
    <n v="10"/>
    <n v="2"/>
    <n v="23000"/>
    <n v="0"/>
    <n v="23000"/>
    <x v="0"/>
    <x v="0"/>
    <n v="4"/>
    <s v="Orlando Parques"/>
    <x v="5"/>
    <x v="1"/>
  </r>
  <r>
    <n v="1139"/>
    <x v="456"/>
    <d v="2026-07-07T00:00:00"/>
    <n v="16"/>
    <n v="13"/>
    <n v="3"/>
    <n v="21900"/>
    <n v="0"/>
    <n v="21900"/>
    <x v="1"/>
    <x v="0"/>
    <n v="4"/>
    <s v="Machu Picchu"/>
    <x v="1"/>
    <x v="2"/>
  </r>
  <r>
    <n v="1140"/>
    <x v="456"/>
    <d v="2026-08-04T00:00:00"/>
    <n v="171"/>
    <n v="2"/>
    <n v="1"/>
    <n v="1800"/>
    <n v="0.1"/>
    <n v="1620"/>
    <x v="1"/>
    <x v="0"/>
    <n v="5"/>
    <s v="Rio Cidade Maravilhosa"/>
    <x v="4"/>
    <x v="1"/>
  </r>
  <r>
    <n v="1141"/>
    <x v="457"/>
    <d v="2026-06-28T00:00:00"/>
    <n v="130"/>
    <n v="3"/>
    <n v="1"/>
    <n v="2600"/>
    <n v="0"/>
    <n v="2600"/>
    <x v="1"/>
    <x v="0"/>
    <n v="4"/>
    <s v="Serra Gaúcha"/>
    <x v="3"/>
    <x v="1"/>
  </r>
  <r>
    <n v="1142"/>
    <x v="457"/>
    <d v="2026-07-18T00:00:00"/>
    <n v="19"/>
    <n v="7"/>
    <n v="2"/>
    <n v="8400"/>
    <n v="0.1"/>
    <n v="7560"/>
    <x v="0"/>
    <x v="0"/>
    <n v="4"/>
    <s v="Buenos Aires Clássica"/>
    <x v="4"/>
    <x v="1"/>
  </r>
  <r>
    <n v="1143"/>
    <x v="457"/>
    <d v="2026-11-30T00:00:00"/>
    <n v="82"/>
    <n v="14"/>
    <n v="2"/>
    <n v="5800"/>
    <n v="0"/>
    <n v="5800"/>
    <x v="0"/>
    <x v="0"/>
    <m/>
    <s v="Lençóis Maranhenses"/>
    <x v="0"/>
    <x v="1"/>
  </r>
  <r>
    <n v="1144"/>
    <x v="457"/>
    <d v="2026-07-28T00:00:00"/>
    <n v="37"/>
    <n v="2"/>
    <n v="4"/>
    <n v="7200"/>
    <n v="0"/>
    <n v="7200"/>
    <x v="0"/>
    <x v="0"/>
    <n v="5"/>
    <s v="Rio Cidade Maravilhosa"/>
    <x v="4"/>
    <x v="2"/>
  </r>
  <r>
    <n v="1145"/>
    <x v="457"/>
    <d v="2026-08-29T00:00:00"/>
    <n v="20"/>
    <n v="15"/>
    <n v="2"/>
    <n v="6200"/>
    <n v="0"/>
    <n v="6200"/>
    <x v="0"/>
    <x v="1"/>
    <m/>
    <s v="Jericoacoara"/>
    <x v="2"/>
    <x v="3"/>
  </r>
  <r>
    <n v="1146"/>
    <x v="458"/>
    <d v="2026-07-06T00:00:00"/>
    <n v="120"/>
    <n v="6"/>
    <n v="3"/>
    <n v="6300"/>
    <n v="0"/>
    <n v="6300"/>
    <x v="3"/>
    <x v="0"/>
    <n v="4"/>
    <s v="Foz do Iguaçu"/>
    <x v="0"/>
    <x v="3"/>
  </r>
  <r>
    <n v="1147"/>
    <x v="458"/>
    <d v="2026-07-13T00:00:00"/>
    <n v="103"/>
    <n v="1"/>
    <n v="2"/>
    <n v="6400"/>
    <n v="0.15"/>
    <n v="5440"/>
    <x v="0"/>
    <x v="0"/>
    <n v="4"/>
    <s v="Nordeste Encantado"/>
    <x v="2"/>
    <x v="1"/>
  </r>
  <r>
    <n v="1148"/>
    <x v="458"/>
    <d v="2026-08-04T00:00:00"/>
    <n v="39"/>
    <n v="6"/>
    <n v="2"/>
    <n v="4200"/>
    <n v="0"/>
    <n v="4200"/>
    <x v="0"/>
    <x v="1"/>
    <m/>
    <s v="Foz do Iguaçu"/>
    <x v="0"/>
    <x v="0"/>
  </r>
  <r>
    <n v="1149"/>
    <x v="458"/>
    <d v="2026-08-18T00:00:00"/>
    <n v="128"/>
    <n v="6"/>
    <n v="4"/>
    <n v="8400"/>
    <n v="0.1"/>
    <n v="7560"/>
    <x v="3"/>
    <x v="0"/>
    <n v="4"/>
    <s v="Foz do Iguaçu"/>
    <x v="0"/>
    <x v="2"/>
  </r>
  <r>
    <n v="1150"/>
    <x v="458"/>
    <d v="2026-07-18T00:00:00"/>
    <n v="195"/>
    <n v="13"/>
    <n v="2"/>
    <n v="14600"/>
    <n v="0.05"/>
    <n v="13870"/>
    <x v="1"/>
    <x v="0"/>
    <n v="1"/>
    <s v="Machu Picchu"/>
    <x v="1"/>
    <x v="0"/>
  </r>
  <r>
    <n v="1151"/>
    <x v="459"/>
    <d v="2026-09-07T00:00:00"/>
    <n v="83"/>
    <n v="6"/>
    <n v="3"/>
    <n v="6300"/>
    <n v="0.1"/>
    <n v="5670"/>
    <x v="0"/>
    <x v="0"/>
    <n v="2"/>
    <s v="Foz do Iguaçu"/>
    <x v="0"/>
    <x v="1"/>
  </r>
  <r>
    <n v="1152"/>
    <x v="459"/>
    <d v="2026-08-28T00:00:00"/>
    <n v="17"/>
    <n v="9"/>
    <n v="2"/>
    <n v="17800"/>
    <n v="0"/>
    <n v="17800"/>
    <x v="0"/>
    <x v="0"/>
    <n v="5"/>
    <s v="Cancún All Inclusive"/>
    <x v="2"/>
    <x v="0"/>
  </r>
  <r>
    <n v="1153"/>
    <x v="460"/>
    <d v="2026-10-22T00:00:00"/>
    <n v="132"/>
    <n v="9"/>
    <n v="2"/>
    <n v="17800"/>
    <n v="0.15"/>
    <n v="15130"/>
    <x v="1"/>
    <x v="0"/>
    <m/>
    <s v="Cancún All Inclusive"/>
    <x v="2"/>
    <x v="6"/>
  </r>
  <r>
    <n v="1154"/>
    <x v="460"/>
    <d v="2026-09-20T00:00:00"/>
    <n v="82"/>
    <n v="3"/>
    <n v="2"/>
    <n v="5200"/>
    <n v="0"/>
    <n v="5200"/>
    <x v="1"/>
    <x v="0"/>
    <n v="4"/>
    <s v="Serra Gaúcha"/>
    <x v="3"/>
    <x v="1"/>
  </r>
  <r>
    <n v="1155"/>
    <x v="460"/>
    <d v="2026-07-07T00:00:00"/>
    <n v="12"/>
    <n v="3"/>
    <n v="1"/>
    <n v="2600"/>
    <n v="0"/>
    <n v="2600"/>
    <x v="0"/>
    <x v="0"/>
    <n v="5"/>
    <s v="Serra Gaúcha"/>
    <x v="3"/>
    <x v="0"/>
  </r>
  <r>
    <n v="1156"/>
    <x v="460"/>
    <d v="2026-08-30T00:00:00"/>
    <n v="71"/>
    <n v="13"/>
    <n v="4"/>
    <n v="29200"/>
    <n v="0.1"/>
    <n v="26280"/>
    <x v="0"/>
    <x v="1"/>
    <m/>
    <s v="Machu Picchu"/>
    <x v="1"/>
    <x v="0"/>
  </r>
  <r>
    <n v="1157"/>
    <x v="460"/>
    <d v="2026-08-20T00:00:00"/>
    <n v="57"/>
    <n v="1"/>
    <n v="2"/>
    <n v="6400"/>
    <n v="0"/>
    <n v="6400"/>
    <x v="0"/>
    <x v="0"/>
    <n v="3"/>
    <s v="Nordeste Encantado"/>
    <x v="2"/>
    <x v="4"/>
  </r>
  <r>
    <n v="1158"/>
    <x v="461"/>
    <d v="2026-09-10T00:00:00"/>
    <n v="46"/>
    <n v="5"/>
    <n v="3"/>
    <n v="10200"/>
    <n v="0"/>
    <n v="10200"/>
    <x v="3"/>
    <x v="0"/>
    <n v="4"/>
    <s v="Bonito Aventura"/>
    <x v="1"/>
    <x v="0"/>
  </r>
  <r>
    <n v="1159"/>
    <x v="461"/>
    <d v="2026-11-06T00:00:00"/>
    <n v="165"/>
    <n v="5"/>
    <n v="2"/>
    <n v="6800"/>
    <n v="0.1"/>
    <n v="6120"/>
    <x v="3"/>
    <x v="0"/>
    <m/>
    <s v="Bonito Aventura"/>
    <x v="1"/>
    <x v="1"/>
  </r>
  <r>
    <n v="1160"/>
    <x v="461"/>
    <d v="2026-07-14T00:00:00"/>
    <n v="145"/>
    <n v="15"/>
    <n v="4"/>
    <n v="12400"/>
    <n v="0"/>
    <n v="12400"/>
    <x v="3"/>
    <x v="0"/>
    <n v="3"/>
    <s v="Jericoacoara"/>
    <x v="2"/>
    <x v="1"/>
  </r>
  <r>
    <n v="1161"/>
    <x v="461"/>
    <d v="2026-08-05T00:00:00"/>
    <n v="154"/>
    <n v="15"/>
    <n v="1"/>
    <n v="3100"/>
    <n v="0"/>
    <n v="3100"/>
    <x v="1"/>
    <x v="0"/>
    <n v="4"/>
    <s v="Jericoacoara"/>
    <x v="2"/>
    <x v="2"/>
  </r>
  <r>
    <n v="1162"/>
    <x v="461"/>
    <d v="2026-07-13T00:00:00"/>
    <n v="146"/>
    <n v="8"/>
    <n v="3"/>
    <n v="17700"/>
    <n v="0.1"/>
    <n v="15930"/>
    <x v="1"/>
    <x v="0"/>
    <n v="5"/>
    <s v="Santiago e Neve"/>
    <x v="3"/>
    <x v="5"/>
  </r>
  <r>
    <n v="1163"/>
    <x v="462"/>
    <d v="2026-07-29T00:00:00"/>
    <n v="38"/>
    <n v="2"/>
    <n v="1"/>
    <n v="1800"/>
    <n v="0.15"/>
    <n v="1530"/>
    <x v="0"/>
    <x v="0"/>
    <n v="4"/>
    <s v="Rio Cidade Maravilhosa"/>
    <x v="4"/>
    <x v="1"/>
  </r>
  <r>
    <n v="1164"/>
    <x v="462"/>
    <d v="2026-07-15T00:00:00"/>
    <n v="135"/>
    <n v="15"/>
    <n v="3"/>
    <n v="9300"/>
    <n v="0"/>
    <n v="9300"/>
    <x v="0"/>
    <x v="0"/>
    <n v="4"/>
    <s v="Jericoacoara"/>
    <x v="2"/>
    <x v="0"/>
  </r>
  <r>
    <n v="1165"/>
    <x v="462"/>
    <d v="2026-09-07T00:00:00"/>
    <n v="184"/>
    <n v="7"/>
    <n v="2"/>
    <n v="8400"/>
    <n v="0.05"/>
    <n v="7980"/>
    <x v="0"/>
    <x v="0"/>
    <n v="3"/>
    <s v="Buenos Aires Clássica"/>
    <x v="4"/>
    <x v="1"/>
  </r>
  <r>
    <n v="1166"/>
    <x v="463"/>
    <d v="2026-09-03T00:00:00"/>
    <n v="99"/>
    <n v="2"/>
    <n v="2"/>
    <n v="3600"/>
    <n v="0"/>
    <n v="3600"/>
    <x v="0"/>
    <x v="0"/>
    <n v="4"/>
    <s v="Rio Cidade Maravilhosa"/>
    <x v="4"/>
    <x v="1"/>
  </r>
  <r>
    <n v="1167"/>
    <x v="463"/>
    <d v="2026-09-23T00:00:00"/>
    <n v="7"/>
    <n v="11"/>
    <n v="2"/>
    <n v="31600"/>
    <n v="0.05"/>
    <n v="30020"/>
    <x v="1"/>
    <x v="0"/>
    <m/>
    <s v="Paris e Londres"/>
    <x v="4"/>
    <x v="1"/>
  </r>
  <r>
    <n v="1168"/>
    <x v="464"/>
    <d v="2026-08-31T00:00:00"/>
    <n v="35"/>
    <n v="8"/>
    <n v="1"/>
    <n v="5900"/>
    <n v="0"/>
    <n v="5900"/>
    <x v="3"/>
    <x v="0"/>
    <n v="3"/>
    <s v="Santiago e Neve"/>
    <x v="3"/>
    <x v="2"/>
  </r>
  <r>
    <n v="1169"/>
    <x v="465"/>
    <d v="2026-06-30T00:00:00"/>
    <n v="163"/>
    <n v="11"/>
    <n v="2"/>
    <n v="31600"/>
    <n v="0"/>
    <n v="31600"/>
    <x v="0"/>
    <x v="1"/>
    <m/>
    <s v="Paris e Londres"/>
    <x v="4"/>
    <x v="2"/>
  </r>
  <r>
    <n v="1170"/>
    <x v="465"/>
    <d v="2026-07-24T00:00:00"/>
    <n v="199"/>
    <n v="7"/>
    <n v="2"/>
    <n v="8400"/>
    <n v="0"/>
    <n v="8400"/>
    <x v="3"/>
    <x v="0"/>
    <n v="4"/>
    <s v="Buenos Aires Clássica"/>
    <x v="4"/>
    <x v="1"/>
  </r>
  <r>
    <n v="1171"/>
    <x v="466"/>
    <d v="2026-07-09T00:00:00"/>
    <n v="91"/>
    <n v="5"/>
    <n v="2"/>
    <n v="6800"/>
    <n v="0.1"/>
    <n v="6120"/>
    <x v="2"/>
    <x v="0"/>
    <n v="4"/>
    <s v="Bonito Aventura"/>
    <x v="1"/>
    <x v="1"/>
  </r>
  <r>
    <n v="1172"/>
    <x v="466"/>
    <d v="2026-08-05T00:00:00"/>
    <n v="165"/>
    <n v="15"/>
    <n v="3"/>
    <n v="9300"/>
    <n v="0"/>
    <n v="9300"/>
    <x v="0"/>
    <x v="0"/>
    <n v="4"/>
    <s v="Jericoacoara"/>
    <x v="2"/>
    <x v="1"/>
  </r>
  <r>
    <n v="1173"/>
    <x v="467"/>
    <d v="2026-07-09T00:00:00"/>
    <n v="48"/>
    <n v="1"/>
    <n v="1"/>
    <n v="3200"/>
    <n v="0.15"/>
    <n v="2720"/>
    <x v="3"/>
    <x v="0"/>
    <n v="3"/>
    <s v="Nordeste Encantado"/>
    <x v="2"/>
    <x v="1"/>
  </r>
  <r>
    <n v="1174"/>
    <x v="467"/>
    <d v="2026-07-08T00:00:00"/>
    <n v="37"/>
    <n v="7"/>
    <n v="1"/>
    <n v="4200"/>
    <n v="0"/>
    <n v="4200"/>
    <x v="3"/>
    <x v="0"/>
    <n v="2"/>
    <s v="Buenos Aires Clássica"/>
    <x v="4"/>
    <x v="2"/>
  </r>
  <r>
    <n v="1175"/>
    <x v="467"/>
    <d v="2026-09-20T00:00:00"/>
    <n v="104"/>
    <n v="6"/>
    <n v="2"/>
    <n v="4200"/>
    <n v="0"/>
    <n v="4200"/>
    <x v="1"/>
    <x v="0"/>
    <n v="1"/>
    <s v="Foz do Iguaçu"/>
    <x v="0"/>
    <x v="0"/>
  </r>
  <r>
    <n v="1176"/>
    <x v="468"/>
    <d v="2026-07-08T00:00:00"/>
    <n v="136"/>
    <n v="14"/>
    <n v="2"/>
    <n v="5800"/>
    <n v="0"/>
    <n v="5800"/>
    <x v="1"/>
    <x v="0"/>
    <n v="4"/>
    <s v="Lençóis Maranhenses"/>
    <x v="0"/>
    <x v="4"/>
  </r>
  <r>
    <n v="1177"/>
    <x v="469"/>
    <d v="2026-11-12T00:00:00"/>
    <n v="144"/>
    <n v="3"/>
    <n v="1"/>
    <n v="2600"/>
    <n v="0.1"/>
    <n v="2340"/>
    <x v="0"/>
    <x v="0"/>
    <m/>
    <s v="Serra Gaúcha"/>
    <x v="3"/>
    <x v="2"/>
  </r>
  <r>
    <n v="1178"/>
    <x v="469"/>
    <d v="2026-07-18T00:00:00"/>
    <n v="189"/>
    <n v="1"/>
    <n v="2"/>
    <n v="6400"/>
    <n v="0"/>
    <n v="6400"/>
    <x v="3"/>
    <x v="0"/>
    <n v="4"/>
    <s v="Nordeste Encantado"/>
    <x v="2"/>
    <x v="1"/>
  </r>
  <r>
    <n v="1179"/>
    <x v="469"/>
    <d v="2026-09-29T00:00:00"/>
    <n v="71"/>
    <n v="1"/>
    <n v="4"/>
    <n v="12800"/>
    <n v="0.1"/>
    <n v="11520"/>
    <x v="0"/>
    <x v="0"/>
    <m/>
    <s v="Nordeste Encantado"/>
    <x v="2"/>
    <x v="0"/>
  </r>
  <r>
    <n v="1180"/>
    <x v="469"/>
    <d v="2026-09-24T00:00:00"/>
    <n v="48"/>
    <n v="12"/>
    <n v="3"/>
    <n v="37200"/>
    <n v="0.05"/>
    <n v="35340"/>
    <x v="0"/>
    <x v="0"/>
    <m/>
    <s v="Lisboa e Porto"/>
    <x v="4"/>
    <x v="1"/>
  </r>
  <r>
    <n v="1181"/>
    <x v="469"/>
    <d v="2026-07-18T00:00:00"/>
    <n v="191"/>
    <n v="14"/>
    <n v="1"/>
    <n v="2900"/>
    <n v="0"/>
    <n v="2900"/>
    <x v="1"/>
    <x v="0"/>
    <n v="1"/>
    <s v="Lençóis Maranhenses"/>
    <x v="0"/>
    <x v="1"/>
  </r>
  <r>
    <n v="1182"/>
    <x v="470"/>
    <d v="2026-07-11T00:00:00"/>
    <n v="133"/>
    <n v="7"/>
    <n v="2"/>
    <n v="8400"/>
    <n v="0"/>
    <n v="8400"/>
    <x v="0"/>
    <x v="0"/>
    <n v="2"/>
    <s v="Buenos Aires Clássica"/>
    <x v="4"/>
    <x v="1"/>
  </r>
  <r>
    <n v="1183"/>
    <x v="470"/>
    <d v="2026-08-31T00:00:00"/>
    <n v="68"/>
    <n v="5"/>
    <n v="3"/>
    <n v="10200"/>
    <n v="0.1"/>
    <n v="9180"/>
    <x v="2"/>
    <x v="0"/>
    <n v="5"/>
    <s v="Bonito Aventura"/>
    <x v="1"/>
    <x v="5"/>
  </r>
  <r>
    <n v="1184"/>
    <x v="470"/>
    <d v="2026-09-06T00:00:00"/>
    <n v="140"/>
    <n v="2"/>
    <n v="1"/>
    <n v="1800"/>
    <n v="0.05"/>
    <n v="1710"/>
    <x v="1"/>
    <x v="0"/>
    <n v="3"/>
    <s v="Rio Cidade Maravilhosa"/>
    <x v="4"/>
    <x v="0"/>
  </r>
  <r>
    <n v="1185"/>
    <x v="470"/>
    <d v="2026-08-29T00:00:00"/>
    <n v="41"/>
    <n v="10"/>
    <n v="2"/>
    <n v="23000"/>
    <n v="0"/>
    <n v="23000"/>
    <x v="0"/>
    <x v="0"/>
    <n v="4"/>
    <s v="Orlando Parques"/>
    <x v="5"/>
    <x v="6"/>
  </r>
  <r>
    <n v="1186"/>
    <x v="471"/>
    <d v="2026-10-04T00:00:00"/>
    <n v="161"/>
    <n v="7"/>
    <n v="1"/>
    <n v="4200"/>
    <n v="0.1"/>
    <n v="3780"/>
    <x v="0"/>
    <x v="0"/>
    <m/>
    <s v="Buenos Aires Clássica"/>
    <x v="4"/>
    <x v="1"/>
  </r>
  <r>
    <n v="1187"/>
    <x v="471"/>
    <d v="2026-08-04T00:00:00"/>
    <n v="47"/>
    <n v="12"/>
    <n v="4"/>
    <n v="49600"/>
    <n v="0.1"/>
    <n v="44640"/>
    <x v="2"/>
    <x v="0"/>
    <n v="4"/>
    <s v="Lisboa e Porto"/>
    <x v="4"/>
    <x v="5"/>
  </r>
  <r>
    <n v="1188"/>
    <x v="471"/>
    <d v="2026-08-26T00:00:00"/>
    <n v="29"/>
    <n v="9"/>
    <n v="4"/>
    <n v="35600"/>
    <n v="0"/>
    <n v="35600"/>
    <x v="2"/>
    <x v="1"/>
    <m/>
    <s v="Cancún All Inclusive"/>
    <x v="2"/>
    <x v="1"/>
  </r>
  <r>
    <n v="1189"/>
    <x v="471"/>
    <d v="2026-07-23T00:00:00"/>
    <n v="47"/>
    <n v="2"/>
    <n v="1"/>
    <n v="1800"/>
    <n v="0"/>
    <n v="1800"/>
    <x v="2"/>
    <x v="0"/>
    <n v="5"/>
    <s v="Rio Cidade Maravilhosa"/>
    <x v="4"/>
    <x v="5"/>
  </r>
  <r>
    <n v="1190"/>
    <x v="472"/>
    <d v="2026-10-28T00:00:00"/>
    <n v="136"/>
    <n v="6"/>
    <n v="2"/>
    <n v="4200"/>
    <n v="0.1"/>
    <n v="3780"/>
    <x v="1"/>
    <x v="0"/>
    <m/>
    <s v="Foz do Iguaçu"/>
    <x v="0"/>
    <x v="4"/>
  </r>
  <r>
    <n v="1191"/>
    <x v="472"/>
    <d v="2026-07-08T00:00:00"/>
    <n v="107"/>
    <n v="8"/>
    <n v="1"/>
    <n v="5900"/>
    <n v="0.1"/>
    <n v="5310"/>
    <x v="1"/>
    <x v="0"/>
    <n v="4"/>
    <s v="Santiago e Neve"/>
    <x v="3"/>
    <x v="2"/>
  </r>
  <r>
    <n v="1192"/>
    <x v="472"/>
    <d v="2026-07-08T00:00:00"/>
    <n v="171"/>
    <n v="14"/>
    <n v="2"/>
    <n v="5800"/>
    <n v="0"/>
    <n v="5800"/>
    <x v="0"/>
    <x v="0"/>
    <n v="5"/>
    <s v="Lençóis Maranhenses"/>
    <x v="0"/>
    <x v="1"/>
  </r>
  <r>
    <n v="1193"/>
    <x v="473"/>
    <d v="2026-09-26T00:00:00"/>
    <n v="20"/>
    <n v="5"/>
    <n v="2"/>
    <n v="6800"/>
    <n v="0"/>
    <n v="6800"/>
    <x v="0"/>
    <x v="0"/>
    <m/>
    <s v="Bonito Aventura"/>
    <x v="1"/>
    <x v="3"/>
  </r>
  <r>
    <n v="1194"/>
    <x v="473"/>
    <d v="2026-11-01T00:00:00"/>
    <n v="149"/>
    <n v="6"/>
    <n v="3"/>
    <n v="6300"/>
    <n v="0.05"/>
    <n v="5985"/>
    <x v="3"/>
    <x v="0"/>
    <m/>
    <s v="Foz do Iguaçu"/>
    <x v="0"/>
    <x v="1"/>
  </r>
  <r>
    <n v="1195"/>
    <x v="474"/>
    <d v="2026-07-14T00:00:00"/>
    <n v="133"/>
    <n v="3"/>
    <n v="4"/>
    <n v="10400"/>
    <n v="0.05"/>
    <n v="9880"/>
    <x v="0"/>
    <x v="0"/>
    <n v="5"/>
    <s v="Serra Gaúcha"/>
    <x v="3"/>
    <x v="1"/>
  </r>
  <r>
    <n v="1196"/>
    <x v="474"/>
    <d v="2026-09-25T00:00:00"/>
    <n v="86"/>
    <n v="1"/>
    <n v="2"/>
    <n v="6400"/>
    <n v="0"/>
    <n v="6400"/>
    <x v="0"/>
    <x v="0"/>
    <m/>
    <s v="Nordeste Encantado"/>
    <x v="2"/>
    <x v="2"/>
  </r>
  <r>
    <n v="1197"/>
    <x v="474"/>
    <d v="2026-10-14T00:00:00"/>
    <n v="144"/>
    <n v="13"/>
    <n v="1"/>
    <n v="7300"/>
    <n v="0.15"/>
    <n v="6205"/>
    <x v="0"/>
    <x v="1"/>
    <m/>
    <s v="Machu Picchu"/>
    <x v="1"/>
    <x v="2"/>
  </r>
  <r>
    <n v="1198"/>
    <x v="474"/>
    <d v="2026-07-10T00:00:00"/>
    <n v="164"/>
    <n v="14"/>
    <n v="2"/>
    <n v="5800"/>
    <n v="0"/>
    <n v="5800"/>
    <x v="3"/>
    <x v="0"/>
    <n v="5"/>
    <s v="Lençóis Maranhenses"/>
    <x v="0"/>
    <x v="0"/>
  </r>
  <r>
    <n v="1199"/>
    <x v="474"/>
    <d v="2026-07-13T00:00:00"/>
    <n v="165"/>
    <n v="2"/>
    <n v="4"/>
    <n v="7200"/>
    <n v="0.1"/>
    <n v="6480"/>
    <x v="0"/>
    <x v="0"/>
    <n v="5"/>
    <s v="Rio Cidade Maravilhosa"/>
    <x v="4"/>
    <x v="1"/>
  </r>
  <r>
    <n v="1200"/>
    <x v="474"/>
    <d v="2026-08-26T00:00:00"/>
    <n v="76"/>
    <n v="13"/>
    <n v="2"/>
    <n v="14600"/>
    <n v="0.05"/>
    <n v="13870"/>
    <x v="0"/>
    <x v="0"/>
    <n v="3"/>
    <s v="Machu Picchu"/>
    <x v="1"/>
    <x v="2"/>
  </r>
  <r>
    <n v="1201"/>
    <x v="474"/>
    <d v="2026-07-17T00:00:00"/>
    <n v="155"/>
    <n v="14"/>
    <n v="1"/>
    <n v="2900"/>
    <n v="0"/>
    <n v="2900"/>
    <x v="2"/>
    <x v="0"/>
    <n v="2"/>
    <s v="Lençóis Maranhenses"/>
    <x v="0"/>
    <x v="1"/>
  </r>
  <r>
    <n v="1202"/>
    <x v="475"/>
    <d v="2026-08-11T00:00:00"/>
    <n v="104"/>
    <n v="9"/>
    <n v="2"/>
    <n v="17800"/>
    <n v="0.05"/>
    <n v="16910"/>
    <x v="0"/>
    <x v="0"/>
    <n v="5"/>
    <s v="Cancún All Inclusive"/>
    <x v="2"/>
    <x v="0"/>
  </r>
  <r>
    <n v="1203"/>
    <x v="475"/>
    <d v="2026-07-19T00:00:00"/>
    <n v="16"/>
    <n v="1"/>
    <n v="2"/>
    <n v="6400"/>
    <n v="0"/>
    <n v="6400"/>
    <x v="0"/>
    <x v="0"/>
    <n v="2"/>
    <s v="Nordeste Encantado"/>
    <x v="2"/>
    <x v="2"/>
  </r>
  <r>
    <n v="1204"/>
    <x v="476"/>
    <d v="2026-08-22T00:00:00"/>
    <n v="74"/>
    <n v="1"/>
    <n v="2"/>
    <n v="6400"/>
    <n v="0.05"/>
    <n v="6080"/>
    <x v="3"/>
    <x v="0"/>
    <n v="5"/>
    <s v="Nordeste Encantado"/>
    <x v="2"/>
    <x v="1"/>
  </r>
  <r>
    <n v="1205"/>
    <x v="477"/>
    <d v="2026-09-04T00:00:00"/>
    <n v="39"/>
    <n v="1"/>
    <n v="2"/>
    <n v="6400"/>
    <n v="0.1"/>
    <n v="5760"/>
    <x v="0"/>
    <x v="0"/>
    <n v="4"/>
    <s v="Nordeste Encantado"/>
    <x v="2"/>
    <x v="0"/>
  </r>
  <r>
    <n v="1206"/>
    <x v="477"/>
    <d v="2026-08-28T00:00:00"/>
    <n v="147"/>
    <n v="4"/>
    <n v="2"/>
    <n v="13800"/>
    <n v="0"/>
    <n v="13800"/>
    <x v="0"/>
    <x v="0"/>
    <n v="4"/>
    <s v="Fernando de Noronha"/>
    <x v="2"/>
    <x v="1"/>
  </r>
  <r>
    <n v="1207"/>
    <x v="477"/>
    <d v="2026-08-06T00:00:00"/>
    <n v="192"/>
    <n v="2"/>
    <n v="4"/>
    <n v="7200"/>
    <n v="0"/>
    <n v="7200"/>
    <x v="0"/>
    <x v="1"/>
    <m/>
    <s v="Rio Cidade Maravilhosa"/>
    <x v="4"/>
    <x v="1"/>
  </r>
  <r>
    <n v="1208"/>
    <x v="478"/>
    <d v="2026-08-29T00:00:00"/>
    <n v="13"/>
    <n v="9"/>
    <n v="3"/>
    <n v="26700"/>
    <n v="0.1"/>
    <n v="24030"/>
    <x v="1"/>
    <x v="0"/>
    <n v="4"/>
    <s v="Cancún All Inclusive"/>
    <x v="2"/>
    <x v="6"/>
  </r>
  <r>
    <n v="1209"/>
    <x v="478"/>
    <d v="2026-08-05T00:00:00"/>
    <n v="144"/>
    <n v="13"/>
    <n v="4"/>
    <n v="29200"/>
    <n v="0.05"/>
    <n v="27740"/>
    <x v="2"/>
    <x v="0"/>
    <n v="5"/>
    <s v="Machu Picchu"/>
    <x v="1"/>
    <x v="2"/>
  </r>
  <r>
    <n v="1210"/>
    <x v="478"/>
    <d v="2026-07-25T00:00:00"/>
    <n v="72"/>
    <n v="12"/>
    <n v="2"/>
    <n v="24800"/>
    <n v="0.05"/>
    <n v="23560"/>
    <x v="1"/>
    <x v="0"/>
    <n v="4"/>
    <s v="Lisboa e Porto"/>
    <x v="4"/>
    <x v="3"/>
  </r>
  <r>
    <n v="1211"/>
    <x v="479"/>
    <d v="2026-08-12T00:00:00"/>
    <n v="173"/>
    <n v="3"/>
    <n v="1"/>
    <n v="2600"/>
    <n v="0.05"/>
    <n v="2470"/>
    <x v="0"/>
    <x v="0"/>
    <n v="4"/>
    <s v="Serra Gaúcha"/>
    <x v="3"/>
    <x v="5"/>
  </r>
  <r>
    <n v="1212"/>
    <x v="479"/>
    <d v="2026-10-06T00:00:00"/>
    <n v="182"/>
    <n v="14"/>
    <n v="2"/>
    <n v="5800"/>
    <n v="0.05"/>
    <n v="5510"/>
    <x v="3"/>
    <x v="0"/>
    <m/>
    <s v="Lençóis Maranhenses"/>
    <x v="0"/>
    <x v="4"/>
  </r>
  <r>
    <n v="1213"/>
    <x v="479"/>
    <d v="2026-09-25T00:00:00"/>
    <n v="77"/>
    <n v="15"/>
    <n v="1"/>
    <n v="3100"/>
    <n v="0.1"/>
    <n v="2790"/>
    <x v="0"/>
    <x v="0"/>
    <n v="4"/>
    <s v="Jericoacoara"/>
    <x v="2"/>
    <x v="0"/>
  </r>
  <r>
    <n v="1214"/>
    <x v="480"/>
    <d v="2026-08-01T00:00:00"/>
    <n v="33"/>
    <n v="13"/>
    <n v="1"/>
    <n v="7300"/>
    <n v="0.05"/>
    <n v="6935"/>
    <x v="0"/>
    <x v="0"/>
    <n v="5"/>
    <s v="Machu Picchu"/>
    <x v="1"/>
    <x v="3"/>
  </r>
  <r>
    <n v="1215"/>
    <x v="480"/>
    <d v="2026-12-23T00:00:00"/>
    <n v="141"/>
    <n v="1"/>
    <n v="2"/>
    <n v="6400"/>
    <n v="0.15"/>
    <n v="5440"/>
    <x v="3"/>
    <x v="0"/>
    <m/>
    <s v="Nordeste Encantado"/>
    <x v="2"/>
    <x v="2"/>
  </r>
  <r>
    <n v="1216"/>
    <x v="480"/>
    <d v="2027-01-06T00:00:00"/>
    <n v="133"/>
    <n v="12"/>
    <n v="4"/>
    <n v="49600"/>
    <n v="0.15"/>
    <n v="42160"/>
    <x v="3"/>
    <x v="0"/>
    <m/>
    <s v="Lisboa e Porto"/>
    <x v="4"/>
    <x v="1"/>
  </r>
  <r>
    <n v="1217"/>
    <x v="481"/>
    <d v="2026-11-22T00:00:00"/>
    <n v="118"/>
    <n v="8"/>
    <n v="2"/>
    <n v="11800"/>
    <n v="0"/>
    <n v="11800"/>
    <x v="0"/>
    <x v="0"/>
    <m/>
    <s v="Santiago e Neve"/>
    <x v="3"/>
    <x v="1"/>
  </r>
  <r>
    <n v="1218"/>
    <x v="481"/>
    <d v="2026-07-31T00:00:00"/>
    <n v="49"/>
    <n v="12"/>
    <n v="4"/>
    <n v="49600"/>
    <n v="0"/>
    <n v="49600"/>
    <x v="3"/>
    <x v="1"/>
    <m/>
    <s v="Lisboa e Porto"/>
    <x v="4"/>
    <x v="0"/>
  </r>
  <r>
    <n v="1219"/>
    <x v="481"/>
    <d v="2026-07-22T00:00:00"/>
    <n v="43"/>
    <n v="3"/>
    <n v="1"/>
    <n v="2600"/>
    <n v="0"/>
    <n v="2600"/>
    <x v="2"/>
    <x v="0"/>
    <n v="4"/>
    <s v="Serra Gaúcha"/>
    <x v="3"/>
    <x v="3"/>
  </r>
  <r>
    <n v="1220"/>
    <x v="481"/>
    <d v="2026-07-31T00:00:00"/>
    <n v="22"/>
    <n v="9"/>
    <n v="2"/>
    <n v="17800"/>
    <n v="0"/>
    <n v="17800"/>
    <x v="0"/>
    <x v="0"/>
    <n v="4"/>
    <s v="Cancún All Inclusive"/>
    <x v="2"/>
    <x v="1"/>
  </r>
  <r>
    <n v="1221"/>
    <x v="481"/>
    <d v="2026-10-04T00:00:00"/>
    <n v="73"/>
    <n v="14"/>
    <n v="2"/>
    <n v="5800"/>
    <n v="0"/>
    <n v="5800"/>
    <x v="0"/>
    <x v="0"/>
    <m/>
    <s v="Lençóis Maranhenses"/>
    <x v="0"/>
    <x v="1"/>
  </r>
  <r>
    <n v="1222"/>
    <x v="481"/>
    <d v="2026-09-13T00:00:00"/>
    <n v="148"/>
    <n v="5"/>
    <n v="2"/>
    <n v="6800"/>
    <n v="0"/>
    <n v="6800"/>
    <x v="0"/>
    <x v="1"/>
    <m/>
    <s v="Bonito Aventura"/>
    <x v="1"/>
    <x v="1"/>
  </r>
  <r>
    <n v="1223"/>
    <x v="481"/>
    <d v="2026-08-05T00:00:00"/>
    <n v="74"/>
    <n v="15"/>
    <n v="2"/>
    <n v="6200"/>
    <n v="0.05"/>
    <n v="5890"/>
    <x v="3"/>
    <x v="0"/>
    <n v="4"/>
    <s v="Jericoacoara"/>
    <x v="2"/>
    <x v="1"/>
  </r>
  <r>
    <n v="1224"/>
    <x v="482"/>
    <d v="2026-07-23T00:00:00"/>
    <n v="121"/>
    <n v="1"/>
    <n v="2"/>
    <n v="6400"/>
    <n v="0"/>
    <n v="6400"/>
    <x v="0"/>
    <x v="0"/>
    <n v="2"/>
    <s v="Nordeste Encantado"/>
    <x v="2"/>
    <x v="6"/>
  </r>
  <r>
    <n v="1225"/>
    <x v="483"/>
    <d v="2026-10-13T00:00:00"/>
    <n v="129"/>
    <n v="2"/>
    <n v="2"/>
    <n v="3600"/>
    <n v="0"/>
    <n v="3600"/>
    <x v="1"/>
    <x v="0"/>
    <m/>
    <s v="Rio Cidade Maravilhosa"/>
    <x v="4"/>
    <x v="4"/>
  </r>
  <r>
    <n v="1226"/>
    <x v="483"/>
    <d v="2026-09-17T00:00:00"/>
    <n v="7"/>
    <n v="2"/>
    <n v="4"/>
    <n v="7200"/>
    <n v="0"/>
    <n v="7200"/>
    <x v="1"/>
    <x v="0"/>
    <n v="5"/>
    <s v="Rio Cidade Maravilhosa"/>
    <x v="4"/>
    <x v="1"/>
  </r>
  <r>
    <n v="1227"/>
    <x v="484"/>
    <d v="2026-07-25T00:00:00"/>
    <n v="77"/>
    <n v="11"/>
    <n v="2"/>
    <n v="31600"/>
    <n v="0"/>
    <n v="31600"/>
    <x v="1"/>
    <x v="1"/>
    <m/>
    <s v="Paris e Londres"/>
    <x v="4"/>
    <x v="0"/>
  </r>
  <r>
    <n v="1228"/>
    <x v="484"/>
    <d v="2026-08-01T00:00:00"/>
    <n v="108"/>
    <n v="12"/>
    <n v="2"/>
    <n v="24800"/>
    <n v="0"/>
    <n v="24800"/>
    <x v="1"/>
    <x v="1"/>
    <m/>
    <s v="Lisboa e Porto"/>
    <x v="4"/>
    <x v="4"/>
  </r>
  <r>
    <n v="1229"/>
    <x v="484"/>
    <d v="2026-08-20T00:00:00"/>
    <n v="24"/>
    <n v="12"/>
    <n v="1"/>
    <n v="12400"/>
    <n v="0.1"/>
    <n v="11160"/>
    <x v="1"/>
    <x v="0"/>
    <n v="4"/>
    <s v="Lisboa e Porto"/>
    <x v="4"/>
    <x v="1"/>
  </r>
  <r>
    <n v="1230"/>
    <x v="484"/>
    <d v="2026-08-17T00:00:00"/>
    <n v="179"/>
    <n v="5"/>
    <n v="3"/>
    <n v="10200"/>
    <n v="0"/>
    <n v="10200"/>
    <x v="0"/>
    <x v="0"/>
    <n v="5"/>
    <s v="Bonito Aventura"/>
    <x v="1"/>
    <x v="1"/>
  </r>
  <r>
    <n v="1231"/>
    <x v="484"/>
    <d v="2026-09-19T00:00:00"/>
    <n v="171"/>
    <n v="7"/>
    <n v="2"/>
    <n v="8400"/>
    <n v="0.1"/>
    <n v="7560"/>
    <x v="3"/>
    <x v="0"/>
    <n v="4"/>
    <s v="Buenos Aires Clássica"/>
    <x v="4"/>
    <x v="1"/>
  </r>
  <r>
    <n v="1232"/>
    <x v="484"/>
    <d v="2026-08-18T00:00:00"/>
    <n v="83"/>
    <n v="1"/>
    <n v="2"/>
    <n v="6400"/>
    <n v="0"/>
    <n v="6400"/>
    <x v="3"/>
    <x v="0"/>
    <n v="3"/>
    <s v="Nordeste Encantado"/>
    <x v="2"/>
    <x v="1"/>
  </r>
  <r>
    <n v="1233"/>
    <x v="485"/>
    <d v="2026-08-09T00:00:00"/>
    <n v="26"/>
    <n v="6"/>
    <n v="4"/>
    <n v="8400"/>
    <n v="0.05"/>
    <n v="7980"/>
    <x v="0"/>
    <x v="0"/>
    <n v="3"/>
    <s v="Foz do Iguaçu"/>
    <x v="0"/>
    <x v="1"/>
  </r>
  <r>
    <n v="1234"/>
    <x v="485"/>
    <d v="2026-08-04T00:00:00"/>
    <n v="5"/>
    <n v="7"/>
    <n v="1"/>
    <n v="4200"/>
    <n v="0.05"/>
    <n v="3990"/>
    <x v="0"/>
    <x v="0"/>
    <n v="4"/>
    <s v="Buenos Aires Clássica"/>
    <x v="4"/>
    <x v="4"/>
  </r>
  <r>
    <n v="1235"/>
    <x v="486"/>
    <d v="2026-10-04T00:00:00"/>
    <n v="122"/>
    <n v="10"/>
    <n v="3"/>
    <n v="34500"/>
    <n v="0"/>
    <n v="34500"/>
    <x v="0"/>
    <x v="0"/>
    <m/>
    <s v="Orlando Parques"/>
    <x v="5"/>
    <x v="3"/>
  </r>
  <r>
    <n v="1236"/>
    <x v="487"/>
    <d v="2026-07-26T00:00:00"/>
    <n v="23"/>
    <n v="14"/>
    <n v="1"/>
    <n v="2900"/>
    <n v="0.05"/>
    <n v="2755"/>
    <x v="3"/>
    <x v="0"/>
    <n v="5"/>
    <s v="Lençóis Maranhenses"/>
    <x v="0"/>
    <x v="1"/>
  </r>
  <r>
    <n v="1237"/>
    <x v="487"/>
    <d v="2026-11-10T00:00:00"/>
    <n v="149"/>
    <n v="3"/>
    <n v="4"/>
    <n v="10400"/>
    <n v="0.15"/>
    <n v="8840"/>
    <x v="0"/>
    <x v="0"/>
    <m/>
    <s v="Serra Gaúcha"/>
    <x v="3"/>
    <x v="1"/>
  </r>
  <r>
    <n v="1238"/>
    <x v="487"/>
    <d v="2026-10-04T00:00:00"/>
    <n v="80"/>
    <n v="15"/>
    <n v="2"/>
    <n v="6200"/>
    <n v="0"/>
    <n v="6200"/>
    <x v="0"/>
    <x v="0"/>
    <m/>
    <s v="Jericoacoara"/>
    <x v="2"/>
    <x v="1"/>
  </r>
  <r>
    <n v="1239"/>
    <x v="487"/>
    <d v="2026-08-20T00:00:00"/>
    <n v="130"/>
    <n v="12"/>
    <n v="2"/>
    <n v="24800"/>
    <n v="0"/>
    <n v="24800"/>
    <x v="1"/>
    <x v="0"/>
    <n v="4"/>
    <s v="Lisboa e Porto"/>
    <x v="4"/>
    <x v="1"/>
  </r>
  <r>
    <n v="1240"/>
    <x v="487"/>
    <d v="2026-08-19T00:00:00"/>
    <n v="118"/>
    <n v="6"/>
    <n v="4"/>
    <n v="8400"/>
    <n v="0.05"/>
    <n v="7980"/>
    <x v="0"/>
    <x v="0"/>
    <n v="3"/>
    <s v="Foz do Iguaçu"/>
    <x v="0"/>
    <x v="1"/>
  </r>
  <r>
    <n v="1241"/>
    <x v="487"/>
    <d v="2026-09-10T00:00:00"/>
    <n v="184"/>
    <n v="6"/>
    <n v="2"/>
    <n v="4200"/>
    <n v="0.05"/>
    <n v="3990"/>
    <x v="1"/>
    <x v="0"/>
    <n v="5"/>
    <s v="Foz do Iguaçu"/>
    <x v="0"/>
    <x v="1"/>
  </r>
  <r>
    <n v="1242"/>
    <x v="487"/>
    <d v="2026-10-08T00:00:00"/>
    <n v="83"/>
    <n v="7"/>
    <n v="2"/>
    <n v="8400"/>
    <n v="0"/>
    <n v="8400"/>
    <x v="0"/>
    <x v="1"/>
    <m/>
    <s v="Buenos Aires Clássica"/>
    <x v="4"/>
    <x v="1"/>
  </r>
  <r>
    <n v="1243"/>
    <x v="488"/>
    <d v="2026-12-17T00:00:00"/>
    <n v="154"/>
    <n v="6"/>
    <n v="2"/>
    <n v="4200"/>
    <n v="0"/>
    <n v="4200"/>
    <x v="1"/>
    <x v="0"/>
    <m/>
    <s v="Foz do Iguaçu"/>
    <x v="0"/>
    <x v="2"/>
  </r>
  <r>
    <n v="1244"/>
    <x v="488"/>
    <d v="2026-10-31T00:00:00"/>
    <n v="95"/>
    <n v="2"/>
    <n v="4"/>
    <n v="7200"/>
    <n v="0.1"/>
    <n v="6480"/>
    <x v="1"/>
    <x v="0"/>
    <m/>
    <s v="Rio Cidade Maravilhosa"/>
    <x v="4"/>
    <x v="3"/>
  </r>
  <r>
    <n v="1245"/>
    <x v="488"/>
    <d v="2026-12-02T00:00:00"/>
    <n v="193"/>
    <n v="7"/>
    <n v="1"/>
    <n v="4200"/>
    <n v="0"/>
    <n v="4200"/>
    <x v="2"/>
    <x v="0"/>
    <m/>
    <s v="Buenos Aires Clássica"/>
    <x v="4"/>
    <x v="1"/>
  </r>
  <r>
    <n v="1246"/>
    <x v="488"/>
    <d v="2027-01-16T00:00:00"/>
    <n v="175"/>
    <n v="2"/>
    <n v="2"/>
    <n v="3600"/>
    <n v="0.1"/>
    <n v="3240"/>
    <x v="2"/>
    <x v="0"/>
    <m/>
    <s v="Rio Cidade Maravilhosa"/>
    <x v="4"/>
    <x v="5"/>
  </r>
  <r>
    <n v="1247"/>
    <x v="488"/>
    <d v="2026-08-28T00:00:00"/>
    <n v="28"/>
    <n v="3"/>
    <n v="1"/>
    <n v="2600"/>
    <n v="0"/>
    <n v="2600"/>
    <x v="3"/>
    <x v="0"/>
    <n v="5"/>
    <s v="Serra Gaúcha"/>
    <x v="3"/>
    <x v="1"/>
  </r>
  <r>
    <n v="1248"/>
    <x v="488"/>
    <d v="2026-09-23T00:00:00"/>
    <n v="138"/>
    <n v="1"/>
    <n v="1"/>
    <n v="3200"/>
    <n v="0.1"/>
    <n v="2880"/>
    <x v="0"/>
    <x v="0"/>
    <n v="5"/>
    <s v="Nordeste Encantado"/>
    <x v="2"/>
    <x v="1"/>
  </r>
  <r>
    <n v="1249"/>
    <x v="489"/>
    <d v="2026-08-05T00:00:00"/>
    <n v="78"/>
    <n v="1"/>
    <n v="1"/>
    <n v="3200"/>
    <n v="0"/>
    <n v="3200"/>
    <x v="2"/>
    <x v="0"/>
    <n v="4"/>
    <s v="Nordeste Encantado"/>
    <x v="2"/>
    <x v="3"/>
  </r>
  <r>
    <n v="1250"/>
    <x v="489"/>
    <d v="2026-08-17T00:00:00"/>
    <n v="147"/>
    <n v="1"/>
    <n v="2"/>
    <n v="6400"/>
    <n v="0.05"/>
    <n v="6080"/>
    <x v="0"/>
    <x v="0"/>
    <n v="5"/>
    <s v="Nordeste Encantado"/>
    <x v="2"/>
    <x v="1"/>
  </r>
  <r>
    <n v="1251"/>
    <x v="490"/>
    <d v="2026-08-05T00:00:00"/>
    <n v="50"/>
    <n v="15"/>
    <n v="2"/>
    <n v="6200"/>
    <n v="0"/>
    <n v="6200"/>
    <x v="1"/>
    <x v="0"/>
    <n v="4"/>
    <s v="Jericoacoara"/>
    <x v="2"/>
    <x v="1"/>
  </r>
  <r>
    <n v="1252"/>
    <x v="490"/>
    <d v="2026-07-31T00:00:00"/>
    <n v="153"/>
    <n v="1"/>
    <n v="1"/>
    <n v="3200"/>
    <n v="0"/>
    <n v="3200"/>
    <x v="2"/>
    <x v="0"/>
    <n v="4"/>
    <s v="Nordeste Encantado"/>
    <x v="2"/>
    <x v="1"/>
  </r>
  <r>
    <n v="1253"/>
    <x v="491"/>
    <d v="2026-08-21T00:00:00"/>
    <n v="108"/>
    <n v="1"/>
    <n v="2"/>
    <n v="6400"/>
    <n v="0.1"/>
    <n v="5760"/>
    <x v="3"/>
    <x v="0"/>
    <n v="4"/>
    <s v="Nordeste Encantado"/>
    <x v="2"/>
    <x v="4"/>
  </r>
  <r>
    <n v="1254"/>
    <x v="491"/>
    <d v="2026-08-13T00:00:00"/>
    <n v="60"/>
    <n v="4"/>
    <n v="3"/>
    <n v="20700"/>
    <n v="0.05"/>
    <n v="19665"/>
    <x v="0"/>
    <x v="0"/>
    <n v="4"/>
    <s v="Fernando de Noronha"/>
    <x v="2"/>
    <x v="3"/>
  </r>
  <r>
    <n v="1255"/>
    <x v="491"/>
    <d v="2026-08-10T00:00:00"/>
    <n v="67"/>
    <n v="8"/>
    <n v="2"/>
    <n v="11800"/>
    <n v="0.05"/>
    <n v="11210"/>
    <x v="1"/>
    <x v="0"/>
    <n v="5"/>
    <s v="Santiago e Neve"/>
    <x v="3"/>
    <x v="0"/>
  </r>
  <r>
    <n v="1256"/>
    <x v="491"/>
    <d v="2026-08-05T00:00:00"/>
    <n v="56"/>
    <n v="9"/>
    <n v="5"/>
    <n v="44500"/>
    <n v="0"/>
    <n v="44500"/>
    <x v="0"/>
    <x v="0"/>
    <n v="4"/>
    <s v="Cancún All Inclusive"/>
    <x v="2"/>
    <x v="6"/>
  </r>
  <r>
    <n v="1257"/>
    <x v="491"/>
    <d v="2026-09-10T00:00:00"/>
    <n v="21"/>
    <n v="1"/>
    <n v="4"/>
    <n v="12800"/>
    <n v="0.1"/>
    <n v="11520"/>
    <x v="3"/>
    <x v="0"/>
    <n v="4"/>
    <s v="Nordeste Encantado"/>
    <x v="2"/>
    <x v="4"/>
  </r>
  <r>
    <n v="1258"/>
    <x v="491"/>
    <d v="2026-09-19T00:00:00"/>
    <n v="61"/>
    <n v="2"/>
    <n v="2"/>
    <n v="3600"/>
    <n v="0"/>
    <n v="3600"/>
    <x v="0"/>
    <x v="0"/>
    <n v="3"/>
    <s v="Rio Cidade Maravilhosa"/>
    <x v="4"/>
    <x v="2"/>
  </r>
  <r>
    <n v="1259"/>
    <x v="491"/>
    <d v="2026-10-13T00:00:00"/>
    <n v="90"/>
    <n v="15"/>
    <n v="2"/>
    <n v="6200"/>
    <n v="0.05"/>
    <n v="5890"/>
    <x v="2"/>
    <x v="0"/>
    <m/>
    <s v="Jericoacoara"/>
    <x v="2"/>
    <x v="6"/>
  </r>
  <r>
    <n v="1260"/>
    <x v="492"/>
    <d v="2026-08-03T00:00:00"/>
    <n v="102"/>
    <n v="7"/>
    <n v="4"/>
    <n v="16800"/>
    <n v="0"/>
    <n v="16800"/>
    <x v="3"/>
    <x v="0"/>
    <n v="3"/>
    <s v="Buenos Aires Clássica"/>
    <x v="4"/>
    <x v="3"/>
  </r>
  <r>
    <n v="1261"/>
    <x v="492"/>
    <d v="2026-08-10T00:00:00"/>
    <n v="190"/>
    <n v="15"/>
    <n v="4"/>
    <n v="12400"/>
    <n v="0.05"/>
    <n v="11780"/>
    <x v="0"/>
    <x v="0"/>
    <n v="4"/>
    <s v="Jericoacoara"/>
    <x v="2"/>
    <x v="1"/>
  </r>
  <r>
    <n v="1262"/>
    <x v="492"/>
    <d v="2026-08-26T00:00:00"/>
    <n v="24"/>
    <n v="14"/>
    <n v="2"/>
    <n v="5800"/>
    <n v="0.1"/>
    <n v="5220"/>
    <x v="3"/>
    <x v="0"/>
    <n v="2"/>
    <s v="Lençóis Maranhenses"/>
    <x v="0"/>
    <x v="1"/>
  </r>
  <r>
    <n v="1263"/>
    <x v="492"/>
    <d v="2026-09-26T00:00:00"/>
    <n v="2"/>
    <n v="3"/>
    <n v="2"/>
    <n v="5200"/>
    <n v="0"/>
    <n v="5200"/>
    <x v="0"/>
    <x v="0"/>
    <m/>
    <s v="Serra Gaúcha"/>
    <x v="3"/>
    <x v="0"/>
  </r>
  <r>
    <n v="1264"/>
    <x v="492"/>
    <d v="2026-10-16T00:00:00"/>
    <n v="172"/>
    <n v="7"/>
    <n v="2"/>
    <n v="8400"/>
    <n v="0"/>
    <n v="8400"/>
    <x v="1"/>
    <x v="0"/>
    <m/>
    <s v="Buenos Aires Clássica"/>
    <x v="4"/>
    <x v="2"/>
  </r>
  <r>
    <n v="1265"/>
    <x v="493"/>
    <d v="2026-08-04T00:00:00"/>
    <n v="35"/>
    <n v="7"/>
    <n v="5"/>
    <n v="21000"/>
    <n v="0.05"/>
    <n v="19950"/>
    <x v="0"/>
    <x v="0"/>
    <n v="1"/>
    <s v="Buenos Aires Clássica"/>
    <x v="4"/>
    <x v="2"/>
  </r>
  <r>
    <n v="1266"/>
    <x v="493"/>
    <d v="2026-08-27T00:00:00"/>
    <n v="190"/>
    <n v="5"/>
    <n v="2"/>
    <n v="6800"/>
    <n v="0"/>
    <n v="6800"/>
    <x v="0"/>
    <x v="0"/>
    <n v="4"/>
    <s v="Bonito Aventura"/>
    <x v="1"/>
    <x v="1"/>
  </r>
  <r>
    <n v="1267"/>
    <x v="493"/>
    <d v="2026-08-06T00:00:00"/>
    <n v="185"/>
    <n v="10"/>
    <n v="1"/>
    <n v="11500"/>
    <n v="0.1"/>
    <n v="10350"/>
    <x v="0"/>
    <x v="1"/>
    <m/>
    <s v="Orlando Parques"/>
    <x v="5"/>
    <x v="1"/>
  </r>
  <r>
    <n v="1268"/>
    <x v="494"/>
    <d v="2026-08-08T00:00:00"/>
    <n v="42"/>
    <n v="4"/>
    <n v="1"/>
    <n v="6900"/>
    <n v="0"/>
    <n v="6900"/>
    <x v="0"/>
    <x v="0"/>
    <n v="5"/>
    <s v="Fernando de Noronha"/>
    <x v="2"/>
    <x v="1"/>
  </r>
  <r>
    <n v="1269"/>
    <x v="494"/>
    <d v="2026-09-23T00:00:00"/>
    <n v="1"/>
    <n v="5"/>
    <n v="1"/>
    <n v="3400"/>
    <n v="0"/>
    <n v="3400"/>
    <x v="3"/>
    <x v="0"/>
    <n v="4"/>
    <s v="Bonito Aventura"/>
    <x v="1"/>
    <x v="2"/>
  </r>
  <r>
    <n v="1270"/>
    <x v="494"/>
    <d v="2026-08-25T00:00:00"/>
    <n v="58"/>
    <n v="2"/>
    <n v="2"/>
    <n v="3600"/>
    <n v="0"/>
    <n v="3600"/>
    <x v="2"/>
    <x v="0"/>
    <n v="2"/>
    <s v="Rio Cidade Maravilhosa"/>
    <x v="4"/>
    <x v="1"/>
  </r>
  <r>
    <n v="1271"/>
    <x v="494"/>
    <d v="2026-10-08T00:00:00"/>
    <n v="150"/>
    <n v="3"/>
    <n v="4"/>
    <n v="10400"/>
    <n v="0.1"/>
    <n v="9360"/>
    <x v="2"/>
    <x v="1"/>
    <m/>
    <s v="Serra Gaúcha"/>
    <x v="3"/>
    <x v="1"/>
  </r>
  <r>
    <n v="1272"/>
    <x v="495"/>
    <d v="2026-09-01T00:00:00"/>
    <n v="140"/>
    <n v="3"/>
    <n v="2"/>
    <n v="5200"/>
    <n v="0"/>
    <n v="5200"/>
    <x v="0"/>
    <x v="0"/>
    <n v="3"/>
    <s v="Serra Gaúcha"/>
    <x v="3"/>
    <x v="0"/>
  </r>
  <r>
    <n v="1273"/>
    <x v="495"/>
    <d v="2026-10-17T00:00:00"/>
    <n v="37"/>
    <n v="9"/>
    <n v="2"/>
    <n v="17800"/>
    <n v="0"/>
    <n v="17800"/>
    <x v="3"/>
    <x v="0"/>
    <m/>
    <s v="Cancún All Inclusive"/>
    <x v="2"/>
    <x v="2"/>
  </r>
  <r>
    <n v="1274"/>
    <x v="495"/>
    <d v="2026-08-26T00:00:00"/>
    <n v="94"/>
    <n v="1"/>
    <n v="2"/>
    <n v="6400"/>
    <n v="0.05"/>
    <n v="6080"/>
    <x v="0"/>
    <x v="0"/>
    <n v="3"/>
    <s v="Nordeste Encantado"/>
    <x v="2"/>
    <x v="0"/>
  </r>
  <r>
    <n v="1275"/>
    <x v="495"/>
    <d v="2026-08-08T00:00:00"/>
    <n v="140"/>
    <n v="13"/>
    <n v="3"/>
    <n v="21900"/>
    <n v="0.1"/>
    <n v="19710"/>
    <x v="1"/>
    <x v="0"/>
    <n v="5"/>
    <s v="Machu Picchu"/>
    <x v="1"/>
    <x v="0"/>
  </r>
  <r>
    <n v="1276"/>
    <x v="496"/>
    <d v="2026-10-01T00:00:00"/>
    <n v="34"/>
    <n v="1"/>
    <n v="3"/>
    <n v="9600"/>
    <n v="0.1"/>
    <n v="8640"/>
    <x v="0"/>
    <x v="0"/>
    <m/>
    <s v="Nordeste Encantado"/>
    <x v="2"/>
    <x v="1"/>
  </r>
  <r>
    <n v="1277"/>
    <x v="496"/>
    <d v="2026-08-09T00:00:00"/>
    <n v="59"/>
    <n v="7"/>
    <n v="4"/>
    <n v="16800"/>
    <n v="0"/>
    <n v="16800"/>
    <x v="1"/>
    <x v="0"/>
    <n v="3"/>
    <s v="Buenos Aires Clássica"/>
    <x v="4"/>
    <x v="2"/>
  </r>
  <r>
    <n v="1278"/>
    <x v="496"/>
    <d v="2026-08-23T00:00:00"/>
    <n v="180"/>
    <n v="1"/>
    <n v="2"/>
    <n v="6400"/>
    <n v="0"/>
    <n v="6400"/>
    <x v="1"/>
    <x v="0"/>
    <n v="5"/>
    <s v="Nordeste Encantado"/>
    <x v="2"/>
    <x v="3"/>
  </r>
  <r>
    <n v="1279"/>
    <x v="497"/>
    <d v="2026-12-23T00:00:00"/>
    <n v="43"/>
    <n v="10"/>
    <n v="1"/>
    <n v="11500"/>
    <n v="0"/>
    <n v="11500"/>
    <x v="2"/>
    <x v="0"/>
    <m/>
    <s v="Orlando Parques"/>
    <x v="5"/>
    <x v="3"/>
  </r>
  <r>
    <n v="1280"/>
    <x v="497"/>
    <d v="2026-12-25T00:00:00"/>
    <n v="187"/>
    <n v="5"/>
    <n v="3"/>
    <n v="10200"/>
    <n v="0"/>
    <n v="10200"/>
    <x v="3"/>
    <x v="0"/>
    <m/>
    <s v="Bonito Aventura"/>
    <x v="1"/>
    <x v="5"/>
  </r>
  <r>
    <n v="1281"/>
    <x v="498"/>
    <d v="2027-01-26T00:00:00"/>
    <n v="153"/>
    <n v="14"/>
    <n v="1"/>
    <n v="2900"/>
    <n v="0.1"/>
    <n v="2610"/>
    <x v="2"/>
    <x v="0"/>
    <m/>
    <s v="Lençóis Maranhenses"/>
    <x v="0"/>
    <x v="1"/>
  </r>
  <r>
    <n v="1282"/>
    <x v="498"/>
    <d v="2026-10-24T00:00:00"/>
    <n v="2"/>
    <n v="15"/>
    <n v="2"/>
    <n v="6200"/>
    <n v="0"/>
    <n v="6200"/>
    <x v="3"/>
    <x v="0"/>
    <m/>
    <s v="Jericoacoara"/>
    <x v="2"/>
    <x v="0"/>
  </r>
  <r>
    <n v="1283"/>
    <x v="499"/>
    <d v="2026-08-17T00:00:00"/>
    <n v="183"/>
    <n v="9"/>
    <n v="2"/>
    <n v="17800"/>
    <n v="0.1"/>
    <n v="16020"/>
    <x v="0"/>
    <x v="0"/>
    <n v="5"/>
    <s v="Cancún All Inclusive"/>
    <x v="2"/>
    <x v="4"/>
  </r>
  <r>
    <n v="1284"/>
    <x v="500"/>
    <d v="2027-01-02T00:00:00"/>
    <n v="155"/>
    <n v="2"/>
    <n v="1"/>
    <n v="1800"/>
    <n v="0.05"/>
    <n v="1710"/>
    <x v="0"/>
    <x v="0"/>
    <m/>
    <s v="Rio Cidade Maravilhosa"/>
    <x v="4"/>
    <x v="1"/>
  </r>
  <r>
    <n v="1285"/>
    <x v="501"/>
    <d v="2026-09-25T00:00:00"/>
    <n v="146"/>
    <n v="13"/>
    <n v="3"/>
    <n v="21900"/>
    <n v="0.15"/>
    <n v="18615"/>
    <x v="3"/>
    <x v="0"/>
    <m/>
    <s v="Machu Picchu"/>
    <x v="1"/>
    <x v="5"/>
  </r>
  <r>
    <n v="1286"/>
    <x v="501"/>
    <d v="2026-09-15T00:00:00"/>
    <n v="12"/>
    <n v="14"/>
    <n v="3"/>
    <n v="8700"/>
    <n v="0.1"/>
    <n v="7830"/>
    <x v="0"/>
    <x v="1"/>
    <m/>
    <s v="Lençóis Maranhenses"/>
    <x v="0"/>
    <x v="0"/>
  </r>
  <r>
    <n v="1287"/>
    <x v="501"/>
    <d v="2026-09-15T00:00:00"/>
    <n v="167"/>
    <n v="5"/>
    <n v="3"/>
    <n v="10200"/>
    <n v="0.05"/>
    <n v="9690"/>
    <x v="0"/>
    <x v="0"/>
    <n v="4"/>
    <s v="Bonito Aventura"/>
    <x v="1"/>
    <x v="1"/>
  </r>
  <r>
    <n v="1288"/>
    <x v="501"/>
    <d v="2027-01-03T00:00:00"/>
    <n v="3"/>
    <n v="6"/>
    <n v="2"/>
    <n v="4200"/>
    <n v="0.1"/>
    <n v="3780"/>
    <x v="1"/>
    <x v="1"/>
    <m/>
    <s v="Foz do Iguaçu"/>
    <x v="0"/>
    <x v="1"/>
  </r>
  <r>
    <n v="1289"/>
    <x v="502"/>
    <d v="2026-08-08T00:00:00"/>
    <n v="63"/>
    <n v="10"/>
    <n v="4"/>
    <n v="46000"/>
    <n v="0.05"/>
    <n v="43700"/>
    <x v="0"/>
    <x v="0"/>
    <n v="5"/>
    <s v="Orlando Parques"/>
    <x v="5"/>
    <x v="6"/>
  </r>
  <r>
    <n v="1290"/>
    <x v="502"/>
    <d v="2026-12-01T00:00:00"/>
    <n v="145"/>
    <n v="5"/>
    <n v="2"/>
    <n v="6800"/>
    <n v="0"/>
    <n v="6800"/>
    <x v="3"/>
    <x v="0"/>
    <m/>
    <s v="Bonito Aventura"/>
    <x v="1"/>
    <x v="1"/>
  </r>
  <r>
    <n v="1291"/>
    <x v="503"/>
    <d v="2026-09-05T00:00:00"/>
    <n v="43"/>
    <n v="1"/>
    <n v="1"/>
    <n v="3200"/>
    <n v="0.05"/>
    <n v="3040"/>
    <x v="0"/>
    <x v="0"/>
    <n v="5"/>
    <s v="Nordeste Encantado"/>
    <x v="2"/>
    <x v="3"/>
  </r>
  <r>
    <n v="1292"/>
    <x v="504"/>
    <d v="2027-01-21T00:00:00"/>
    <n v="143"/>
    <n v="2"/>
    <n v="2"/>
    <n v="3600"/>
    <n v="0.1"/>
    <n v="3240"/>
    <x v="0"/>
    <x v="0"/>
    <m/>
    <s v="Rio Cidade Maravilhosa"/>
    <x v="4"/>
    <x v="2"/>
  </r>
  <r>
    <n v="1293"/>
    <x v="504"/>
    <d v="2026-09-19T00:00:00"/>
    <n v="138"/>
    <n v="15"/>
    <n v="2"/>
    <n v="6200"/>
    <n v="0.1"/>
    <n v="5580"/>
    <x v="0"/>
    <x v="0"/>
    <n v="4"/>
    <s v="Jericoacoara"/>
    <x v="2"/>
    <x v="1"/>
  </r>
  <r>
    <n v="1294"/>
    <x v="505"/>
    <d v="2026-08-23T00:00:00"/>
    <n v="157"/>
    <n v="3"/>
    <n v="2"/>
    <n v="5200"/>
    <n v="0"/>
    <n v="5200"/>
    <x v="1"/>
    <x v="0"/>
    <n v="5"/>
    <s v="Serra Gaúcha"/>
    <x v="3"/>
    <x v="1"/>
  </r>
  <r>
    <n v="1295"/>
    <x v="506"/>
    <d v="2026-12-14T00:00:00"/>
    <n v="67"/>
    <n v="6"/>
    <n v="3"/>
    <n v="6300"/>
    <n v="0"/>
    <n v="6300"/>
    <x v="3"/>
    <x v="0"/>
    <m/>
    <s v="Foz do Iguaçu"/>
    <x v="0"/>
    <x v="0"/>
  </r>
  <r>
    <n v="1296"/>
    <x v="507"/>
    <d v="2026-10-06T00:00:00"/>
    <n v="75"/>
    <n v="12"/>
    <n v="1"/>
    <n v="12400"/>
    <n v="0.05"/>
    <n v="11780"/>
    <x v="2"/>
    <x v="1"/>
    <m/>
    <s v="Lisboa e Porto"/>
    <x v="4"/>
    <x v="6"/>
  </r>
  <r>
    <n v="1297"/>
    <x v="507"/>
    <d v="2026-09-01T00:00:00"/>
    <n v="93"/>
    <n v="2"/>
    <n v="2"/>
    <n v="3600"/>
    <n v="0.1"/>
    <n v="3240"/>
    <x v="0"/>
    <x v="0"/>
    <n v="5"/>
    <s v="Rio Cidade Maravilhosa"/>
    <x v="4"/>
    <x v="2"/>
  </r>
  <r>
    <n v="1298"/>
    <x v="507"/>
    <d v="2026-08-19T00:00:00"/>
    <n v="69"/>
    <n v="7"/>
    <n v="2"/>
    <n v="8400"/>
    <n v="0"/>
    <n v="8400"/>
    <x v="0"/>
    <x v="0"/>
    <n v="5"/>
    <s v="Buenos Aires Clássica"/>
    <x v="4"/>
    <x v="0"/>
  </r>
  <r>
    <n v="1299"/>
    <x v="508"/>
    <d v="2026-09-01T00:00:00"/>
    <n v="102"/>
    <n v="6"/>
    <n v="3"/>
    <n v="6300"/>
    <n v="0.05"/>
    <n v="5985"/>
    <x v="3"/>
    <x v="0"/>
    <n v="5"/>
    <s v="Foz do Iguaçu"/>
    <x v="0"/>
    <x v="3"/>
  </r>
  <r>
    <n v="1300"/>
    <x v="508"/>
    <d v="2026-09-22T00:00:00"/>
    <n v="77"/>
    <n v="9"/>
    <n v="2"/>
    <n v="17800"/>
    <n v="0.15"/>
    <n v="15130"/>
    <x v="1"/>
    <x v="0"/>
    <n v="5"/>
    <s v="Cancún All Inclusive"/>
    <x v="2"/>
    <x v="0"/>
  </r>
  <r>
    <n v="1301"/>
    <x v="509"/>
    <d v="2026-08-24T00:00:00"/>
    <n v="111"/>
    <n v="4"/>
    <n v="2"/>
    <n v="13800"/>
    <n v="0"/>
    <n v="13800"/>
    <x v="0"/>
    <x v="1"/>
    <m/>
    <s v="Fernando de Noronha"/>
    <x v="2"/>
    <x v="0"/>
  </r>
  <r>
    <n v="1302"/>
    <x v="510"/>
    <d v="2026-10-09T00:00:00"/>
    <n v="73"/>
    <n v="6"/>
    <n v="2"/>
    <n v="4200"/>
    <n v="0"/>
    <n v="4200"/>
    <x v="3"/>
    <x v="0"/>
    <m/>
    <s v="Foz do Iguaçu"/>
    <x v="0"/>
    <x v="1"/>
  </r>
  <r>
    <n v="1303"/>
    <x v="511"/>
    <d v="2026-11-16T00:00:00"/>
    <n v="35"/>
    <n v="4"/>
    <n v="2"/>
    <n v="13800"/>
    <n v="0"/>
    <n v="13800"/>
    <x v="0"/>
    <x v="0"/>
    <m/>
    <s v="Fernando de Noronha"/>
    <x v="2"/>
    <x v="2"/>
  </r>
  <r>
    <n v="1304"/>
    <x v="511"/>
    <d v="2026-08-24T00:00:00"/>
    <n v="123"/>
    <n v="5"/>
    <n v="3"/>
    <n v="10200"/>
    <n v="0.05"/>
    <n v="9690"/>
    <x v="0"/>
    <x v="0"/>
    <n v="5"/>
    <s v="Bonito Aventura"/>
    <x v="1"/>
    <x v="3"/>
  </r>
  <r>
    <n v="1305"/>
    <x v="511"/>
    <d v="2026-08-26T00:00:00"/>
    <n v="5"/>
    <n v="1"/>
    <n v="4"/>
    <n v="12800"/>
    <n v="0"/>
    <n v="12800"/>
    <x v="0"/>
    <x v="0"/>
    <n v="4"/>
    <s v="Nordeste Encantado"/>
    <x v="2"/>
    <x v="4"/>
  </r>
  <r>
    <n v="1306"/>
    <x v="511"/>
    <d v="2027-02-04T00:00:00"/>
    <n v="3"/>
    <n v="15"/>
    <n v="2"/>
    <n v="6200"/>
    <n v="0"/>
    <n v="6200"/>
    <x v="1"/>
    <x v="0"/>
    <m/>
    <s v="Jericoacoara"/>
    <x v="2"/>
    <x v="1"/>
  </r>
  <r>
    <n v="1307"/>
    <x v="511"/>
    <d v="2026-08-22T00:00:00"/>
    <n v="109"/>
    <n v="12"/>
    <n v="2"/>
    <n v="24800"/>
    <n v="0.1"/>
    <n v="22320"/>
    <x v="0"/>
    <x v="0"/>
    <n v="5"/>
    <s v="Lisboa e Porto"/>
    <x v="4"/>
    <x v="1"/>
  </r>
  <r>
    <n v="1308"/>
    <x v="512"/>
    <d v="2026-10-09T00:00:00"/>
    <n v="63"/>
    <n v="3"/>
    <n v="2"/>
    <n v="5200"/>
    <n v="0.05"/>
    <n v="4940"/>
    <x v="3"/>
    <x v="0"/>
    <m/>
    <s v="Serra Gaúcha"/>
    <x v="3"/>
    <x v="6"/>
  </r>
  <r>
    <n v="1309"/>
    <x v="513"/>
    <d v="2026-09-03T00:00:00"/>
    <n v="14"/>
    <n v="15"/>
    <n v="4"/>
    <n v="12400"/>
    <n v="0"/>
    <n v="12400"/>
    <x v="1"/>
    <x v="0"/>
    <n v="4"/>
    <s v="Jericoacoara"/>
    <x v="2"/>
    <x v="7"/>
  </r>
  <r>
    <n v="1310"/>
    <x v="514"/>
    <d v="2027-01-18T00:00:00"/>
    <n v="142"/>
    <n v="7"/>
    <n v="3"/>
    <n v="12600"/>
    <n v="0"/>
    <n v="12600"/>
    <x v="0"/>
    <x v="0"/>
    <m/>
    <s v="Buenos Aires Clássica"/>
    <x v="4"/>
    <x v="0"/>
  </r>
  <r>
    <n v="1311"/>
    <x v="515"/>
    <d v="2026-12-04T00:00:00"/>
    <n v="18"/>
    <n v="14"/>
    <n v="2"/>
    <n v="5800"/>
    <n v="0.15"/>
    <n v="4930"/>
    <x v="3"/>
    <x v="0"/>
    <m/>
    <s v="Lençóis Maranhenses"/>
    <x v="0"/>
    <x v="3"/>
  </r>
  <r>
    <n v="1312"/>
    <x v="516"/>
    <d v="2026-08-22T00:00:00"/>
    <n v="45"/>
    <n v="10"/>
    <n v="3"/>
    <n v="34500"/>
    <n v="0"/>
    <n v="34500"/>
    <x v="0"/>
    <x v="0"/>
    <n v="5"/>
    <s v="Orlando Parques"/>
    <x v="5"/>
    <x v="1"/>
  </r>
  <r>
    <n v="1313"/>
    <x v="517"/>
    <d v="2026-08-28T00:00:00"/>
    <n v="96"/>
    <n v="6"/>
    <n v="1"/>
    <n v="2100"/>
    <n v="0.1"/>
    <n v="1890"/>
    <x v="0"/>
    <x v="0"/>
    <n v="4"/>
    <s v="Foz do Iguaçu"/>
    <x v="0"/>
    <x v="4"/>
  </r>
  <r>
    <n v="1314"/>
    <x v="517"/>
    <d v="2026-08-24T00:00:00"/>
    <n v="64"/>
    <n v="5"/>
    <n v="1"/>
    <n v="3400"/>
    <n v="0.15"/>
    <n v="2890"/>
    <x v="0"/>
    <x v="0"/>
    <n v="5"/>
    <s v="Bonito Aventura"/>
    <x v="1"/>
    <x v="7"/>
  </r>
  <r>
    <n v="1315"/>
    <x v="518"/>
    <d v="2026-09-06T00:00:00"/>
    <n v="125"/>
    <n v="3"/>
    <n v="2"/>
    <n v="5200"/>
    <n v="0"/>
    <n v="5200"/>
    <x v="3"/>
    <x v="1"/>
    <m/>
    <s v="Serra Gaúcha"/>
    <x v="3"/>
    <x v="4"/>
  </r>
  <r>
    <n v="1316"/>
    <x v="519"/>
    <d v="2026-09-10T00:00:00"/>
    <n v="200"/>
    <n v="7"/>
    <n v="4"/>
    <n v="16800"/>
    <n v="0"/>
    <n v="16800"/>
    <x v="3"/>
    <x v="0"/>
    <n v="3"/>
    <s v="Buenos Aires Clássica"/>
    <x v="4"/>
    <x v="3"/>
  </r>
  <r>
    <n v="1317"/>
    <x v="520"/>
    <d v="2026-08-30T00:00:00"/>
    <n v="44"/>
    <n v="1"/>
    <n v="1"/>
    <n v="3200"/>
    <n v="0.15"/>
    <n v="2720"/>
    <x v="0"/>
    <x v="0"/>
    <n v="2"/>
    <s v="Nordeste Encantado"/>
    <x v="2"/>
    <x v="2"/>
  </r>
  <r>
    <n v="1318"/>
    <x v="520"/>
    <d v="2026-12-03T00:00:00"/>
    <n v="91"/>
    <n v="5"/>
    <n v="1"/>
    <n v="3400"/>
    <n v="0.1"/>
    <n v="3060"/>
    <x v="0"/>
    <x v="0"/>
    <m/>
    <s v="Bonito Aventura"/>
    <x v="1"/>
    <x v="1"/>
  </r>
  <r>
    <n v="1319"/>
    <x v="520"/>
    <d v="2026-10-14T00:00:00"/>
    <n v="50"/>
    <n v="13"/>
    <n v="2"/>
    <n v="14600"/>
    <n v="0"/>
    <n v="14600"/>
    <x v="1"/>
    <x v="1"/>
    <m/>
    <s v="Machu Picchu"/>
    <x v="1"/>
    <x v="1"/>
  </r>
  <r>
    <n v="1320"/>
    <x v="520"/>
    <d v="2026-10-18T00:00:00"/>
    <n v="142"/>
    <n v="13"/>
    <n v="1"/>
    <n v="7300"/>
    <n v="0.05"/>
    <n v="6935"/>
    <x v="1"/>
    <x v="0"/>
    <m/>
    <s v="Machu Picchu"/>
    <x v="1"/>
    <x v="0"/>
  </r>
  <r>
    <n v="1321"/>
    <x v="521"/>
    <d v="2026-11-01T00:00:00"/>
    <n v="143"/>
    <n v="5"/>
    <n v="2"/>
    <n v="6800"/>
    <n v="0"/>
    <n v="6800"/>
    <x v="3"/>
    <x v="0"/>
    <m/>
    <s v="Bonito Aventura"/>
    <x v="1"/>
    <x v="2"/>
  </r>
  <r>
    <n v="1322"/>
    <x v="521"/>
    <d v="2026-09-26T00:00:00"/>
    <n v="98"/>
    <n v="9"/>
    <n v="2"/>
    <n v="17800"/>
    <n v="0"/>
    <n v="17800"/>
    <x v="0"/>
    <x v="1"/>
    <m/>
    <s v="Cancún All Inclusive"/>
    <x v="2"/>
    <x v="1"/>
  </r>
  <r>
    <n v="1323"/>
    <x v="522"/>
    <d v="2027-01-28T00:00:00"/>
    <n v="40"/>
    <n v="13"/>
    <n v="2"/>
    <n v="14600"/>
    <n v="0.1"/>
    <n v="13140"/>
    <x v="1"/>
    <x v="0"/>
    <m/>
    <s v="Machu Picchu"/>
    <x v="1"/>
    <x v="0"/>
  </r>
  <r>
    <n v="1324"/>
    <x v="522"/>
    <d v="2027-01-26T00:00:00"/>
    <n v="4"/>
    <n v="1"/>
    <n v="2"/>
    <n v="6400"/>
    <n v="0"/>
    <n v="6400"/>
    <x v="0"/>
    <x v="0"/>
    <m/>
    <s v="Nordeste Encantado"/>
    <x v="2"/>
    <x v="0"/>
  </r>
  <r>
    <n v="1325"/>
    <x v="523"/>
    <d v="2026-09-02T00:00:00"/>
    <n v="88"/>
    <n v="3"/>
    <n v="5"/>
    <n v="13000"/>
    <n v="0.05"/>
    <n v="12350"/>
    <x v="0"/>
    <x v="1"/>
    <m/>
    <s v="Serra Gaúcha"/>
    <x v="3"/>
    <x v="0"/>
  </r>
  <r>
    <n v="1326"/>
    <x v="523"/>
    <d v="2026-09-28T00:00:00"/>
    <n v="160"/>
    <n v="6"/>
    <n v="2"/>
    <n v="4200"/>
    <n v="0"/>
    <n v="4200"/>
    <x v="1"/>
    <x v="1"/>
    <m/>
    <s v="Foz do Iguaçu"/>
    <x v="0"/>
    <x v="0"/>
  </r>
  <r>
    <n v="1327"/>
    <x v="523"/>
    <d v="2026-10-12T00:00:00"/>
    <n v="88"/>
    <n v="5"/>
    <n v="2"/>
    <n v="6800"/>
    <n v="0.05"/>
    <n v="6460"/>
    <x v="1"/>
    <x v="0"/>
    <m/>
    <s v="Bonito Aventura"/>
    <x v="1"/>
    <x v="0"/>
  </r>
  <r>
    <n v="1328"/>
    <x v="524"/>
    <d v="2027-01-31T00:00:00"/>
    <n v="99"/>
    <n v="2"/>
    <n v="2"/>
    <n v="3600"/>
    <n v="0"/>
    <n v="3600"/>
    <x v="1"/>
    <x v="1"/>
    <m/>
    <s v="Rio Cidade Maravilhosa"/>
    <x v="4"/>
    <x v="1"/>
  </r>
  <r>
    <n v="1329"/>
    <x v="524"/>
    <d v="2027-01-31T00:00:00"/>
    <n v="74"/>
    <n v="15"/>
    <n v="4"/>
    <n v="12400"/>
    <n v="0.05"/>
    <n v="11780"/>
    <x v="1"/>
    <x v="0"/>
    <m/>
    <s v="Jericoacoara"/>
    <x v="2"/>
    <x v="1"/>
  </r>
  <r>
    <n v="1330"/>
    <x v="525"/>
    <d v="2026-09-03T00:00:00"/>
    <n v="18"/>
    <n v="2"/>
    <n v="1"/>
    <n v="1800"/>
    <n v="0"/>
    <n v="1800"/>
    <x v="0"/>
    <x v="0"/>
    <n v="3"/>
    <s v="Rio Cidade Maravilhosa"/>
    <x v="4"/>
    <x v="3"/>
  </r>
  <r>
    <n v="1331"/>
    <x v="525"/>
    <d v="2026-09-15T00:00:00"/>
    <n v="44"/>
    <n v="9"/>
    <n v="1"/>
    <n v="8900"/>
    <n v="0.1"/>
    <n v="8010"/>
    <x v="0"/>
    <x v="0"/>
    <n v="4"/>
    <s v="Cancún All Inclusive"/>
    <x v="2"/>
    <x v="2"/>
  </r>
  <r>
    <n v="1332"/>
    <x v="526"/>
    <d v="2026-10-09T00:00:00"/>
    <n v="51"/>
    <n v="15"/>
    <n v="1"/>
    <n v="3100"/>
    <n v="0.1"/>
    <n v="2790"/>
    <x v="0"/>
    <x v="0"/>
    <m/>
    <s v="Jericoacoara"/>
    <x v="2"/>
    <x v="0"/>
  </r>
  <r>
    <n v="1333"/>
    <x v="527"/>
    <d v="2026-10-24T00:00:00"/>
    <n v="70"/>
    <n v="9"/>
    <n v="4"/>
    <n v="35600"/>
    <n v="0"/>
    <n v="35600"/>
    <x v="0"/>
    <x v="0"/>
    <m/>
    <s v="Cancún All Inclusive"/>
    <x v="2"/>
    <x v="4"/>
  </r>
  <r>
    <n v="1334"/>
    <x v="527"/>
    <d v="2026-09-09T00:00:00"/>
    <n v="65"/>
    <n v="13"/>
    <n v="2"/>
    <n v="14600"/>
    <n v="0.15"/>
    <n v="12410"/>
    <x v="1"/>
    <x v="0"/>
    <n v="1"/>
    <s v="Machu Picchu"/>
    <x v="1"/>
    <x v="1"/>
  </r>
  <r>
    <n v="1335"/>
    <x v="528"/>
    <d v="2026-09-07T00:00:00"/>
    <n v="163"/>
    <n v="14"/>
    <n v="1"/>
    <n v="2900"/>
    <n v="0"/>
    <n v="2900"/>
    <x v="1"/>
    <x v="0"/>
    <n v="5"/>
    <s v="Lençóis Maranhenses"/>
    <x v="0"/>
    <x v="2"/>
  </r>
  <r>
    <n v="1336"/>
    <x v="528"/>
    <d v="2026-09-24T00:00:00"/>
    <n v="111"/>
    <n v="2"/>
    <n v="1"/>
    <n v="1800"/>
    <n v="0.15"/>
    <n v="1530"/>
    <x v="2"/>
    <x v="1"/>
    <m/>
    <s v="Rio Cidade Maravilhosa"/>
    <x v="4"/>
    <x v="0"/>
  </r>
  <r>
    <n v="1337"/>
    <x v="529"/>
    <d v="2026-09-09T00:00:00"/>
    <n v="126"/>
    <n v="10"/>
    <n v="1"/>
    <n v="11500"/>
    <n v="0"/>
    <n v="11500"/>
    <x v="0"/>
    <x v="0"/>
    <n v="3"/>
    <s v="Orlando Parques"/>
    <x v="5"/>
    <x v="4"/>
  </r>
  <r>
    <n v="1338"/>
    <x v="530"/>
    <d v="2026-09-29T00:00:00"/>
    <n v="197"/>
    <n v="6"/>
    <n v="3"/>
    <n v="6300"/>
    <n v="0.1"/>
    <n v="5670"/>
    <x v="0"/>
    <x v="0"/>
    <m/>
    <s v="Foz do Iguaçu"/>
    <x v="0"/>
    <x v="1"/>
  </r>
  <r>
    <n v="1339"/>
    <x v="530"/>
    <d v="2026-09-18T00:00:00"/>
    <n v="125"/>
    <n v="3"/>
    <n v="2"/>
    <n v="5200"/>
    <n v="0.15"/>
    <n v="4420"/>
    <x v="0"/>
    <x v="0"/>
    <n v="5"/>
    <s v="Serra Gaúcha"/>
    <x v="3"/>
    <x v="4"/>
  </r>
  <r>
    <n v="1340"/>
    <x v="530"/>
    <d v="2026-12-17T00:00:00"/>
    <n v="90"/>
    <n v="9"/>
    <n v="2"/>
    <n v="17800"/>
    <n v="0.1"/>
    <n v="16020"/>
    <x v="2"/>
    <x v="0"/>
    <m/>
    <s v="Cancún All Inclusive"/>
    <x v="2"/>
    <x v="6"/>
  </r>
  <r>
    <n v="1341"/>
    <x v="531"/>
    <d v="2026-10-07T00:00:00"/>
    <n v="156"/>
    <n v="3"/>
    <n v="1"/>
    <n v="2600"/>
    <n v="0"/>
    <n v="2600"/>
    <x v="0"/>
    <x v="0"/>
    <m/>
    <s v="Serra Gaúcha"/>
    <x v="3"/>
    <x v="1"/>
  </r>
  <r>
    <n v="1342"/>
    <x v="531"/>
    <d v="2026-09-15T00:00:00"/>
    <n v="122"/>
    <n v="5"/>
    <n v="4"/>
    <n v="13600"/>
    <n v="0"/>
    <n v="13600"/>
    <x v="3"/>
    <x v="0"/>
    <n v="3"/>
    <s v="Bonito Aventura"/>
    <x v="1"/>
    <x v="3"/>
  </r>
  <r>
    <n v="1343"/>
    <x v="531"/>
    <d v="2026-09-10T00:00:00"/>
    <n v="39"/>
    <n v="15"/>
    <n v="4"/>
    <n v="12400"/>
    <n v="0"/>
    <n v="12400"/>
    <x v="1"/>
    <x v="0"/>
    <n v="4"/>
    <s v="Jericoacoara"/>
    <x v="2"/>
    <x v="0"/>
  </r>
  <r>
    <n v="1344"/>
    <x v="532"/>
    <d v="2026-10-12T00:00:00"/>
    <n v="154"/>
    <n v="14"/>
    <n v="1"/>
    <n v="2900"/>
    <n v="0"/>
    <n v="2900"/>
    <x v="1"/>
    <x v="0"/>
    <m/>
    <s v="Lençóis Maranhenses"/>
    <x v="0"/>
    <x v="2"/>
  </r>
  <r>
    <n v="1345"/>
    <x v="532"/>
    <d v="2027-02-12T00:00:00"/>
    <n v="116"/>
    <n v="11"/>
    <n v="3"/>
    <n v="47400"/>
    <n v="0.05"/>
    <n v="45030"/>
    <x v="1"/>
    <x v="0"/>
    <m/>
    <s v="Paris e Londres"/>
    <x v="4"/>
    <x v="0"/>
  </r>
  <r>
    <n v="1346"/>
    <x v="533"/>
    <d v="2026-10-15T00:00:00"/>
    <n v="118"/>
    <n v="1"/>
    <n v="2"/>
    <n v="6400"/>
    <n v="0"/>
    <n v="6400"/>
    <x v="0"/>
    <x v="1"/>
    <m/>
    <s v="Nordeste Encantado"/>
    <x v="2"/>
    <x v="1"/>
  </r>
  <r>
    <n v="1347"/>
    <x v="533"/>
    <d v="2026-12-16T00:00:00"/>
    <n v="48"/>
    <n v="1"/>
    <n v="5"/>
    <n v="16000"/>
    <n v="0"/>
    <n v="16000"/>
    <x v="3"/>
    <x v="1"/>
    <m/>
    <s v="Nordeste Encantado"/>
    <x v="2"/>
    <x v="1"/>
  </r>
  <r>
    <n v="1348"/>
    <x v="533"/>
    <d v="2026-09-28T00:00:00"/>
    <n v="97"/>
    <n v="8"/>
    <n v="1"/>
    <n v="5900"/>
    <n v="0.1"/>
    <n v="5310"/>
    <x v="3"/>
    <x v="0"/>
    <m/>
    <s v="Santiago e Neve"/>
    <x v="3"/>
    <x v="1"/>
  </r>
  <r>
    <n v="1349"/>
    <x v="534"/>
    <d v="2026-09-20T00:00:00"/>
    <n v="173"/>
    <n v="1"/>
    <n v="1"/>
    <n v="3200"/>
    <n v="0"/>
    <n v="3200"/>
    <x v="0"/>
    <x v="0"/>
    <n v="3"/>
    <s v="Nordeste Encantado"/>
    <x v="2"/>
    <x v="5"/>
  </r>
  <r>
    <n v="1350"/>
    <x v="535"/>
    <d v="2026-10-29T00:00:00"/>
    <n v="57"/>
    <n v="12"/>
    <n v="2"/>
    <n v="24800"/>
    <n v="0"/>
    <n v="24800"/>
    <x v="0"/>
    <x v="0"/>
    <m/>
    <s v="Lisboa e Porto"/>
    <x v="4"/>
    <x v="4"/>
  </r>
  <r>
    <n v="1351"/>
    <x v="536"/>
    <d v="2026-12-13T00:00:00"/>
    <n v="35"/>
    <n v="7"/>
    <n v="3"/>
    <n v="12600"/>
    <n v="0"/>
    <n v="12600"/>
    <x v="3"/>
    <x v="0"/>
    <m/>
    <s v="Buenos Aires Clássica"/>
    <x v="4"/>
    <x v="2"/>
  </r>
  <r>
    <n v="1352"/>
    <x v="536"/>
    <d v="2026-10-10T00:00:00"/>
    <n v="184"/>
    <n v="1"/>
    <n v="4"/>
    <n v="12800"/>
    <n v="0"/>
    <n v="12800"/>
    <x v="1"/>
    <x v="1"/>
    <m/>
    <s v="Nordeste Encantado"/>
    <x v="2"/>
    <x v="1"/>
  </r>
  <r>
    <n v="1353"/>
    <x v="537"/>
    <d v="2026-11-12T00:00:00"/>
    <n v="70"/>
    <n v="4"/>
    <n v="3"/>
    <n v="20700"/>
    <n v="0.1"/>
    <n v="18630"/>
    <x v="3"/>
    <x v="0"/>
    <m/>
    <s v="Fernando de Noronha"/>
    <x v="2"/>
    <x v="4"/>
  </r>
  <r>
    <n v="1354"/>
    <x v="537"/>
    <d v="2026-09-21T00:00:00"/>
    <n v="108"/>
    <n v="7"/>
    <n v="2"/>
    <n v="8400"/>
    <n v="0.15"/>
    <n v="7140"/>
    <x v="1"/>
    <x v="0"/>
    <n v="4"/>
    <s v="Buenos Aires Clássica"/>
    <x v="4"/>
    <x v="4"/>
  </r>
  <r>
    <n v="1355"/>
    <x v="538"/>
    <d v="2026-12-07T00:00:00"/>
    <n v="166"/>
    <n v="8"/>
    <n v="2"/>
    <n v="11800"/>
    <n v="0"/>
    <n v="11800"/>
    <x v="0"/>
    <x v="1"/>
    <m/>
    <s v="Santiago e Neve"/>
    <x v="3"/>
    <x v="0"/>
  </r>
  <r>
    <n v="1356"/>
    <x v="538"/>
    <d v="2026-09-24T00:00:00"/>
    <n v="84"/>
    <n v="13"/>
    <n v="1"/>
    <n v="7300"/>
    <n v="0.1"/>
    <n v="6570"/>
    <x v="0"/>
    <x v="0"/>
    <n v="4"/>
    <s v="Machu Picchu"/>
    <x v="1"/>
    <x v="6"/>
  </r>
  <r>
    <n v="1357"/>
    <x v="538"/>
    <d v="2027-01-25T00:00:00"/>
    <n v="156"/>
    <n v="12"/>
    <n v="1"/>
    <n v="12400"/>
    <n v="0"/>
    <n v="12400"/>
    <x v="0"/>
    <x v="0"/>
    <m/>
    <s v="Lisboa e Porto"/>
    <x v="4"/>
    <x v="1"/>
  </r>
  <r>
    <n v="1358"/>
    <x v="539"/>
    <d v="2026-09-27T00:00:00"/>
    <n v="195"/>
    <n v="10"/>
    <n v="2"/>
    <n v="23000"/>
    <n v="0.1"/>
    <n v="20700"/>
    <x v="1"/>
    <x v="0"/>
    <m/>
    <s v="Orlando Parques"/>
    <x v="5"/>
    <x v="0"/>
  </r>
  <r>
    <n v="1359"/>
    <x v="539"/>
    <d v="2027-01-30T00:00:00"/>
    <n v="74"/>
    <n v="1"/>
    <n v="2"/>
    <n v="6400"/>
    <n v="0"/>
    <n v="6400"/>
    <x v="1"/>
    <x v="0"/>
    <m/>
    <s v="Nordeste Encantado"/>
    <x v="2"/>
    <x v="1"/>
  </r>
  <r>
    <n v="1360"/>
    <x v="540"/>
    <d v="2026-10-05T00:00:00"/>
    <n v="127"/>
    <n v="4"/>
    <n v="1"/>
    <n v="6900"/>
    <n v="0.05"/>
    <n v="6555"/>
    <x v="0"/>
    <x v="0"/>
    <m/>
    <s v="Fernando de Noronha"/>
    <x v="2"/>
    <x v="1"/>
  </r>
  <r>
    <n v="1361"/>
    <x v="540"/>
    <d v="2027-01-25T00:00:00"/>
    <n v="68"/>
    <n v="10"/>
    <n v="1"/>
    <n v="11500"/>
    <n v="0"/>
    <n v="11500"/>
    <x v="2"/>
    <x v="0"/>
    <m/>
    <s v="Orlando Parques"/>
    <x v="5"/>
    <x v="5"/>
  </r>
  <r>
    <n v="1362"/>
    <x v="540"/>
    <d v="2026-10-04T00:00:00"/>
    <n v="17"/>
    <n v="10"/>
    <n v="4"/>
    <n v="46000"/>
    <n v="0.05"/>
    <n v="43700"/>
    <x v="3"/>
    <x v="0"/>
    <m/>
    <s v="Orlando Parques"/>
    <x v="5"/>
    <x v="0"/>
  </r>
  <r>
    <n v="1363"/>
    <x v="541"/>
    <d v="2026-10-01T00:00:00"/>
    <n v="97"/>
    <n v="2"/>
    <n v="3"/>
    <n v="5400"/>
    <n v="0.1"/>
    <n v="4860"/>
    <x v="1"/>
    <x v="1"/>
    <m/>
    <s v="Rio Cidade Maravilhosa"/>
    <x v="4"/>
    <x v="1"/>
  </r>
  <r>
    <n v="1364"/>
    <x v="541"/>
    <d v="2027-02-09T00:00:00"/>
    <n v="71"/>
    <n v="7"/>
    <n v="2"/>
    <n v="8400"/>
    <n v="0.05"/>
    <n v="7980"/>
    <x v="0"/>
    <x v="0"/>
    <m/>
    <s v="Buenos Aires Clássica"/>
    <x v="4"/>
    <x v="0"/>
  </r>
  <r>
    <n v="1365"/>
    <x v="541"/>
    <d v="2026-10-03T00:00:00"/>
    <n v="130"/>
    <n v="2"/>
    <n v="2"/>
    <n v="3600"/>
    <n v="0.05"/>
    <n v="3420"/>
    <x v="0"/>
    <x v="0"/>
    <m/>
    <s v="Rio Cidade Maravilhosa"/>
    <x v="4"/>
    <x v="1"/>
  </r>
  <r>
    <n v="1366"/>
    <x v="542"/>
    <d v="2026-10-06T00:00:00"/>
    <n v="71"/>
    <n v="1"/>
    <n v="2"/>
    <n v="6400"/>
    <n v="0.1"/>
    <n v="5760"/>
    <x v="3"/>
    <x v="0"/>
    <m/>
    <s v="Nordeste Encantado"/>
    <x v="2"/>
    <x v="0"/>
  </r>
  <r>
    <n v="1367"/>
    <x v="542"/>
    <d v="2026-09-27T00:00:00"/>
    <n v="179"/>
    <n v="2"/>
    <n v="2"/>
    <n v="3600"/>
    <n v="0.15"/>
    <n v="3060"/>
    <x v="1"/>
    <x v="0"/>
    <m/>
    <s v="Rio Cidade Maravilhosa"/>
    <x v="4"/>
    <x v="1"/>
  </r>
  <r>
    <n v="1368"/>
    <x v="542"/>
    <d v="2027-01-02T00:00:00"/>
    <n v="131"/>
    <n v="7"/>
    <n v="2"/>
    <n v="8400"/>
    <n v="0.05"/>
    <n v="7980"/>
    <x v="0"/>
    <x v="1"/>
    <m/>
    <s v="Buenos Aires Clássica"/>
    <x v="4"/>
    <x v="0"/>
  </r>
  <r>
    <n v="1369"/>
    <x v="542"/>
    <d v="2026-10-07T00:00:00"/>
    <n v="40"/>
    <n v="9"/>
    <n v="3"/>
    <n v="26700"/>
    <n v="0"/>
    <n v="26700"/>
    <x v="0"/>
    <x v="0"/>
    <m/>
    <s v="Cancún All Inclusive"/>
    <x v="2"/>
    <x v="0"/>
  </r>
  <r>
    <n v="1370"/>
    <x v="543"/>
    <d v="2026-10-27T00:00:00"/>
    <n v="27"/>
    <n v="6"/>
    <n v="1"/>
    <n v="2100"/>
    <n v="0.1"/>
    <n v="1890"/>
    <x v="2"/>
    <x v="0"/>
    <m/>
    <s v="Foz do Iguaçu"/>
    <x v="0"/>
    <x v="3"/>
  </r>
  <r>
    <n v="1371"/>
    <x v="544"/>
    <d v="2026-10-10T00:00:00"/>
    <n v="183"/>
    <n v="2"/>
    <n v="2"/>
    <n v="3600"/>
    <n v="0.1"/>
    <n v="3240"/>
    <x v="0"/>
    <x v="0"/>
    <m/>
    <s v="Rio Cidade Maravilhosa"/>
    <x v="4"/>
    <x v="4"/>
  </r>
  <r>
    <n v="1372"/>
    <x v="545"/>
    <d v="2027-02-04T00:00:00"/>
    <n v="51"/>
    <n v="7"/>
    <n v="1"/>
    <n v="4200"/>
    <n v="0.1"/>
    <n v="3780"/>
    <x v="2"/>
    <x v="0"/>
    <m/>
    <s v="Buenos Aires Clássica"/>
    <x v="4"/>
    <x v="0"/>
  </r>
  <r>
    <n v="1373"/>
    <x v="545"/>
    <d v="2026-11-12T00:00:00"/>
    <n v="159"/>
    <n v="7"/>
    <n v="2"/>
    <n v="8400"/>
    <n v="0"/>
    <n v="8400"/>
    <x v="3"/>
    <x v="0"/>
    <m/>
    <s v="Buenos Aires Clássica"/>
    <x v="4"/>
    <x v="1"/>
  </r>
  <r>
    <n v="1374"/>
    <x v="545"/>
    <d v="2026-11-16T00:00:00"/>
    <n v="125"/>
    <n v="3"/>
    <n v="3"/>
    <n v="7800"/>
    <n v="0"/>
    <n v="7800"/>
    <x v="1"/>
    <x v="1"/>
    <m/>
    <s v="Serra Gaúcha"/>
    <x v="3"/>
    <x v="4"/>
  </r>
  <r>
    <n v="1375"/>
    <x v="545"/>
    <d v="2027-01-25T00:00:00"/>
    <n v="114"/>
    <n v="9"/>
    <n v="2"/>
    <n v="17800"/>
    <n v="0.05"/>
    <n v="16910"/>
    <x v="0"/>
    <x v="0"/>
    <m/>
    <s v="Cancún All Inclusive"/>
    <x v="2"/>
    <x v="1"/>
  </r>
  <r>
    <n v="1376"/>
    <x v="546"/>
    <d v="2026-11-24T00:00:00"/>
    <n v="76"/>
    <n v="3"/>
    <n v="2"/>
    <n v="5200"/>
    <n v="0"/>
    <n v="5200"/>
    <x v="0"/>
    <x v="0"/>
    <m/>
    <s v="Serra Gaúcha"/>
    <x v="3"/>
    <x v="2"/>
  </r>
  <r>
    <n v="1377"/>
    <x v="546"/>
    <d v="2026-11-17T00:00:00"/>
    <n v="179"/>
    <n v="14"/>
    <n v="1"/>
    <n v="2900"/>
    <n v="0.05"/>
    <n v="2755"/>
    <x v="0"/>
    <x v="0"/>
    <m/>
    <s v="Lençóis Maranhenses"/>
    <x v="0"/>
    <x v="1"/>
  </r>
  <r>
    <n v="1378"/>
    <x v="547"/>
    <d v="2026-11-11T00:00:00"/>
    <n v="52"/>
    <n v="15"/>
    <n v="3"/>
    <n v="9300"/>
    <n v="0.1"/>
    <n v="8370"/>
    <x v="0"/>
    <x v="0"/>
    <m/>
    <s v="Jericoacoara"/>
    <x v="2"/>
    <x v="1"/>
  </r>
  <r>
    <n v="1379"/>
    <x v="547"/>
    <d v="2026-11-26T00:00:00"/>
    <n v="162"/>
    <n v="4"/>
    <n v="2"/>
    <n v="13800"/>
    <n v="0.05"/>
    <n v="13110"/>
    <x v="3"/>
    <x v="0"/>
    <m/>
    <s v="Fernando de Noronha"/>
    <x v="2"/>
    <x v="1"/>
  </r>
  <r>
    <n v="1380"/>
    <x v="548"/>
    <d v="2026-10-07T00:00:00"/>
    <n v="22"/>
    <n v="1"/>
    <n v="2"/>
    <n v="6400"/>
    <n v="0"/>
    <n v="6400"/>
    <x v="3"/>
    <x v="0"/>
    <m/>
    <s v="Nordeste Encantado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BC3D0-1C0A-4306-A3DE-75415AF4FB0B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7">
    <pivotField showAll="0"/>
    <pivotField numFmtId="14" showAll="0">
      <items count="5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umFmtId="14" showAll="0"/>
    <pivotField showAll="0"/>
    <pivotField showAll="0"/>
    <pivotField showAll="0"/>
    <pivotField numFmtId="164" showAll="0"/>
    <pivotField numFmtId="9" showAll="0"/>
    <pivotField dataField="1"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7">
        <item x="1"/>
        <item x="4"/>
        <item x="3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5"/>
        <item x="2"/>
        <item x="4"/>
        <item x="7"/>
        <item x="3"/>
        <item x="0"/>
        <item x="6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7">
    <i>
      <x v="5"/>
    </i>
    <i>
      <x v="1"/>
    </i>
    <i>
      <x v="4"/>
    </i>
    <i>
      <x v="2"/>
    </i>
    <i>
      <x/>
    </i>
    <i>
      <x v="3"/>
    </i>
    <i t="grand">
      <x/>
    </i>
  </rowItems>
  <colItems count="1">
    <i/>
  </colItems>
  <dataFields count="1">
    <dataField name="Soma de Valor_Venda" fld="8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C7143-0CD7-4185-AC81-A6644CFD68D2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27" firstHeaderRow="1" firstDataRow="1" firstDataCol="1"/>
  <pivotFields count="17">
    <pivotField showAll="0"/>
    <pivotField numFmtId="14" showAll="0">
      <items count="5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umFmtId="14" showAll="0"/>
    <pivotField showAll="0"/>
    <pivotField showAll="0"/>
    <pivotField showAll="0"/>
    <pivotField numFmtId="164" showAll="0"/>
    <pivotField numFmtId="9" showAll="0"/>
    <pivotField dataField="1"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9">
        <item x="5"/>
        <item x="2"/>
        <item x="4"/>
        <item x="7"/>
        <item x="3"/>
        <item x="0"/>
        <item x="6"/>
        <item x="1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6"/>
    <field x="15"/>
  </rowFields>
  <rowItems count="2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oma de Valor_Venda" fld="8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5939B-BF24-4ADD-8E21-37B9F8F52A0D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7">
    <pivotField showAll="0"/>
    <pivotField numFmtId="14" showAll="0">
      <items count="5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umFmtId="14" showAll="0"/>
    <pivotField showAll="0"/>
    <pivotField showAll="0"/>
    <pivotField showAll="0"/>
    <pivotField numFmtId="164" showAll="0"/>
    <pivotField numFmtId="9" showAll="0"/>
    <pivotField dataField="1" numFmtId="164"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9">
        <item x="5"/>
        <item x="2"/>
        <item x="4"/>
        <item x="7"/>
        <item x="3"/>
        <item x="0"/>
        <item x="6"/>
        <item x="1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_Venda" fld="8" baseField="0" baseItem="0" numFmtId="164"/>
  </dataField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9AD214A4-0DB8-4F0E-B804-F41F2B89E33C}" sourceName="Status">
  <pivotTables>
    <pivotTable tabId="5" name="Tabela dinâmica2"/>
    <pivotTable tabId="6" name="Tabela dinâmica3"/>
    <pivotTable tabId="4" name="Tabela dinâmica1"/>
  </pivotTables>
  <data>
    <tabular pivotCacheId="192489118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" xr10:uid="{951D57A8-DF87-4C52-A3FB-8D03D5AF00B5}" sourceName="UF">
  <pivotTables>
    <pivotTable tabId="5" name="Tabela dinâmica2"/>
    <pivotTable tabId="6" name="Tabela dinâmica3"/>
    <pivotTable tabId="4" name="Tabela dinâmica1"/>
  </pivotTables>
  <data>
    <tabular pivotCacheId="192489118">
      <items count="8">
        <i x="5" s="1"/>
        <i x="2" s="1"/>
        <i x="4" s="1"/>
        <i x="7" s="1"/>
        <i x="3" s="1"/>
        <i x="0" s="1"/>
        <i x="6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_Venda" xr10:uid="{30A848B9-3E4A-4D7F-997B-2C440099D86F}" sourceName="Anos (Data_Venda)">
  <pivotTables>
    <pivotTable tabId="5" name="Tabela dinâmica2"/>
    <pivotTable tabId="6" name="Tabela dinâmica3"/>
    <pivotTable tabId="4" name="Tabela dinâmica1"/>
  </pivotTables>
  <data>
    <tabular pivotCacheId="192489118">
      <items count="4">
        <i x="1" s="1"/>
        <i x="2" s="1"/>
        <i x="0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F8B493F3-7348-4B21-82B3-925A9B876440}" cache="SegmentaçãodeDados_Status" caption="Status" rowHeight="234950"/>
  <slicer name="UF" xr10:uid="{F089A5BC-5011-4D6D-8911-B06DADD959D6}" cache="SegmentaçãodeDados_UF" caption="UF" rowHeight="234950"/>
  <slicer name="Anos (Data_Venda)" xr10:uid="{5F970F2A-9E85-4C77-9291-31B90850E25D}" cache="SegmentaçãodeDados_Anos__Data_Venda" caption="Anos (Data_Venda)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lientes" displayName="tClientes" ref="A1:G201">
  <autoFilter ref="A1:G201" xr:uid="{00000000-0009-0000-0100-000001000000}"/>
  <tableColumns count="7">
    <tableColumn id="1" xr3:uid="{00000000-0010-0000-0000-000001000000}" name="ID_Cliente"/>
    <tableColumn id="2" xr3:uid="{00000000-0010-0000-0000-000002000000}" name="Nome"/>
    <tableColumn id="3" xr3:uid="{00000000-0010-0000-0000-000003000000}" name="Sexo"/>
    <tableColumn id="4" xr3:uid="{00000000-0010-0000-0000-000004000000}" name="Idade"/>
    <tableColumn id="5" xr3:uid="{00000000-0010-0000-0000-000005000000}" name="Cidade"/>
    <tableColumn id="6" xr3:uid="{00000000-0010-0000-0000-000006000000}" name="UF"/>
    <tableColumn id="7" xr3:uid="{00000000-0010-0000-0000-000007000000}" name="Tipo_Client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acotes" displayName="tPacotes" ref="A1:I16">
  <autoFilter ref="A1:I16" xr:uid="{00000000-0009-0000-0100-000002000000}"/>
  <tableColumns count="9">
    <tableColumn id="1" xr3:uid="{00000000-0010-0000-0100-000001000000}" name="ID_Pacote"/>
    <tableColumn id="2" xr3:uid="{00000000-0010-0000-0100-000002000000}" name="Pacote"/>
    <tableColumn id="3" xr3:uid="{00000000-0010-0000-0100-000003000000}" name="Destino"/>
    <tableColumn id="4" xr3:uid="{00000000-0010-0000-0100-000004000000}" name="Pais"/>
    <tableColumn id="5" xr3:uid="{00000000-0010-0000-0100-000005000000}" name="Tipo_Destino"/>
    <tableColumn id="6" xr3:uid="{00000000-0010-0000-0100-000006000000}" name="Categoria"/>
    <tableColumn id="7" xr3:uid="{00000000-0010-0000-0100-000007000000}" name="Dias"/>
    <tableColumn id="8" xr3:uid="{00000000-0010-0000-0100-000008000000}" name="Preco_Pessoa"/>
    <tableColumn id="9" xr3:uid="{00000000-0010-0000-0100-000009000000}" name="Custo_Pesso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Vendas" displayName="tVendas" ref="A1:O1381">
  <autoFilter ref="A1:O1381" xr:uid="{00000000-0009-0000-0100-000003000000}"/>
  <tableColumns count="15">
    <tableColumn id="1" xr3:uid="{00000000-0010-0000-0200-000001000000}" name="ID_Venda"/>
    <tableColumn id="2" xr3:uid="{00000000-0010-0000-0200-000002000000}" name="Data_Venda"/>
    <tableColumn id="3" xr3:uid="{00000000-0010-0000-0200-000003000000}" name="Data_Viagem"/>
    <tableColumn id="4" xr3:uid="{00000000-0010-0000-0200-000004000000}" name="ID_Cliente"/>
    <tableColumn id="5" xr3:uid="{00000000-0010-0000-0200-000005000000}" name="ID_Pacote"/>
    <tableColumn id="6" xr3:uid="{00000000-0010-0000-0200-000006000000}" name="Qtd_Passageiros"/>
    <tableColumn id="7" xr3:uid="{00000000-0010-0000-0200-000007000000}" name="Valor_Bruto"/>
    <tableColumn id="8" xr3:uid="{00000000-0010-0000-0200-000008000000}" name="Desconto"/>
    <tableColumn id="9" xr3:uid="{00000000-0010-0000-0200-000009000000}" name="Valor_Venda"/>
    <tableColumn id="10" xr3:uid="{00000000-0010-0000-0200-00000A000000}" name="Canal"/>
    <tableColumn id="11" xr3:uid="{00000000-0010-0000-0200-00000B000000}" name="Status"/>
    <tableColumn id="12" xr3:uid="{00000000-0010-0000-0200-00000C000000}" name="Avaliacao"/>
    <tableColumn id="13" xr3:uid="{C3CDACAC-83C2-43E8-8782-2CB399DFFC14}" name="Pacote" dataDxfId="2">
      <calculatedColumnFormula>_xlfn.XLOOKUP(E2,tPacotes[ID_Pacote],tPacotes[Pacote])</calculatedColumnFormula>
    </tableColumn>
    <tableColumn id="14" xr3:uid="{DB82C883-2DCC-4902-9E4B-FFBFFFB92258}" name="Categoria" dataDxfId="1">
      <calculatedColumnFormula>_xlfn.XLOOKUP(E2,tPacotes[ID_Pacote],tPacotes[Categoria])</calculatedColumnFormula>
    </tableColumn>
    <tableColumn id="15" xr3:uid="{16ED62CB-BA16-44D6-9D2A-AE34B72E9773}" name="UF" dataDxfId="0">
      <calculatedColumnFormula>_xlfn.XLOOKUP(D2,tClientes[ID_Cliente],tClientes[UF])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4" width="10" customWidth="1"/>
    <col min="5" max="5" width="17" customWidth="1"/>
    <col min="6" max="6" width="10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23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 t="s">
        <v>8</v>
      </c>
      <c r="D3">
        <v>51</v>
      </c>
      <c r="E3" t="s">
        <v>13</v>
      </c>
      <c r="F3" t="s">
        <v>14</v>
      </c>
      <c r="G3" t="s">
        <v>11</v>
      </c>
    </row>
    <row r="4" spans="1:7" x14ac:dyDescent="0.3">
      <c r="A4">
        <v>3</v>
      </c>
      <c r="B4" t="s">
        <v>15</v>
      </c>
      <c r="C4" t="s">
        <v>8</v>
      </c>
      <c r="D4">
        <v>34</v>
      </c>
      <c r="E4" t="s">
        <v>16</v>
      </c>
      <c r="F4" t="s">
        <v>17</v>
      </c>
      <c r="G4" t="s">
        <v>11</v>
      </c>
    </row>
    <row r="5" spans="1:7" x14ac:dyDescent="0.3">
      <c r="A5">
        <v>4</v>
      </c>
      <c r="B5" t="s">
        <v>18</v>
      </c>
      <c r="C5" t="s">
        <v>8</v>
      </c>
      <c r="D5">
        <v>26</v>
      </c>
      <c r="E5" t="s">
        <v>13</v>
      </c>
      <c r="F5" t="s">
        <v>14</v>
      </c>
      <c r="G5" t="s">
        <v>11</v>
      </c>
    </row>
    <row r="6" spans="1:7" x14ac:dyDescent="0.3">
      <c r="A6">
        <v>5</v>
      </c>
      <c r="B6" t="s">
        <v>19</v>
      </c>
      <c r="C6" t="s">
        <v>20</v>
      </c>
      <c r="D6">
        <v>55</v>
      </c>
      <c r="E6" t="s">
        <v>21</v>
      </c>
      <c r="F6" t="s">
        <v>22</v>
      </c>
      <c r="G6" t="s">
        <v>11</v>
      </c>
    </row>
    <row r="7" spans="1:7" x14ac:dyDescent="0.3">
      <c r="A7">
        <v>6</v>
      </c>
      <c r="B7" t="s">
        <v>23</v>
      </c>
      <c r="C7" t="s">
        <v>8</v>
      </c>
      <c r="D7">
        <v>54</v>
      </c>
      <c r="E7" t="s">
        <v>24</v>
      </c>
      <c r="F7" t="s">
        <v>17</v>
      </c>
      <c r="G7" t="s">
        <v>25</v>
      </c>
    </row>
    <row r="8" spans="1:7" x14ac:dyDescent="0.3">
      <c r="A8">
        <v>7</v>
      </c>
      <c r="B8" t="s">
        <v>26</v>
      </c>
      <c r="C8" t="s">
        <v>20</v>
      </c>
      <c r="D8">
        <v>26</v>
      </c>
      <c r="E8" t="s">
        <v>16</v>
      </c>
      <c r="F8" t="s">
        <v>17</v>
      </c>
      <c r="G8" t="s">
        <v>11</v>
      </c>
    </row>
    <row r="9" spans="1:7" x14ac:dyDescent="0.3">
      <c r="A9">
        <v>8</v>
      </c>
      <c r="B9" t="s">
        <v>27</v>
      </c>
      <c r="C9" t="s">
        <v>8</v>
      </c>
      <c r="D9">
        <v>25</v>
      </c>
      <c r="E9" t="s">
        <v>28</v>
      </c>
      <c r="F9" t="s">
        <v>17</v>
      </c>
      <c r="G9" t="s">
        <v>11</v>
      </c>
    </row>
    <row r="10" spans="1:7" x14ac:dyDescent="0.3">
      <c r="A10">
        <v>9</v>
      </c>
      <c r="B10" t="s">
        <v>29</v>
      </c>
      <c r="C10" t="s">
        <v>8</v>
      </c>
      <c r="D10">
        <v>54</v>
      </c>
      <c r="E10" t="s">
        <v>21</v>
      </c>
      <c r="F10" t="s">
        <v>22</v>
      </c>
      <c r="G10" t="s">
        <v>11</v>
      </c>
    </row>
    <row r="11" spans="1:7" x14ac:dyDescent="0.3">
      <c r="A11">
        <v>10</v>
      </c>
      <c r="B11" t="s">
        <v>30</v>
      </c>
      <c r="C11" t="s">
        <v>8</v>
      </c>
      <c r="D11">
        <v>50</v>
      </c>
      <c r="E11" t="s">
        <v>16</v>
      </c>
      <c r="F11" t="s">
        <v>17</v>
      </c>
      <c r="G11" t="s">
        <v>11</v>
      </c>
    </row>
    <row r="12" spans="1:7" x14ac:dyDescent="0.3">
      <c r="A12">
        <v>11</v>
      </c>
      <c r="B12" t="s">
        <v>31</v>
      </c>
      <c r="C12" t="s">
        <v>20</v>
      </c>
      <c r="D12">
        <v>56</v>
      </c>
      <c r="E12" t="s">
        <v>13</v>
      </c>
      <c r="F12" t="s">
        <v>14</v>
      </c>
      <c r="G12" t="s">
        <v>11</v>
      </c>
    </row>
    <row r="13" spans="1:7" x14ac:dyDescent="0.3">
      <c r="A13">
        <v>12</v>
      </c>
      <c r="B13" t="s">
        <v>32</v>
      </c>
      <c r="C13" t="s">
        <v>20</v>
      </c>
      <c r="D13">
        <v>30</v>
      </c>
      <c r="E13" t="s">
        <v>13</v>
      </c>
      <c r="F13" t="s">
        <v>14</v>
      </c>
      <c r="G13" t="s">
        <v>11</v>
      </c>
    </row>
    <row r="14" spans="1:7" x14ac:dyDescent="0.3">
      <c r="A14">
        <v>13</v>
      </c>
      <c r="B14" t="s">
        <v>33</v>
      </c>
      <c r="C14" t="s">
        <v>8</v>
      </c>
      <c r="D14">
        <v>52</v>
      </c>
      <c r="E14" t="s">
        <v>34</v>
      </c>
      <c r="F14" t="s">
        <v>35</v>
      </c>
      <c r="G14" t="s">
        <v>11</v>
      </c>
    </row>
    <row r="15" spans="1:7" x14ac:dyDescent="0.3">
      <c r="A15">
        <v>14</v>
      </c>
      <c r="B15" t="s">
        <v>36</v>
      </c>
      <c r="C15" t="s">
        <v>20</v>
      </c>
      <c r="D15">
        <v>57</v>
      </c>
      <c r="E15" t="s">
        <v>37</v>
      </c>
      <c r="F15" t="s">
        <v>38</v>
      </c>
      <c r="G15" t="s">
        <v>11</v>
      </c>
    </row>
    <row r="16" spans="1:7" x14ac:dyDescent="0.3">
      <c r="A16">
        <v>15</v>
      </c>
      <c r="B16" t="s">
        <v>39</v>
      </c>
      <c r="C16" t="s">
        <v>8</v>
      </c>
      <c r="D16">
        <v>40</v>
      </c>
      <c r="E16" t="s">
        <v>16</v>
      </c>
      <c r="F16" t="s">
        <v>17</v>
      </c>
      <c r="G16" t="s">
        <v>11</v>
      </c>
    </row>
    <row r="17" spans="1:7" x14ac:dyDescent="0.3">
      <c r="A17">
        <v>16</v>
      </c>
      <c r="B17" t="s">
        <v>40</v>
      </c>
      <c r="C17" t="s">
        <v>8</v>
      </c>
      <c r="D17">
        <v>23</v>
      </c>
      <c r="E17" t="s">
        <v>9</v>
      </c>
      <c r="F17" t="s">
        <v>10</v>
      </c>
      <c r="G17" t="s">
        <v>11</v>
      </c>
    </row>
    <row r="18" spans="1:7" x14ac:dyDescent="0.3">
      <c r="A18">
        <v>17</v>
      </c>
      <c r="B18" t="s">
        <v>41</v>
      </c>
      <c r="C18" t="s">
        <v>8</v>
      </c>
      <c r="D18">
        <v>39</v>
      </c>
      <c r="E18" t="s">
        <v>13</v>
      </c>
      <c r="F18" t="s">
        <v>14</v>
      </c>
      <c r="G18" t="s">
        <v>11</v>
      </c>
    </row>
    <row r="19" spans="1:7" x14ac:dyDescent="0.3">
      <c r="A19">
        <v>18</v>
      </c>
      <c r="B19" t="s">
        <v>42</v>
      </c>
      <c r="C19" t="s">
        <v>8</v>
      </c>
      <c r="D19">
        <v>70</v>
      </c>
      <c r="E19" t="s">
        <v>43</v>
      </c>
      <c r="F19" t="s">
        <v>44</v>
      </c>
      <c r="G19" t="s">
        <v>11</v>
      </c>
    </row>
    <row r="20" spans="1:7" x14ac:dyDescent="0.3">
      <c r="A20">
        <v>19</v>
      </c>
      <c r="B20" t="s">
        <v>45</v>
      </c>
      <c r="C20" t="s">
        <v>8</v>
      </c>
      <c r="D20">
        <v>49</v>
      </c>
      <c r="E20" t="s">
        <v>16</v>
      </c>
      <c r="F20" t="s">
        <v>17</v>
      </c>
      <c r="G20" t="s">
        <v>11</v>
      </c>
    </row>
    <row r="21" spans="1:7" x14ac:dyDescent="0.3">
      <c r="A21">
        <v>20</v>
      </c>
      <c r="B21" t="s">
        <v>46</v>
      </c>
      <c r="C21" t="s">
        <v>8</v>
      </c>
      <c r="D21">
        <v>38</v>
      </c>
      <c r="E21" t="s">
        <v>43</v>
      </c>
      <c r="F21" t="s">
        <v>44</v>
      </c>
      <c r="G21" t="s">
        <v>11</v>
      </c>
    </row>
    <row r="22" spans="1:7" x14ac:dyDescent="0.3">
      <c r="A22">
        <v>21</v>
      </c>
      <c r="B22" t="s">
        <v>47</v>
      </c>
      <c r="C22" t="s">
        <v>8</v>
      </c>
      <c r="D22">
        <v>37</v>
      </c>
      <c r="E22" t="s">
        <v>21</v>
      </c>
      <c r="F22" t="s">
        <v>22</v>
      </c>
      <c r="G22" t="s">
        <v>11</v>
      </c>
    </row>
    <row r="23" spans="1:7" x14ac:dyDescent="0.3">
      <c r="A23">
        <v>22</v>
      </c>
      <c r="B23" t="s">
        <v>48</v>
      </c>
      <c r="C23" t="s">
        <v>8</v>
      </c>
      <c r="D23">
        <v>48</v>
      </c>
      <c r="E23" t="s">
        <v>24</v>
      </c>
      <c r="F23" t="s">
        <v>17</v>
      </c>
      <c r="G23" t="s">
        <v>11</v>
      </c>
    </row>
    <row r="24" spans="1:7" x14ac:dyDescent="0.3">
      <c r="A24">
        <v>23</v>
      </c>
      <c r="B24" t="s">
        <v>49</v>
      </c>
      <c r="C24" t="s">
        <v>20</v>
      </c>
      <c r="D24">
        <v>32</v>
      </c>
      <c r="E24" t="s">
        <v>16</v>
      </c>
      <c r="F24" t="s">
        <v>17</v>
      </c>
      <c r="G24" t="s">
        <v>11</v>
      </c>
    </row>
    <row r="25" spans="1:7" x14ac:dyDescent="0.3">
      <c r="A25">
        <v>24</v>
      </c>
      <c r="B25" t="s">
        <v>50</v>
      </c>
      <c r="C25" t="s">
        <v>8</v>
      </c>
      <c r="D25">
        <v>44</v>
      </c>
      <c r="E25" t="s">
        <v>16</v>
      </c>
      <c r="F25" t="s">
        <v>17</v>
      </c>
      <c r="G25" t="s">
        <v>11</v>
      </c>
    </row>
    <row r="26" spans="1:7" x14ac:dyDescent="0.3">
      <c r="A26">
        <v>25</v>
      </c>
      <c r="B26" t="s">
        <v>51</v>
      </c>
      <c r="C26" t="s">
        <v>20</v>
      </c>
      <c r="D26">
        <v>44</v>
      </c>
      <c r="E26" t="s">
        <v>37</v>
      </c>
      <c r="F26" t="s">
        <v>38</v>
      </c>
      <c r="G26" t="s">
        <v>11</v>
      </c>
    </row>
    <row r="27" spans="1:7" x14ac:dyDescent="0.3">
      <c r="A27">
        <v>26</v>
      </c>
      <c r="B27" t="s">
        <v>52</v>
      </c>
      <c r="C27" t="s">
        <v>20</v>
      </c>
      <c r="D27">
        <v>54</v>
      </c>
      <c r="E27" t="s">
        <v>16</v>
      </c>
      <c r="F27" t="s">
        <v>17</v>
      </c>
      <c r="G27" t="s">
        <v>11</v>
      </c>
    </row>
    <row r="28" spans="1:7" x14ac:dyDescent="0.3">
      <c r="A28">
        <v>27</v>
      </c>
      <c r="B28" t="s">
        <v>53</v>
      </c>
      <c r="C28" t="s">
        <v>8</v>
      </c>
      <c r="D28">
        <v>43</v>
      </c>
      <c r="E28" t="s">
        <v>43</v>
      </c>
      <c r="F28" t="s">
        <v>44</v>
      </c>
      <c r="G28" t="s">
        <v>25</v>
      </c>
    </row>
    <row r="29" spans="1:7" x14ac:dyDescent="0.3">
      <c r="A29">
        <v>28</v>
      </c>
      <c r="B29" t="s">
        <v>54</v>
      </c>
      <c r="C29" t="s">
        <v>20</v>
      </c>
      <c r="D29">
        <v>61</v>
      </c>
      <c r="E29" t="s">
        <v>16</v>
      </c>
      <c r="F29" t="s">
        <v>17</v>
      </c>
      <c r="G29" t="s">
        <v>11</v>
      </c>
    </row>
    <row r="30" spans="1:7" x14ac:dyDescent="0.3">
      <c r="A30">
        <v>29</v>
      </c>
      <c r="B30" t="s">
        <v>55</v>
      </c>
      <c r="C30" t="s">
        <v>20</v>
      </c>
      <c r="D30">
        <v>35</v>
      </c>
      <c r="E30" t="s">
        <v>16</v>
      </c>
      <c r="F30" t="s">
        <v>17</v>
      </c>
      <c r="G30" t="s">
        <v>25</v>
      </c>
    </row>
    <row r="31" spans="1:7" x14ac:dyDescent="0.3">
      <c r="A31">
        <v>30</v>
      </c>
      <c r="B31" t="s">
        <v>56</v>
      </c>
      <c r="C31" t="s">
        <v>20</v>
      </c>
      <c r="D31">
        <v>58</v>
      </c>
      <c r="E31" t="s">
        <v>16</v>
      </c>
      <c r="F31" t="s">
        <v>17</v>
      </c>
      <c r="G31" t="s">
        <v>11</v>
      </c>
    </row>
    <row r="32" spans="1:7" x14ac:dyDescent="0.3">
      <c r="A32">
        <v>31</v>
      </c>
      <c r="B32" t="s">
        <v>57</v>
      </c>
      <c r="C32" t="s">
        <v>8</v>
      </c>
      <c r="D32">
        <v>51</v>
      </c>
      <c r="E32" t="s">
        <v>28</v>
      </c>
      <c r="F32" t="s">
        <v>17</v>
      </c>
      <c r="G32" t="s">
        <v>11</v>
      </c>
    </row>
    <row r="33" spans="1:7" x14ac:dyDescent="0.3">
      <c r="A33">
        <v>32</v>
      </c>
      <c r="B33" t="s">
        <v>58</v>
      </c>
      <c r="C33" t="s">
        <v>20</v>
      </c>
      <c r="D33">
        <v>68</v>
      </c>
      <c r="E33" t="s">
        <v>43</v>
      </c>
      <c r="F33" t="s">
        <v>44</v>
      </c>
      <c r="G33" t="s">
        <v>11</v>
      </c>
    </row>
    <row r="34" spans="1:7" x14ac:dyDescent="0.3">
      <c r="A34">
        <v>33</v>
      </c>
      <c r="B34" t="s">
        <v>59</v>
      </c>
      <c r="C34" t="s">
        <v>20</v>
      </c>
      <c r="D34">
        <v>44</v>
      </c>
      <c r="E34" t="s">
        <v>43</v>
      </c>
      <c r="F34" t="s">
        <v>44</v>
      </c>
      <c r="G34" t="s">
        <v>11</v>
      </c>
    </row>
    <row r="35" spans="1:7" x14ac:dyDescent="0.3">
      <c r="A35">
        <v>34</v>
      </c>
      <c r="B35" t="s">
        <v>60</v>
      </c>
      <c r="C35" t="s">
        <v>8</v>
      </c>
      <c r="D35">
        <v>31</v>
      </c>
      <c r="E35" t="s">
        <v>16</v>
      </c>
      <c r="F35" t="s">
        <v>17</v>
      </c>
      <c r="G35" t="s">
        <v>11</v>
      </c>
    </row>
    <row r="36" spans="1:7" x14ac:dyDescent="0.3">
      <c r="A36">
        <v>35</v>
      </c>
      <c r="B36" t="s">
        <v>61</v>
      </c>
      <c r="C36" t="s">
        <v>8</v>
      </c>
      <c r="D36">
        <v>40</v>
      </c>
      <c r="E36" t="s">
        <v>9</v>
      </c>
      <c r="F36" t="s">
        <v>10</v>
      </c>
      <c r="G36" t="s">
        <v>11</v>
      </c>
    </row>
    <row r="37" spans="1:7" x14ac:dyDescent="0.3">
      <c r="A37">
        <v>36</v>
      </c>
      <c r="B37" t="s">
        <v>62</v>
      </c>
      <c r="C37" t="s">
        <v>20</v>
      </c>
      <c r="D37">
        <v>53</v>
      </c>
      <c r="E37" t="s">
        <v>16</v>
      </c>
      <c r="F37" t="s">
        <v>17</v>
      </c>
      <c r="G37" t="s">
        <v>11</v>
      </c>
    </row>
    <row r="38" spans="1:7" x14ac:dyDescent="0.3">
      <c r="A38">
        <v>37</v>
      </c>
      <c r="B38" t="s">
        <v>63</v>
      </c>
      <c r="C38" t="s">
        <v>20</v>
      </c>
      <c r="D38">
        <v>32</v>
      </c>
      <c r="E38" t="s">
        <v>9</v>
      </c>
      <c r="F38" t="s">
        <v>10</v>
      </c>
      <c r="G38" t="s">
        <v>11</v>
      </c>
    </row>
    <row r="39" spans="1:7" x14ac:dyDescent="0.3">
      <c r="A39">
        <v>38</v>
      </c>
      <c r="B39" t="s">
        <v>64</v>
      </c>
      <c r="C39" t="s">
        <v>20</v>
      </c>
      <c r="D39">
        <v>57</v>
      </c>
      <c r="E39" t="s">
        <v>28</v>
      </c>
      <c r="F39" t="s">
        <v>17</v>
      </c>
      <c r="G39" t="s">
        <v>11</v>
      </c>
    </row>
    <row r="40" spans="1:7" x14ac:dyDescent="0.3">
      <c r="A40">
        <v>39</v>
      </c>
      <c r="B40" t="s">
        <v>65</v>
      </c>
      <c r="C40" t="s">
        <v>20</v>
      </c>
      <c r="D40">
        <v>48</v>
      </c>
      <c r="E40" t="s">
        <v>13</v>
      </c>
      <c r="F40" t="s">
        <v>14</v>
      </c>
      <c r="G40" t="s">
        <v>11</v>
      </c>
    </row>
    <row r="41" spans="1:7" x14ac:dyDescent="0.3">
      <c r="A41">
        <v>40</v>
      </c>
      <c r="B41" t="s">
        <v>66</v>
      </c>
      <c r="C41" t="s">
        <v>20</v>
      </c>
      <c r="D41">
        <v>66</v>
      </c>
      <c r="E41" t="s">
        <v>13</v>
      </c>
      <c r="F41" t="s">
        <v>14</v>
      </c>
      <c r="G41" t="s">
        <v>11</v>
      </c>
    </row>
    <row r="42" spans="1:7" x14ac:dyDescent="0.3">
      <c r="A42">
        <v>41</v>
      </c>
      <c r="B42" t="s">
        <v>67</v>
      </c>
      <c r="C42" t="s">
        <v>8</v>
      </c>
      <c r="D42">
        <v>29</v>
      </c>
      <c r="E42" t="s">
        <v>34</v>
      </c>
      <c r="F42" t="s">
        <v>35</v>
      </c>
      <c r="G42" t="s">
        <v>11</v>
      </c>
    </row>
    <row r="43" spans="1:7" x14ac:dyDescent="0.3">
      <c r="A43">
        <v>42</v>
      </c>
      <c r="B43" t="s">
        <v>68</v>
      </c>
      <c r="C43" t="s">
        <v>8</v>
      </c>
      <c r="D43">
        <v>42</v>
      </c>
      <c r="E43" t="s">
        <v>16</v>
      </c>
      <c r="F43" t="s">
        <v>17</v>
      </c>
      <c r="G43" t="s">
        <v>25</v>
      </c>
    </row>
    <row r="44" spans="1:7" x14ac:dyDescent="0.3">
      <c r="A44">
        <v>43</v>
      </c>
      <c r="B44" t="s">
        <v>69</v>
      </c>
      <c r="C44" t="s">
        <v>8</v>
      </c>
      <c r="D44">
        <v>52</v>
      </c>
      <c r="E44" t="s">
        <v>43</v>
      </c>
      <c r="F44" t="s">
        <v>44</v>
      </c>
      <c r="G44" t="s">
        <v>25</v>
      </c>
    </row>
    <row r="45" spans="1:7" x14ac:dyDescent="0.3">
      <c r="A45">
        <v>44</v>
      </c>
      <c r="B45" t="s">
        <v>70</v>
      </c>
      <c r="C45" t="s">
        <v>20</v>
      </c>
      <c r="D45">
        <v>35</v>
      </c>
      <c r="E45" t="s">
        <v>9</v>
      </c>
      <c r="F45" t="s">
        <v>10</v>
      </c>
      <c r="G45" t="s">
        <v>25</v>
      </c>
    </row>
    <row r="46" spans="1:7" x14ac:dyDescent="0.3">
      <c r="A46">
        <v>45</v>
      </c>
      <c r="B46" t="s">
        <v>71</v>
      </c>
      <c r="C46" t="s">
        <v>8</v>
      </c>
      <c r="D46">
        <v>33</v>
      </c>
      <c r="E46" t="s">
        <v>28</v>
      </c>
      <c r="F46" t="s">
        <v>17</v>
      </c>
      <c r="G46" t="s">
        <v>11</v>
      </c>
    </row>
    <row r="47" spans="1:7" x14ac:dyDescent="0.3">
      <c r="A47">
        <v>46</v>
      </c>
      <c r="B47" t="s">
        <v>72</v>
      </c>
      <c r="C47" t="s">
        <v>20</v>
      </c>
      <c r="D47">
        <v>33</v>
      </c>
      <c r="E47" t="s">
        <v>13</v>
      </c>
      <c r="F47" t="s">
        <v>14</v>
      </c>
      <c r="G47" t="s">
        <v>11</v>
      </c>
    </row>
    <row r="48" spans="1:7" x14ac:dyDescent="0.3">
      <c r="A48">
        <v>47</v>
      </c>
      <c r="B48" t="s">
        <v>73</v>
      </c>
      <c r="C48" t="s">
        <v>20</v>
      </c>
      <c r="D48">
        <v>31</v>
      </c>
      <c r="E48" t="s">
        <v>74</v>
      </c>
      <c r="F48" t="s">
        <v>75</v>
      </c>
      <c r="G48" t="s">
        <v>25</v>
      </c>
    </row>
    <row r="49" spans="1:7" x14ac:dyDescent="0.3">
      <c r="A49">
        <v>48</v>
      </c>
      <c r="B49" t="s">
        <v>76</v>
      </c>
      <c r="C49" t="s">
        <v>20</v>
      </c>
      <c r="D49">
        <v>33</v>
      </c>
      <c r="E49" t="s">
        <v>16</v>
      </c>
      <c r="F49" t="s">
        <v>17</v>
      </c>
      <c r="G49" t="s">
        <v>11</v>
      </c>
    </row>
    <row r="50" spans="1:7" x14ac:dyDescent="0.3">
      <c r="A50">
        <v>49</v>
      </c>
      <c r="B50" t="s">
        <v>77</v>
      </c>
      <c r="C50" t="s">
        <v>8</v>
      </c>
      <c r="D50">
        <v>20</v>
      </c>
      <c r="E50" t="s">
        <v>13</v>
      </c>
      <c r="F50" t="s">
        <v>14</v>
      </c>
      <c r="G50" t="s">
        <v>11</v>
      </c>
    </row>
    <row r="51" spans="1:7" x14ac:dyDescent="0.3">
      <c r="A51">
        <v>50</v>
      </c>
      <c r="B51" t="s">
        <v>78</v>
      </c>
      <c r="C51" t="s">
        <v>20</v>
      </c>
      <c r="D51">
        <v>57</v>
      </c>
      <c r="E51" t="s">
        <v>16</v>
      </c>
      <c r="F51" t="s">
        <v>17</v>
      </c>
      <c r="G51" t="s">
        <v>11</v>
      </c>
    </row>
    <row r="52" spans="1:7" x14ac:dyDescent="0.3">
      <c r="A52">
        <v>51</v>
      </c>
      <c r="B52" t="s">
        <v>79</v>
      </c>
      <c r="C52" t="s">
        <v>20</v>
      </c>
      <c r="D52">
        <v>42</v>
      </c>
      <c r="E52" t="s">
        <v>13</v>
      </c>
      <c r="F52" t="s">
        <v>14</v>
      </c>
      <c r="G52" t="s">
        <v>25</v>
      </c>
    </row>
    <row r="53" spans="1:7" x14ac:dyDescent="0.3">
      <c r="A53">
        <v>52</v>
      </c>
      <c r="B53" t="s">
        <v>80</v>
      </c>
      <c r="C53" t="s">
        <v>8</v>
      </c>
      <c r="D53">
        <v>40</v>
      </c>
      <c r="E53" t="s">
        <v>16</v>
      </c>
      <c r="F53" t="s">
        <v>17</v>
      </c>
      <c r="G53" t="s">
        <v>11</v>
      </c>
    </row>
    <row r="54" spans="1:7" x14ac:dyDescent="0.3">
      <c r="A54">
        <v>53</v>
      </c>
      <c r="B54" t="s">
        <v>81</v>
      </c>
      <c r="C54" t="s">
        <v>8</v>
      </c>
      <c r="D54">
        <v>72</v>
      </c>
      <c r="E54" t="s">
        <v>13</v>
      </c>
      <c r="F54" t="s">
        <v>14</v>
      </c>
      <c r="G54" t="s">
        <v>25</v>
      </c>
    </row>
    <row r="55" spans="1:7" x14ac:dyDescent="0.3">
      <c r="A55">
        <v>54</v>
      </c>
      <c r="B55" t="s">
        <v>82</v>
      </c>
      <c r="C55" t="s">
        <v>8</v>
      </c>
      <c r="D55">
        <v>60</v>
      </c>
      <c r="E55" t="s">
        <v>13</v>
      </c>
      <c r="F55" t="s">
        <v>14</v>
      </c>
      <c r="G55" t="s">
        <v>11</v>
      </c>
    </row>
    <row r="56" spans="1:7" x14ac:dyDescent="0.3">
      <c r="A56">
        <v>55</v>
      </c>
      <c r="B56" t="s">
        <v>83</v>
      </c>
      <c r="C56" t="s">
        <v>8</v>
      </c>
      <c r="D56">
        <v>69</v>
      </c>
      <c r="E56" t="s">
        <v>74</v>
      </c>
      <c r="F56" t="s">
        <v>75</v>
      </c>
      <c r="G56" t="s">
        <v>11</v>
      </c>
    </row>
    <row r="57" spans="1:7" x14ac:dyDescent="0.3">
      <c r="A57">
        <v>56</v>
      </c>
      <c r="B57" t="s">
        <v>84</v>
      </c>
      <c r="C57" t="s">
        <v>8</v>
      </c>
      <c r="D57">
        <v>46</v>
      </c>
      <c r="E57" t="s">
        <v>34</v>
      </c>
      <c r="F57" t="s">
        <v>35</v>
      </c>
      <c r="G57" t="s">
        <v>11</v>
      </c>
    </row>
    <row r="58" spans="1:7" x14ac:dyDescent="0.3">
      <c r="A58">
        <v>57</v>
      </c>
      <c r="B58" t="s">
        <v>78</v>
      </c>
      <c r="C58" t="s">
        <v>20</v>
      </c>
      <c r="D58">
        <v>44</v>
      </c>
      <c r="E58" t="s">
        <v>21</v>
      </c>
      <c r="F58" t="s">
        <v>22</v>
      </c>
      <c r="G58" t="s">
        <v>11</v>
      </c>
    </row>
    <row r="59" spans="1:7" x14ac:dyDescent="0.3">
      <c r="A59">
        <v>58</v>
      </c>
      <c r="B59" t="s">
        <v>85</v>
      </c>
      <c r="C59" t="s">
        <v>8</v>
      </c>
      <c r="D59">
        <v>29</v>
      </c>
      <c r="E59" t="s">
        <v>24</v>
      </c>
      <c r="F59" t="s">
        <v>17</v>
      </c>
      <c r="G59" t="s">
        <v>25</v>
      </c>
    </row>
    <row r="60" spans="1:7" x14ac:dyDescent="0.3">
      <c r="A60">
        <v>59</v>
      </c>
      <c r="B60" t="s">
        <v>86</v>
      </c>
      <c r="C60" t="s">
        <v>20</v>
      </c>
      <c r="D60">
        <v>48</v>
      </c>
      <c r="E60" t="s">
        <v>9</v>
      </c>
      <c r="F60" t="s">
        <v>10</v>
      </c>
      <c r="G60" t="s">
        <v>11</v>
      </c>
    </row>
    <row r="61" spans="1:7" x14ac:dyDescent="0.3">
      <c r="A61">
        <v>60</v>
      </c>
      <c r="B61" t="s">
        <v>87</v>
      </c>
      <c r="C61" t="s">
        <v>20</v>
      </c>
      <c r="D61">
        <v>49</v>
      </c>
      <c r="E61" t="s">
        <v>43</v>
      </c>
      <c r="F61" t="s">
        <v>44</v>
      </c>
      <c r="G61" t="s">
        <v>11</v>
      </c>
    </row>
    <row r="62" spans="1:7" x14ac:dyDescent="0.3">
      <c r="A62">
        <v>61</v>
      </c>
      <c r="B62" t="s">
        <v>88</v>
      </c>
      <c r="C62" t="s">
        <v>20</v>
      </c>
      <c r="D62">
        <v>27</v>
      </c>
      <c r="E62" t="s">
        <v>9</v>
      </c>
      <c r="F62" t="s">
        <v>10</v>
      </c>
      <c r="G62" t="s">
        <v>11</v>
      </c>
    </row>
    <row r="63" spans="1:7" x14ac:dyDescent="0.3">
      <c r="A63">
        <v>62</v>
      </c>
      <c r="B63" t="s">
        <v>89</v>
      </c>
      <c r="C63" t="s">
        <v>8</v>
      </c>
      <c r="D63">
        <v>25</v>
      </c>
      <c r="E63" t="s">
        <v>16</v>
      </c>
      <c r="F63" t="s">
        <v>17</v>
      </c>
      <c r="G63" t="s">
        <v>25</v>
      </c>
    </row>
    <row r="64" spans="1:7" x14ac:dyDescent="0.3">
      <c r="A64">
        <v>63</v>
      </c>
      <c r="B64" t="s">
        <v>90</v>
      </c>
      <c r="C64" t="s">
        <v>8</v>
      </c>
      <c r="D64">
        <v>31</v>
      </c>
      <c r="E64" t="s">
        <v>34</v>
      </c>
      <c r="F64" t="s">
        <v>35</v>
      </c>
      <c r="G64" t="s">
        <v>11</v>
      </c>
    </row>
    <row r="65" spans="1:7" x14ac:dyDescent="0.3">
      <c r="A65">
        <v>64</v>
      </c>
      <c r="B65" t="s">
        <v>91</v>
      </c>
      <c r="C65" t="s">
        <v>8</v>
      </c>
      <c r="D65">
        <v>37</v>
      </c>
      <c r="E65" t="s">
        <v>37</v>
      </c>
      <c r="F65" t="s">
        <v>38</v>
      </c>
      <c r="G65" t="s">
        <v>11</v>
      </c>
    </row>
    <row r="66" spans="1:7" x14ac:dyDescent="0.3">
      <c r="A66">
        <v>65</v>
      </c>
      <c r="B66" t="s">
        <v>92</v>
      </c>
      <c r="C66" t="s">
        <v>8</v>
      </c>
      <c r="D66">
        <v>53</v>
      </c>
      <c r="E66" t="s">
        <v>16</v>
      </c>
      <c r="F66" t="s">
        <v>17</v>
      </c>
      <c r="G66" t="s">
        <v>11</v>
      </c>
    </row>
    <row r="67" spans="1:7" x14ac:dyDescent="0.3">
      <c r="A67">
        <v>66</v>
      </c>
      <c r="B67" t="s">
        <v>93</v>
      </c>
      <c r="C67" t="s">
        <v>20</v>
      </c>
      <c r="D67">
        <v>41</v>
      </c>
      <c r="E67" t="s">
        <v>74</v>
      </c>
      <c r="F67" t="s">
        <v>75</v>
      </c>
      <c r="G67" t="s">
        <v>11</v>
      </c>
    </row>
    <row r="68" spans="1:7" x14ac:dyDescent="0.3">
      <c r="A68">
        <v>67</v>
      </c>
      <c r="B68" t="s">
        <v>94</v>
      </c>
      <c r="C68" t="s">
        <v>8</v>
      </c>
      <c r="D68">
        <v>52</v>
      </c>
      <c r="E68" t="s">
        <v>13</v>
      </c>
      <c r="F68" t="s">
        <v>14</v>
      </c>
      <c r="G68" t="s">
        <v>11</v>
      </c>
    </row>
    <row r="69" spans="1:7" x14ac:dyDescent="0.3">
      <c r="A69">
        <v>68</v>
      </c>
      <c r="B69" t="s">
        <v>95</v>
      </c>
      <c r="C69" t="s">
        <v>20</v>
      </c>
      <c r="D69">
        <v>53</v>
      </c>
      <c r="E69" t="s">
        <v>74</v>
      </c>
      <c r="F69" t="s">
        <v>75</v>
      </c>
      <c r="G69" t="s">
        <v>25</v>
      </c>
    </row>
    <row r="70" spans="1:7" x14ac:dyDescent="0.3">
      <c r="A70">
        <v>69</v>
      </c>
      <c r="B70" t="s">
        <v>96</v>
      </c>
      <c r="C70" t="s">
        <v>8</v>
      </c>
      <c r="D70">
        <v>68</v>
      </c>
      <c r="E70" t="s">
        <v>13</v>
      </c>
      <c r="F70" t="s">
        <v>14</v>
      </c>
      <c r="G70" t="s">
        <v>11</v>
      </c>
    </row>
    <row r="71" spans="1:7" x14ac:dyDescent="0.3">
      <c r="A71">
        <v>70</v>
      </c>
      <c r="B71" t="s">
        <v>97</v>
      </c>
      <c r="C71" t="s">
        <v>20</v>
      </c>
      <c r="D71">
        <v>30</v>
      </c>
      <c r="E71" t="s">
        <v>21</v>
      </c>
      <c r="F71" t="s">
        <v>22</v>
      </c>
      <c r="G71" t="s">
        <v>11</v>
      </c>
    </row>
    <row r="72" spans="1:7" x14ac:dyDescent="0.3">
      <c r="A72">
        <v>71</v>
      </c>
      <c r="B72" t="s">
        <v>98</v>
      </c>
      <c r="C72" t="s">
        <v>8</v>
      </c>
      <c r="D72">
        <v>22</v>
      </c>
      <c r="E72" t="s">
        <v>13</v>
      </c>
      <c r="F72" t="s">
        <v>14</v>
      </c>
      <c r="G72" t="s">
        <v>11</v>
      </c>
    </row>
    <row r="73" spans="1:7" x14ac:dyDescent="0.3">
      <c r="A73">
        <v>72</v>
      </c>
      <c r="B73" t="s">
        <v>99</v>
      </c>
      <c r="C73" t="s">
        <v>8</v>
      </c>
      <c r="D73">
        <v>69</v>
      </c>
      <c r="E73" t="s">
        <v>43</v>
      </c>
      <c r="F73" t="s">
        <v>44</v>
      </c>
      <c r="G73" t="s">
        <v>11</v>
      </c>
    </row>
    <row r="74" spans="1:7" x14ac:dyDescent="0.3">
      <c r="A74">
        <v>73</v>
      </c>
      <c r="B74" t="s">
        <v>100</v>
      </c>
      <c r="C74" t="s">
        <v>8</v>
      </c>
      <c r="D74">
        <v>31</v>
      </c>
      <c r="E74" t="s">
        <v>16</v>
      </c>
      <c r="F74" t="s">
        <v>17</v>
      </c>
      <c r="G74" t="s">
        <v>11</v>
      </c>
    </row>
    <row r="75" spans="1:7" x14ac:dyDescent="0.3">
      <c r="A75">
        <v>74</v>
      </c>
      <c r="B75" t="s">
        <v>101</v>
      </c>
      <c r="C75" t="s">
        <v>8</v>
      </c>
      <c r="D75">
        <v>54</v>
      </c>
      <c r="E75" t="s">
        <v>16</v>
      </c>
      <c r="F75" t="s">
        <v>17</v>
      </c>
      <c r="G75" t="s">
        <v>11</v>
      </c>
    </row>
    <row r="76" spans="1:7" x14ac:dyDescent="0.3">
      <c r="A76">
        <v>75</v>
      </c>
      <c r="B76" t="s">
        <v>102</v>
      </c>
      <c r="C76" t="s">
        <v>8</v>
      </c>
      <c r="D76">
        <v>39</v>
      </c>
      <c r="E76" t="s">
        <v>34</v>
      </c>
      <c r="F76" t="s">
        <v>35</v>
      </c>
      <c r="G76" t="s">
        <v>25</v>
      </c>
    </row>
    <row r="77" spans="1:7" x14ac:dyDescent="0.3">
      <c r="A77">
        <v>76</v>
      </c>
      <c r="B77" t="s">
        <v>103</v>
      </c>
      <c r="C77" t="s">
        <v>20</v>
      </c>
      <c r="D77">
        <v>63</v>
      </c>
      <c r="E77" t="s">
        <v>9</v>
      </c>
      <c r="F77" t="s">
        <v>10</v>
      </c>
      <c r="G77" t="s">
        <v>11</v>
      </c>
    </row>
    <row r="78" spans="1:7" x14ac:dyDescent="0.3">
      <c r="A78">
        <v>77</v>
      </c>
      <c r="B78" t="s">
        <v>101</v>
      </c>
      <c r="C78" t="s">
        <v>8</v>
      </c>
      <c r="D78">
        <v>51</v>
      </c>
      <c r="E78" t="s">
        <v>13</v>
      </c>
      <c r="F78" t="s">
        <v>14</v>
      </c>
      <c r="G78" t="s">
        <v>11</v>
      </c>
    </row>
    <row r="79" spans="1:7" x14ac:dyDescent="0.3">
      <c r="A79">
        <v>78</v>
      </c>
      <c r="B79" t="s">
        <v>104</v>
      </c>
      <c r="C79" t="s">
        <v>20</v>
      </c>
      <c r="D79">
        <v>35</v>
      </c>
      <c r="E79" t="s">
        <v>43</v>
      </c>
      <c r="F79" t="s">
        <v>44</v>
      </c>
      <c r="G79" t="s">
        <v>25</v>
      </c>
    </row>
    <row r="80" spans="1:7" x14ac:dyDescent="0.3">
      <c r="A80">
        <v>79</v>
      </c>
      <c r="B80" t="s">
        <v>105</v>
      </c>
      <c r="C80" t="s">
        <v>20</v>
      </c>
      <c r="D80">
        <v>47</v>
      </c>
      <c r="E80" t="s">
        <v>13</v>
      </c>
      <c r="F80" t="s">
        <v>14</v>
      </c>
      <c r="G80" t="s">
        <v>25</v>
      </c>
    </row>
    <row r="81" spans="1:7" x14ac:dyDescent="0.3">
      <c r="A81">
        <v>80</v>
      </c>
      <c r="B81" t="s">
        <v>106</v>
      </c>
      <c r="C81" t="s">
        <v>8</v>
      </c>
      <c r="D81">
        <v>23</v>
      </c>
      <c r="E81" t="s">
        <v>24</v>
      </c>
      <c r="F81" t="s">
        <v>17</v>
      </c>
      <c r="G81" t="s">
        <v>11</v>
      </c>
    </row>
    <row r="82" spans="1:7" x14ac:dyDescent="0.3">
      <c r="A82">
        <v>81</v>
      </c>
      <c r="B82" t="s">
        <v>107</v>
      </c>
      <c r="C82" t="s">
        <v>20</v>
      </c>
      <c r="D82">
        <v>38</v>
      </c>
      <c r="E82" t="s">
        <v>16</v>
      </c>
      <c r="F82" t="s">
        <v>17</v>
      </c>
      <c r="G82" t="s">
        <v>11</v>
      </c>
    </row>
    <row r="83" spans="1:7" x14ac:dyDescent="0.3">
      <c r="A83">
        <v>82</v>
      </c>
      <c r="B83" t="s">
        <v>78</v>
      </c>
      <c r="C83" t="s">
        <v>20</v>
      </c>
      <c r="D83">
        <v>60</v>
      </c>
      <c r="E83" t="s">
        <v>16</v>
      </c>
      <c r="F83" t="s">
        <v>17</v>
      </c>
      <c r="G83" t="s">
        <v>11</v>
      </c>
    </row>
    <row r="84" spans="1:7" x14ac:dyDescent="0.3">
      <c r="A84">
        <v>83</v>
      </c>
      <c r="B84" t="s">
        <v>108</v>
      </c>
      <c r="C84" t="s">
        <v>20</v>
      </c>
      <c r="D84">
        <v>48</v>
      </c>
      <c r="E84" t="s">
        <v>28</v>
      </c>
      <c r="F84" t="s">
        <v>17</v>
      </c>
      <c r="G84" t="s">
        <v>11</v>
      </c>
    </row>
    <row r="85" spans="1:7" x14ac:dyDescent="0.3">
      <c r="A85">
        <v>84</v>
      </c>
      <c r="B85" t="s">
        <v>104</v>
      </c>
      <c r="C85" t="s">
        <v>20</v>
      </c>
      <c r="D85">
        <v>50</v>
      </c>
      <c r="E85" t="s">
        <v>34</v>
      </c>
      <c r="F85" t="s">
        <v>35</v>
      </c>
      <c r="G85" t="s">
        <v>11</v>
      </c>
    </row>
    <row r="86" spans="1:7" x14ac:dyDescent="0.3">
      <c r="A86">
        <v>85</v>
      </c>
      <c r="B86" t="s">
        <v>97</v>
      </c>
      <c r="C86" t="s">
        <v>20</v>
      </c>
      <c r="D86">
        <v>64</v>
      </c>
      <c r="E86" t="s">
        <v>9</v>
      </c>
      <c r="F86" t="s">
        <v>10</v>
      </c>
      <c r="G86" t="s">
        <v>25</v>
      </c>
    </row>
    <row r="87" spans="1:7" x14ac:dyDescent="0.3">
      <c r="A87">
        <v>86</v>
      </c>
      <c r="B87" t="s">
        <v>109</v>
      </c>
      <c r="C87" t="s">
        <v>20</v>
      </c>
      <c r="D87">
        <v>31</v>
      </c>
      <c r="E87" t="s">
        <v>9</v>
      </c>
      <c r="F87" t="s">
        <v>10</v>
      </c>
      <c r="G87" t="s">
        <v>11</v>
      </c>
    </row>
    <row r="88" spans="1:7" x14ac:dyDescent="0.3">
      <c r="A88">
        <v>87</v>
      </c>
      <c r="B88" t="s">
        <v>49</v>
      </c>
      <c r="C88" t="s">
        <v>20</v>
      </c>
      <c r="D88">
        <v>40</v>
      </c>
      <c r="E88" t="s">
        <v>28</v>
      </c>
      <c r="F88" t="s">
        <v>17</v>
      </c>
      <c r="G88" t="s">
        <v>11</v>
      </c>
    </row>
    <row r="89" spans="1:7" x14ac:dyDescent="0.3">
      <c r="A89">
        <v>88</v>
      </c>
      <c r="B89" t="s">
        <v>52</v>
      </c>
      <c r="C89" t="s">
        <v>20</v>
      </c>
      <c r="D89">
        <v>40</v>
      </c>
      <c r="E89" t="s">
        <v>13</v>
      </c>
      <c r="F89" t="s">
        <v>14</v>
      </c>
      <c r="G89" t="s">
        <v>11</v>
      </c>
    </row>
    <row r="90" spans="1:7" x14ac:dyDescent="0.3">
      <c r="A90">
        <v>89</v>
      </c>
      <c r="B90" t="s">
        <v>110</v>
      </c>
      <c r="C90" t="s">
        <v>8</v>
      </c>
      <c r="D90">
        <v>26</v>
      </c>
      <c r="E90" t="s">
        <v>21</v>
      </c>
      <c r="F90" t="s">
        <v>22</v>
      </c>
      <c r="G90" t="s">
        <v>11</v>
      </c>
    </row>
    <row r="91" spans="1:7" x14ac:dyDescent="0.3">
      <c r="A91">
        <v>90</v>
      </c>
      <c r="B91" t="s">
        <v>111</v>
      </c>
      <c r="C91" t="s">
        <v>20</v>
      </c>
      <c r="D91">
        <v>24</v>
      </c>
      <c r="E91" t="s">
        <v>34</v>
      </c>
      <c r="F91" t="s">
        <v>35</v>
      </c>
      <c r="G91" t="s">
        <v>25</v>
      </c>
    </row>
    <row r="92" spans="1:7" x14ac:dyDescent="0.3">
      <c r="A92">
        <v>91</v>
      </c>
      <c r="B92" t="s">
        <v>112</v>
      </c>
      <c r="C92" t="s">
        <v>8</v>
      </c>
      <c r="D92">
        <v>36</v>
      </c>
      <c r="E92" t="s">
        <v>16</v>
      </c>
      <c r="F92" t="s">
        <v>17</v>
      </c>
      <c r="G92" t="s">
        <v>25</v>
      </c>
    </row>
    <row r="93" spans="1:7" x14ac:dyDescent="0.3">
      <c r="A93">
        <v>92</v>
      </c>
      <c r="B93" t="s">
        <v>113</v>
      </c>
      <c r="C93" t="s">
        <v>8</v>
      </c>
      <c r="D93">
        <v>62</v>
      </c>
      <c r="E93" t="s">
        <v>16</v>
      </c>
      <c r="F93" t="s">
        <v>17</v>
      </c>
      <c r="G93" t="s">
        <v>11</v>
      </c>
    </row>
    <row r="94" spans="1:7" x14ac:dyDescent="0.3">
      <c r="A94">
        <v>93</v>
      </c>
      <c r="B94" t="s">
        <v>114</v>
      </c>
      <c r="C94" t="s">
        <v>8</v>
      </c>
      <c r="D94">
        <v>51</v>
      </c>
      <c r="E94" t="s">
        <v>9</v>
      </c>
      <c r="F94" t="s">
        <v>10</v>
      </c>
      <c r="G94" t="s">
        <v>11</v>
      </c>
    </row>
    <row r="95" spans="1:7" x14ac:dyDescent="0.3">
      <c r="A95">
        <v>94</v>
      </c>
      <c r="B95" t="s">
        <v>115</v>
      </c>
      <c r="C95" t="s">
        <v>8</v>
      </c>
      <c r="D95">
        <v>22</v>
      </c>
      <c r="E95" t="s">
        <v>13</v>
      </c>
      <c r="F95" t="s">
        <v>14</v>
      </c>
      <c r="G95" t="s">
        <v>11</v>
      </c>
    </row>
    <row r="96" spans="1:7" x14ac:dyDescent="0.3">
      <c r="A96">
        <v>95</v>
      </c>
      <c r="B96" t="s">
        <v>116</v>
      </c>
      <c r="C96" t="s">
        <v>20</v>
      </c>
      <c r="D96">
        <v>36</v>
      </c>
      <c r="E96" t="s">
        <v>43</v>
      </c>
      <c r="F96" t="s">
        <v>44</v>
      </c>
      <c r="G96" t="s">
        <v>11</v>
      </c>
    </row>
    <row r="97" spans="1:7" x14ac:dyDescent="0.3">
      <c r="A97">
        <v>96</v>
      </c>
      <c r="B97" t="s">
        <v>117</v>
      </c>
      <c r="C97" t="s">
        <v>8</v>
      </c>
      <c r="D97">
        <v>57</v>
      </c>
      <c r="E97" t="s">
        <v>21</v>
      </c>
      <c r="F97" t="s">
        <v>22</v>
      </c>
      <c r="G97" t="s">
        <v>11</v>
      </c>
    </row>
    <row r="98" spans="1:7" x14ac:dyDescent="0.3">
      <c r="A98">
        <v>97</v>
      </c>
      <c r="B98" t="s">
        <v>118</v>
      </c>
      <c r="C98" t="s">
        <v>20</v>
      </c>
      <c r="D98">
        <v>48</v>
      </c>
      <c r="E98" t="s">
        <v>16</v>
      </c>
      <c r="F98" t="s">
        <v>17</v>
      </c>
      <c r="G98" t="s">
        <v>11</v>
      </c>
    </row>
    <row r="99" spans="1:7" x14ac:dyDescent="0.3">
      <c r="A99">
        <v>98</v>
      </c>
      <c r="B99" t="s">
        <v>119</v>
      </c>
      <c r="C99" t="s">
        <v>8</v>
      </c>
      <c r="D99">
        <v>36</v>
      </c>
      <c r="E99" t="s">
        <v>28</v>
      </c>
      <c r="F99" t="s">
        <v>17</v>
      </c>
      <c r="G99" t="s">
        <v>11</v>
      </c>
    </row>
    <row r="100" spans="1:7" x14ac:dyDescent="0.3">
      <c r="A100">
        <v>99</v>
      </c>
      <c r="B100" t="s">
        <v>103</v>
      </c>
      <c r="C100" t="s">
        <v>20</v>
      </c>
      <c r="D100">
        <v>26</v>
      </c>
      <c r="E100" t="s">
        <v>16</v>
      </c>
      <c r="F100" t="s">
        <v>17</v>
      </c>
      <c r="G100" t="s">
        <v>11</v>
      </c>
    </row>
    <row r="101" spans="1:7" x14ac:dyDescent="0.3">
      <c r="A101">
        <v>100</v>
      </c>
      <c r="B101" t="s">
        <v>120</v>
      </c>
      <c r="C101" t="s">
        <v>20</v>
      </c>
      <c r="D101">
        <v>38</v>
      </c>
      <c r="E101" t="s">
        <v>16</v>
      </c>
      <c r="F101" t="s">
        <v>17</v>
      </c>
      <c r="G101" t="s">
        <v>11</v>
      </c>
    </row>
    <row r="102" spans="1:7" x14ac:dyDescent="0.3">
      <c r="A102">
        <v>101</v>
      </c>
      <c r="B102" t="s">
        <v>121</v>
      </c>
      <c r="C102" t="s">
        <v>8</v>
      </c>
      <c r="D102">
        <v>47</v>
      </c>
      <c r="E102" t="s">
        <v>28</v>
      </c>
      <c r="F102" t="s">
        <v>17</v>
      </c>
      <c r="G102" t="s">
        <v>11</v>
      </c>
    </row>
    <row r="103" spans="1:7" x14ac:dyDescent="0.3">
      <c r="A103">
        <v>102</v>
      </c>
      <c r="B103" t="s">
        <v>71</v>
      </c>
      <c r="C103" t="s">
        <v>8</v>
      </c>
      <c r="D103">
        <v>20</v>
      </c>
      <c r="E103" t="s">
        <v>43</v>
      </c>
      <c r="F103" t="s">
        <v>44</v>
      </c>
      <c r="G103" t="s">
        <v>11</v>
      </c>
    </row>
    <row r="104" spans="1:7" x14ac:dyDescent="0.3">
      <c r="A104">
        <v>103</v>
      </c>
      <c r="B104" t="s">
        <v>122</v>
      </c>
      <c r="C104" t="s">
        <v>8</v>
      </c>
      <c r="D104">
        <v>54</v>
      </c>
      <c r="E104" t="s">
        <v>16</v>
      </c>
      <c r="F104" t="s">
        <v>17</v>
      </c>
      <c r="G104" t="s">
        <v>11</v>
      </c>
    </row>
    <row r="105" spans="1:7" x14ac:dyDescent="0.3">
      <c r="A105">
        <v>104</v>
      </c>
      <c r="B105" t="s">
        <v>123</v>
      </c>
      <c r="C105" t="s">
        <v>8</v>
      </c>
      <c r="D105">
        <v>25</v>
      </c>
      <c r="E105" t="s">
        <v>13</v>
      </c>
      <c r="F105" t="s">
        <v>14</v>
      </c>
      <c r="G105" t="s">
        <v>11</v>
      </c>
    </row>
    <row r="106" spans="1:7" x14ac:dyDescent="0.3">
      <c r="A106">
        <v>105</v>
      </c>
      <c r="B106" t="s">
        <v>31</v>
      </c>
      <c r="C106" t="s">
        <v>20</v>
      </c>
      <c r="D106">
        <v>53</v>
      </c>
      <c r="E106" t="s">
        <v>74</v>
      </c>
      <c r="F106" t="s">
        <v>75</v>
      </c>
      <c r="G106" t="s">
        <v>11</v>
      </c>
    </row>
    <row r="107" spans="1:7" x14ac:dyDescent="0.3">
      <c r="A107">
        <v>106</v>
      </c>
      <c r="B107" t="s">
        <v>124</v>
      </c>
      <c r="C107" t="s">
        <v>8</v>
      </c>
      <c r="D107">
        <v>63</v>
      </c>
      <c r="E107" t="s">
        <v>37</v>
      </c>
      <c r="F107" t="s">
        <v>38</v>
      </c>
      <c r="G107" t="s">
        <v>25</v>
      </c>
    </row>
    <row r="108" spans="1:7" x14ac:dyDescent="0.3">
      <c r="A108">
        <v>107</v>
      </c>
      <c r="B108" t="s">
        <v>125</v>
      </c>
      <c r="C108" t="s">
        <v>8</v>
      </c>
      <c r="D108">
        <v>64</v>
      </c>
      <c r="E108" t="s">
        <v>9</v>
      </c>
      <c r="F108" t="s">
        <v>10</v>
      </c>
      <c r="G108" t="s">
        <v>11</v>
      </c>
    </row>
    <row r="109" spans="1:7" x14ac:dyDescent="0.3">
      <c r="A109">
        <v>108</v>
      </c>
      <c r="B109" t="s">
        <v>126</v>
      </c>
      <c r="C109" t="s">
        <v>20</v>
      </c>
      <c r="D109">
        <v>22</v>
      </c>
      <c r="E109" t="s">
        <v>21</v>
      </c>
      <c r="F109" t="s">
        <v>22</v>
      </c>
      <c r="G109" t="s">
        <v>11</v>
      </c>
    </row>
    <row r="110" spans="1:7" x14ac:dyDescent="0.3">
      <c r="A110">
        <v>109</v>
      </c>
      <c r="B110" t="s">
        <v>127</v>
      </c>
      <c r="C110" t="s">
        <v>8</v>
      </c>
      <c r="D110">
        <v>35</v>
      </c>
      <c r="E110" t="s">
        <v>16</v>
      </c>
      <c r="F110" t="s">
        <v>17</v>
      </c>
      <c r="G110" t="s">
        <v>11</v>
      </c>
    </row>
    <row r="111" spans="1:7" x14ac:dyDescent="0.3">
      <c r="A111">
        <v>110</v>
      </c>
      <c r="B111" t="s">
        <v>128</v>
      </c>
      <c r="C111" t="s">
        <v>20</v>
      </c>
      <c r="D111">
        <v>43</v>
      </c>
      <c r="E111" t="s">
        <v>16</v>
      </c>
      <c r="F111" t="s">
        <v>17</v>
      </c>
      <c r="G111" t="s">
        <v>11</v>
      </c>
    </row>
    <row r="112" spans="1:7" x14ac:dyDescent="0.3">
      <c r="A112">
        <v>111</v>
      </c>
      <c r="B112" t="s">
        <v>129</v>
      </c>
      <c r="C112" t="s">
        <v>20</v>
      </c>
      <c r="D112">
        <v>34</v>
      </c>
      <c r="E112" t="s">
        <v>13</v>
      </c>
      <c r="F112" t="s">
        <v>14</v>
      </c>
      <c r="G112" t="s">
        <v>25</v>
      </c>
    </row>
    <row r="113" spans="1:7" x14ac:dyDescent="0.3">
      <c r="A113">
        <v>112</v>
      </c>
      <c r="B113" t="s">
        <v>84</v>
      </c>
      <c r="C113" t="s">
        <v>8</v>
      </c>
      <c r="D113">
        <v>36</v>
      </c>
      <c r="E113" t="s">
        <v>16</v>
      </c>
      <c r="F113" t="s">
        <v>17</v>
      </c>
      <c r="G113" t="s">
        <v>11</v>
      </c>
    </row>
    <row r="114" spans="1:7" x14ac:dyDescent="0.3">
      <c r="A114">
        <v>113</v>
      </c>
      <c r="B114" t="s">
        <v>130</v>
      </c>
      <c r="C114" t="s">
        <v>8</v>
      </c>
      <c r="D114">
        <v>54</v>
      </c>
      <c r="E114" t="s">
        <v>16</v>
      </c>
      <c r="F114" t="s">
        <v>17</v>
      </c>
      <c r="G114" t="s">
        <v>11</v>
      </c>
    </row>
    <row r="115" spans="1:7" x14ac:dyDescent="0.3">
      <c r="A115">
        <v>114</v>
      </c>
      <c r="B115" t="s">
        <v>131</v>
      </c>
      <c r="C115" t="s">
        <v>8</v>
      </c>
      <c r="D115">
        <v>32</v>
      </c>
      <c r="E115" t="s">
        <v>16</v>
      </c>
      <c r="F115" t="s">
        <v>17</v>
      </c>
      <c r="G115" t="s">
        <v>25</v>
      </c>
    </row>
    <row r="116" spans="1:7" x14ac:dyDescent="0.3">
      <c r="A116">
        <v>115</v>
      </c>
      <c r="B116" t="s">
        <v>132</v>
      </c>
      <c r="C116" t="s">
        <v>20</v>
      </c>
      <c r="D116">
        <v>49</v>
      </c>
      <c r="E116" t="s">
        <v>16</v>
      </c>
      <c r="F116" t="s">
        <v>17</v>
      </c>
      <c r="G116" t="s">
        <v>11</v>
      </c>
    </row>
    <row r="117" spans="1:7" x14ac:dyDescent="0.3">
      <c r="A117">
        <v>116</v>
      </c>
      <c r="B117" t="s">
        <v>122</v>
      </c>
      <c r="C117" t="s">
        <v>8</v>
      </c>
      <c r="D117">
        <v>68</v>
      </c>
      <c r="E117" t="s">
        <v>13</v>
      </c>
      <c r="F117" t="s">
        <v>14</v>
      </c>
      <c r="G117" t="s">
        <v>11</v>
      </c>
    </row>
    <row r="118" spans="1:7" x14ac:dyDescent="0.3">
      <c r="A118">
        <v>117</v>
      </c>
      <c r="B118" t="s">
        <v>133</v>
      </c>
      <c r="C118" t="s">
        <v>8</v>
      </c>
      <c r="D118">
        <v>44</v>
      </c>
      <c r="E118" t="s">
        <v>16</v>
      </c>
      <c r="F118" t="s">
        <v>17</v>
      </c>
      <c r="G118" t="s">
        <v>11</v>
      </c>
    </row>
    <row r="119" spans="1:7" x14ac:dyDescent="0.3">
      <c r="A119">
        <v>118</v>
      </c>
      <c r="B119" t="s">
        <v>115</v>
      </c>
      <c r="C119" t="s">
        <v>8</v>
      </c>
      <c r="D119">
        <v>59</v>
      </c>
      <c r="E119" t="s">
        <v>16</v>
      </c>
      <c r="F119" t="s">
        <v>17</v>
      </c>
      <c r="G119" t="s">
        <v>11</v>
      </c>
    </row>
    <row r="120" spans="1:7" x14ac:dyDescent="0.3">
      <c r="A120">
        <v>119</v>
      </c>
      <c r="B120" t="s">
        <v>134</v>
      </c>
      <c r="C120" t="s">
        <v>20</v>
      </c>
      <c r="D120">
        <v>67</v>
      </c>
      <c r="E120" t="s">
        <v>16</v>
      </c>
      <c r="F120" t="s">
        <v>17</v>
      </c>
      <c r="G120" t="s">
        <v>25</v>
      </c>
    </row>
    <row r="121" spans="1:7" x14ac:dyDescent="0.3">
      <c r="A121">
        <v>120</v>
      </c>
      <c r="B121" t="s">
        <v>135</v>
      </c>
      <c r="C121" t="s">
        <v>8</v>
      </c>
      <c r="D121">
        <v>57</v>
      </c>
      <c r="E121" t="s">
        <v>43</v>
      </c>
      <c r="F121" t="s">
        <v>44</v>
      </c>
      <c r="G121" t="s">
        <v>11</v>
      </c>
    </row>
    <row r="122" spans="1:7" x14ac:dyDescent="0.3">
      <c r="A122">
        <v>121</v>
      </c>
      <c r="B122" t="s">
        <v>136</v>
      </c>
      <c r="C122" t="s">
        <v>8</v>
      </c>
      <c r="D122">
        <v>28</v>
      </c>
      <c r="E122" t="s">
        <v>34</v>
      </c>
      <c r="F122" t="s">
        <v>35</v>
      </c>
      <c r="G122" t="s">
        <v>11</v>
      </c>
    </row>
    <row r="123" spans="1:7" x14ac:dyDescent="0.3">
      <c r="A123">
        <v>122</v>
      </c>
      <c r="B123" t="s">
        <v>137</v>
      </c>
      <c r="C123" t="s">
        <v>20</v>
      </c>
      <c r="D123">
        <v>71</v>
      </c>
      <c r="E123" t="s">
        <v>43</v>
      </c>
      <c r="F123" t="s">
        <v>44</v>
      </c>
      <c r="G123" t="s">
        <v>11</v>
      </c>
    </row>
    <row r="124" spans="1:7" x14ac:dyDescent="0.3">
      <c r="A124">
        <v>123</v>
      </c>
      <c r="B124" t="s">
        <v>138</v>
      </c>
      <c r="C124" t="s">
        <v>8</v>
      </c>
      <c r="D124">
        <v>65</v>
      </c>
      <c r="E124" t="s">
        <v>43</v>
      </c>
      <c r="F124" t="s">
        <v>44</v>
      </c>
      <c r="G124" t="s">
        <v>11</v>
      </c>
    </row>
    <row r="125" spans="1:7" x14ac:dyDescent="0.3">
      <c r="A125">
        <v>124</v>
      </c>
      <c r="B125" t="s">
        <v>139</v>
      </c>
      <c r="C125" t="s">
        <v>8</v>
      </c>
      <c r="D125">
        <v>67</v>
      </c>
      <c r="E125" t="s">
        <v>74</v>
      </c>
      <c r="F125" t="s">
        <v>75</v>
      </c>
      <c r="G125" t="s">
        <v>11</v>
      </c>
    </row>
    <row r="126" spans="1:7" x14ac:dyDescent="0.3">
      <c r="A126">
        <v>125</v>
      </c>
      <c r="B126" t="s">
        <v>140</v>
      </c>
      <c r="C126" t="s">
        <v>8</v>
      </c>
      <c r="D126">
        <v>71</v>
      </c>
      <c r="E126" t="s">
        <v>21</v>
      </c>
      <c r="F126" t="s">
        <v>22</v>
      </c>
      <c r="G126" t="s">
        <v>11</v>
      </c>
    </row>
    <row r="127" spans="1:7" x14ac:dyDescent="0.3">
      <c r="A127">
        <v>126</v>
      </c>
      <c r="B127" t="s">
        <v>107</v>
      </c>
      <c r="C127" t="s">
        <v>20</v>
      </c>
      <c r="D127">
        <v>63</v>
      </c>
      <c r="E127" t="s">
        <v>21</v>
      </c>
      <c r="F127" t="s">
        <v>22</v>
      </c>
      <c r="G127" t="s">
        <v>25</v>
      </c>
    </row>
    <row r="128" spans="1:7" x14ac:dyDescent="0.3">
      <c r="A128">
        <v>127</v>
      </c>
      <c r="B128" t="s">
        <v>141</v>
      </c>
      <c r="C128" t="s">
        <v>8</v>
      </c>
      <c r="D128">
        <v>59</v>
      </c>
      <c r="E128" t="s">
        <v>16</v>
      </c>
      <c r="F128" t="s">
        <v>17</v>
      </c>
      <c r="G128" t="s">
        <v>11</v>
      </c>
    </row>
    <row r="129" spans="1:7" x14ac:dyDescent="0.3">
      <c r="A129">
        <v>128</v>
      </c>
      <c r="B129" t="s">
        <v>65</v>
      </c>
      <c r="C129" t="s">
        <v>20</v>
      </c>
      <c r="D129">
        <v>54</v>
      </c>
      <c r="E129" t="s">
        <v>9</v>
      </c>
      <c r="F129" t="s">
        <v>10</v>
      </c>
      <c r="G129" t="s">
        <v>11</v>
      </c>
    </row>
    <row r="130" spans="1:7" x14ac:dyDescent="0.3">
      <c r="A130">
        <v>129</v>
      </c>
      <c r="B130" t="s">
        <v>142</v>
      </c>
      <c r="C130" t="s">
        <v>20</v>
      </c>
      <c r="D130">
        <v>34</v>
      </c>
      <c r="E130" t="s">
        <v>21</v>
      </c>
      <c r="F130" t="s">
        <v>22</v>
      </c>
      <c r="G130" t="s">
        <v>11</v>
      </c>
    </row>
    <row r="131" spans="1:7" x14ac:dyDescent="0.3">
      <c r="A131">
        <v>130</v>
      </c>
      <c r="B131" t="s">
        <v>66</v>
      </c>
      <c r="C131" t="s">
        <v>20</v>
      </c>
      <c r="D131">
        <v>66</v>
      </c>
      <c r="E131" t="s">
        <v>16</v>
      </c>
      <c r="F131" t="s">
        <v>17</v>
      </c>
      <c r="G131" t="s">
        <v>11</v>
      </c>
    </row>
    <row r="132" spans="1:7" x14ac:dyDescent="0.3">
      <c r="A132">
        <v>131</v>
      </c>
      <c r="B132" t="s">
        <v>143</v>
      </c>
      <c r="C132" t="s">
        <v>20</v>
      </c>
      <c r="D132">
        <v>52</v>
      </c>
      <c r="E132" t="s">
        <v>13</v>
      </c>
      <c r="F132" t="s">
        <v>14</v>
      </c>
      <c r="G132" t="s">
        <v>11</v>
      </c>
    </row>
    <row r="133" spans="1:7" x14ac:dyDescent="0.3">
      <c r="A133">
        <v>132</v>
      </c>
      <c r="B133" t="s">
        <v>39</v>
      </c>
      <c r="C133" t="s">
        <v>8</v>
      </c>
      <c r="D133">
        <v>23</v>
      </c>
      <c r="E133" t="s">
        <v>34</v>
      </c>
      <c r="F133" t="s">
        <v>35</v>
      </c>
      <c r="G133" t="s">
        <v>11</v>
      </c>
    </row>
    <row r="134" spans="1:7" x14ac:dyDescent="0.3">
      <c r="A134">
        <v>133</v>
      </c>
      <c r="B134" t="s">
        <v>144</v>
      </c>
      <c r="C134" t="s">
        <v>20</v>
      </c>
      <c r="D134">
        <v>33</v>
      </c>
      <c r="E134" t="s">
        <v>16</v>
      </c>
      <c r="F134" t="s">
        <v>17</v>
      </c>
      <c r="G134" t="s">
        <v>11</v>
      </c>
    </row>
    <row r="135" spans="1:7" x14ac:dyDescent="0.3">
      <c r="A135">
        <v>134</v>
      </c>
      <c r="B135" t="s">
        <v>145</v>
      </c>
      <c r="C135" t="s">
        <v>20</v>
      </c>
      <c r="D135">
        <v>43</v>
      </c>
      <c r="E135" t="s">
        <v>21</v>
      </c>
      <c r="F135" t="s">
        <v>22</v>
      </c>
      <c r="G135" t="s">
        <v>11</v>
      </c>
    </row>
    <row r="136" spans="1:7" x14ac:dyDescent="0.3">
      <c r="A136">
        <v>135</v>
      </c>
      <c r="B136" t="s">
        <v>39</v>
      </c>
      <c r="C136" t="s">
        <v>8</v>
      </c>
      <c r="D136">
        <v>21</v>
      </c>
      <c r="E136" t="s">
        <v>13</v>
      </c>
      <c r="F136" t="s">
        <v>14</v>
      </c>
      <c r="G136" t="s">
        <v>11</v>
      </c>
    </row>
    <row r="137" spans="1:7" x14ac:dyDescent="0.3">
      <c r="A137">
        <v>136</v>
      </c>
      <c r="B137" t="s">
        <v>146</v>
      </c>
      <c r="C137" t="s">
        <v>20</v>
      </c>
      <c r="D137">
        <v>28</v>
      </c>
      <c r="E137" t="s">
        <v>21</v>
      </c>
      <c r="F137" t="s">
        <v>22</v>
      </c>
      <c r="G137" t="s">
        <v>11</v>
      </c>
    </row>
    <row r="138" spans="1:7" x14ac:dyDescent="0.3">
      <c r="A138">
        <v>137</v>
      </c>
      <c r="B138" t="s">
        <v>131</v>
      </c>
      <c r="C138" t="s">
        <v>8</v>
      </c>
      <c r="D138">
        <v>58</v>
      </c>
      <c r="E138" t="s">
        <v>16</v>
      </c>
      <c r="F138" t="s">
        <v>17</v>
      </c>
      <c r="G138" t="s">
        <v>11</v>
      </c>
    </row>
    <row r="139" spans="1:7" x14ac:dyDescent="0.3">
      <c r="A139">
        <v>138</v>
      </c>
      <c r="B139" t="s">
        <v>147</v>
      </c>
      <c r="C139" t="s">
        <v>8</v>
      </c>
      <c r="D139">
        <v>36</v>
      </c>
      <c r="E139" t="s">
        <v>16</v>
      </c>
      <c r="F139" t="s">
        <v>17</v>
      </c>
      <c r="G139" t="s">
        <v>11</v>
      </c>
    </row>
    <row r="140" spans="1:7" x14ac:dyDescent="0.3">
      <c r="A140">
        <v>139</v>
      </c>
      <c r="B140" t="s">
        <v>31</v>
      </c>
      <c r="C140" t="s">
        <v>20</v>
      </c>
      <c r="D140">
        <v>37</v>
      </c>
      <c r="E140" t="s">
        <v>16</v>
      </c>
      <c r="F140" t="s">
        <v>17</v>
      </c>
      <c r="G140" t="s">
        <v>11</v>
      </c>
    </row>
    <row r="141" spans="1:7" x14ac:dyDescent="0.3">
      <c r="A141">
        <v>140</v>
      </c>
      <c r="B141" t="s">
        <v>148</v>
      </c>
      <c r="C141" t="s">
        <v>8</v>
      </c>
      <c r="D141">
        <v>68</v>
      </c>
      <c r="E141" t="s">
        <v>13</v>
      </c>
      <c r="F141" t="s">
        <v>14</v>
      </c>
      <c r="G141" t="s">
        <v>11</v>
      </c>
    </row>
    <row r="142" spans="1:7" x14ac:dyDescent="0.3">
      <c r="A142">
        <v>141</v>
      </c>
      <c r="B142" t="s">
        <v>149</v>
      </c>
      <c r="C142" t="s">
        <v>20</v>
      </c>
      <c r="D142">
        <v>24</v>
      </c>
      <c r="E142" t="s">
        <v>9</v>
      </c>
      <c r="F142" t="s">
        <v>10</v>
      </c>
      <c r="G142" t="s">
        <v>11</v>
      </c>
    </row>
    <row r="143" spans="1:7" x14ac:dyDescent="0.3">
      <c r="A143">
        <v>142</v>
      </c>
      <c r="B143" t="s">
        <v>111</v>
      </c>
      <c r="C143" t="s">
        <v>20</v>
      </c>
      <c r="D143">
        <v>71</v>
      </c>
      <c r="E143" t="s">
        <v>13</v>
      </c>
      <c r="F143" t="s">
        <v>14</v>
      </c>
      <c r="G143" t="s">
        <v>11</v>
      </c>
    </row>
    <row r="144" spans="1:7" x14ac:dyDescent="0.3">
      <c r="A144">
        <v>143</v>
      </c>
      <c r="B144" t="s">
        <v>92</v>
      </c>
      <c r="C144" t="s">
        <v>8</v>
      </c>
      <c r="D144">
        <v>43</v>
      </c>
      <c r="E144" t="s">
        <v>9</v>
      </c>
      <c r="F144" t="s">
        <v>10</v>
      </c>
      <c r="G144" t="s">
        <v>11</v>
      </c>
    </row>
    <row r="145" spans="1:7" x14ac:dyDescent="0.3">
      <c r="A145">
        <v>144</v>
      </c>
      <c r="B145" t="s">
        <v>15</v>
      </c>
      <c r="C145" t="s">
        <v>8</v>
      </c>
      <c r="D145">
        <v>56</v>
      </c>
      <c r="E145" t="s">
        <v>9</v>
      </c>
      <c r="F145" t="s">
        <v>10</v>
      </c>
      <c r="G145" t="s">
        <v>25</v>
      </c>
    </row>
    <row r="146" spans="1:7" x14ac:dyDescent="0.3">
      <c r="A146">
        <v>145</v>
      </c>
      <c r="B146" t="s">
        <v>150</v>
      </c>
      <c r="C146" t="s">
        <v>8</v>
      </c>
      <c r="D146">
        <v>27</v>
      </c>
      <c r="E146" t="s">
        <v>16</v>
      </c>
      <c r="F146" t="s">
        <v>17</v>
      </c>
      <c r="G146" t="s">
        <v>11</v>
      </c>
    </row>
    <row r="147" spans="1:7" x14ac:dyDescent="0.3">
      <c r="A147">
        <v>146</v>
      </c>
      <c r="B147" t="s">
        <v>151</v>
      </c>
      <c r="C147" t="s">
        <v>20</v>
      </c>
      <c r="D147">
        <v>26</v>
      </c>
      <c r="E147" t="s">
        <v>74</v>
      </c>
      <c r="F147" t="s">
        <v>75</v>
      </c>
      <c r="G147" t="s">
        <v>11</v>
      </c>
    </row>
    <row r="148" spans="1:7" x14ac:dyDescent="0.3">
      <c r="A148">
        <v>147</v>
      </c>
      <c r="B148" t="s">
        <v>152</v>
      </c>
      <c r="C148" t="s">
        <v>8</v>
      </c>
      <c r="D148">
        <v>50</v>
      </c>
      <c r="E148" t="s">
        <v>28</v>
      </c>
      <c r="F148" t="s">
        <v>17</v>
      </c>
      <c r="G148" t="s">
        <v>11</v>
      </c>
    </row>
    <row r="149" spans="1:7" x14ac:dyDescent="0.3">
      <c r="A149">
        <v>148</v>
      </c>
      <c r="B149" t="s">
        <v>136</v>
      </c>
      <c r="C149" t="s">
        <v>8</v>
      </c>
      <c r="D149">
        <v>62</v>
      </c>
      <c r="E149" t="s">
        <v>16</v>
      </c>
      <c r="F149" t="s">
        <v>17</v>
      </c>
      <c r="G149" t="s">
        <v>11</v>
      </c>
    </row>
    <row r="150" spans="1:7" x14ac:dyDescent="0.3">
      <c r="A150">
        <v>149</v>
      </c>
      <c r="B150" t="s">
        <v>153</v>
      </c>
      <c r="C150" t="s">
        <v>8</v>
      </c>
      <c r="D150">
        <v>41</v>
      </c>
      <c r="E150" t="s">
        <v>24</v>
      </c>
      <c r="F150" t="s">
        <v>17</v>
      </c>
      <c r="G150" t="s">
        <v>11</v>
      </c>
    </row>
    <row r="151" spans="1:7" x14ac:dyDescent="0.3">
      <c r="A151">
        <v>150</v>
      </c>
      <c r="B151" t="s">
        <v>60</v>
      </c>
      <c r="C151" t="s">
        <v>8</v>
      </c>
      <c r="D151">
        <v>39</v>
      </c>
      <c r="E151" t="s">
        <v>28</v>
      </c>
      <c r="F151" t="s">
        <v>17</v>
      </c>
      <c r="G151" t="s">
        <v>25</v>
      </c>
    </row>
    <row r="152" spans="1:7" x14ac:dyDescent="0.3">
      <c r="A152">
        <v>151</v>
      </c>
      <c r="B152" t="s">
        <v>113</v>
      </c>
      <c r="C152" t="s">
        <v>8</v>
      </c>
      <c r="D152">
        <v>31</v>
      </c>
      <c r="E152" t="s">
        <v>28</v>
      </c>
      <c r="F152" t="s">
        <v>17</v>
      </c>
      <c r="G152" t="s">
        <v>11</v>
      </c>
    </row>
    <row r="153" spans="1:7" x14ac:dyDescent="0.3">
      <c r="A153">
        <v>152</v>
      </c>
      <c r="B153" t="s">
        <v>33</v>
      </c>
      <c r="C153" t="s">
        <v>8</v>
      </c>
      <c r="D153">
        <v>42</v>
      </c>
      <c r="E153" t="s">
        <v>16</v>
      </c>
      <c r="F153" t="s">
        <v>17</v>
      </c>
      <c r="G153" t="s">
        <v>11</v>
      </c>
    </row>
    <row r="154" spans="1:7" x14ac:dyDescent="0.3">
      <c r="A154">
        <v>153</v>
      </c>
      <c r="B154" t="s">
        <v>18</v>
      </c>
      <c r="C154" t="s">
        <v>8</v>
      </c>
      <c r="D154">
        <v>23</v>
      </c>
      <c r="E154" t="s">
        <v>24</v>
      </c>
      <c r="F154" t="s">
        <v>17</v>
      </c>
      <c r="G154" t="s">
        <v>25</v>
      </c>
    </row>
    <row r="155" spans="1:7" x14ac:dyDescent="0.3">
      <c r="A155">
        <v>154</v>
      </c>
      <c r="B155" t="s">
        <v>154</v>
      </c>
      <c r="C155" t="s">
        <v>20</v>
      </c>
      <c r="D155">
        <v>22</v>
      </c>
      <c r="E155" t="s">
        <v>9</v>
      </c>
      <c r="F155" t="s">
        <v>10</v>
      </c>
      <c r="G155" t="s">
        <v>11</v>
      </c>
    </row>
    <row r="156" spans="1:7" x14ac:dyDescent="0.3">
      <c r="A156">
        <v>155</v>
      </c>
      <c r="B156" t="s">
        <v>155</v>
      </c>
      <c r="C156" t="s">
        <v>8</v>
      </c>
      <c r="D156">
        <v>59</v>
      </c>
      <c r="E156" t="s">
        <v>16</v>
      </c>
      <c r="F156" t="s">
        <v>17</v>
      </c>
      <c r="G156" t="s">
        <v>25</v>
      </c>
    </row>
    <row r="157" spans="1:7" x14ac:dyDescent="0.3">
      <c r="A157">
        <v>156</v>
      </c>
      <c r="B157" t="s">
        <v>156</v>
      </c>
      <c r="C157" t="s">
        <v>20</v>
      </c>
      <c r="D157">
        <v>51</v>
      </c>
      <c r="E157" t="s">
        <v>16</v>
      </c>
      <c r="F157" t="s">
        <v>17</v>
      </c>
      <c r="G157" t="s">
        <v>25</v>
      </c>
    </row>
    <row r="158" spans="1:7" x14ac:dyDescent="0.3">
      <c r="A158">
        <v>157</v>
      </c>
      <c r="B158" t="s">
        <v>157</v>
      </c>
      <c r="C158" t="s">
        <v>8</v>
      </c>
      <c r="D158">
        <v>20</v>
      </c>
      <c r="E158" t="s">
        <v>16</v>
      </c>
      <c r="F158" t="s">
        <v>17</v>
      </c>
      <c r="G158" t="s">
        <v>11</v>
      </c>
    </row>
    <row r="159" spans="1:7" x14ac:dyDescent="0.3">
      <c r="A159">
        <v>158</v>
      </c>
      <c r="B159" t="s">
        <v>158</v>
      </c>
      <c r="C159" t="s">
        <v>20</v>
      </c>
      <c r="D159">
        <v>54</v>
      </c>
      <c r="E159" t="s">
        <v>34</v>
      </c>
      <c r="F159" t="s">
        <v>35</v>
      </c>
      <c r="G159" t="s">
        <v>11</v>
      </c>
    </row>
    <row r="160" spans="1:7" x14ac:dyDescent="0.3">
      <c r="A160">
        <v>159</v>
      </c>
      <c r="B160" t="s">
        <v>159</v>
      </c>
      <c r="C160" t="s">
        <v>20</v>
      </c>
      <c r="D160">
        <v>65</v>
      </c>
      <c r="E160" t="s">
        <v>16</v>
      </c>
      <c r="F160" t="s">
        <v>17</v>
      </c>
      <c r="G160" t="s">
        <v>11</v>
      </c>
    </row>
    <row r="161" spans="1:7" x14ac:dyDescent="0.3">
      <c r="A161">
        <v>160</v>
      </c>
      <c r="B161" t="s">
        <v>160</v>
      </c>
      <c r="C161" t="s">
        <v>20</v>
      </c>
      <c r="D161">
        <v>37</v>
      </c>
      <c r="E161" t="s">
        <v>13</v>
      </c>
      <c r="F161" t="s">
        <v>14</v>
      </c>
      <c r="G161" t="s">
        <v>11</v>
      </c>
    </row>
    <row r="162" spans="1:7" x14ac:dyDescent="0.3">
      <c r="A162">
        <v>161</v>
      </c>
      <c r="B162" t="s">
        <v>161</v>
      </c>
      <c r="C162" t="s">
        <v>20</v>
      </c>
      <c r="D162">
        <v>29</v>
      </c>
      <c r="E162" t="s">
        <v>16</v>
      </c>
      <c r="F162" t="s">
        <v>17</v>
      </c>
      <c r="G162" t="s">
        <v>25</v>
      </c>
    </row>
    <row r="163" spans="1:7" x14ac:dyDescent="0.3">
      <c r="A163">
        <v>162</v>
      </c>
      <c r="B163" t="s">
        <v>36</v>
      </c>
      <c r="C163" t="s">
        <v>20</v>
      </c>
      <c r="D163">
        <v>66</v>
      </c>
      <c r="E163" t="s">
        <v>24</v>
      </c>
      <c r="F163" t="s">
        <v>17</v>
      </c>
      <c r="G163" t="s">
        <v>11</v>
      </c>
    </row>
    <row r="164" spans="1:7" x14ac:dyDescent="0.3">
      <c r="A164">
        <v>163</v>
      </c>
      <c r="B164" t="s">
        <v>162</v>
      </c>
      <c r="C164" t="s">
        <v>20</v>
      </c>
      <c r="D164">
        <v>34</v>
      </c>
      <c r="E164" t="s">
        <v>9</v>
      </c>
      <c r="F164" t="s">
        <v>10</v>
      </c>
      <c r="G164" t="s">
        <v>11</v>
      </c>
    </row>
    <row r="165" spans="1:7" x14ac:dyDescent="0.3">
      <c r="A165">
        <v>164</v>
      </c>
      <c r="B165" t="s">
        <v>163</v>
      </c>
      <c r="C165" t="s">
        <v>20</v>
      </c>
      <c r="D165">
        <v>29</v>
      </c>
      <c r="E165" t="s">
        <v>13</v>
      </c>
      <c r="F165" t="s">
        <v>14</v>
      </c>
      <c r="G165" t="s">
        <v>11</v>
      </c>
    </row>
    <row r="166" spans="1:7" x14ac:dyDescent="0.3">
      <c r="A166">
        <v>165</v>
      </c>
      <c r="B166" t="s">
        <v>164</v>
      </c>
      <c r="C166" t="s">
        <v>8</v>
      </c>
      <c r="D166">
        <v>70</v>
      </c>
      <c r="E166" t="s">
        <v>16</v>
      </c>
      <c r="F166" t="s">
        <v>17</v>
      </c>
      <c r="G166" t="s">
        <v>11</v>
      </c>
    </row>
    <row r="167" spans="1:7" x14ac:dyDescent="0.3">
      <c r="A167">
        <v>166</v>
      </c>
      <c r="B167" t="s">
        <v>165</v>
      </c>
      <c r="C167" t="s">
        <v>20</v>
      </c>
      <c r="D167">
        <v>67</v>
      </c>
      <c r="E167" t="s">
        <v>13</v>
      </c>
      <c r="F167" t="s">
        <v>14</v>
      </c>
      <c r="G167" t="s">
        <v>11</v>
      </c>
    </row>
    <row r="168" spans="1:7" x14ac:dyDescent="0.3">
      <c r="A168">
        <v>167</v>
      </c>
      <c r="B168" t="s">
        <v>166</v>
      </c>
      <c r="C168" t="s">
        <v>8</v>
      </c>
      <c r="D168">
        <v>24</v>
      </c>
      <c r="E168" t="s">
        <v>24</v>
      </c>
      <c r="F168" t="s">
        <v>17</v>
      </c>
      <c r="G168" t="s">
        <v>11</v>
      </c>
    </row>
    <row r="169" spans="1:7" x14ac:dyDescent="0.3">
      <c r="A169">
        <v>168</v>
      </c>
      <c r="B169" t="s">
        <v>167</v>
      </c>
      <c r="C169" t="s">
        <v>20</v>
      </c>
      <c r="D169">
        <v>42</v>
      </c>
      <c r="E169" t="s">
        <v>28</v>
      </c>
      <c r="F169" t="s">
        <v>17</v>
      </c>
      <c r="G169" t="s">
        <v>11</v>
      </c>
    </row>
    <row r="170" spans="1:7" x14ac:dyDescent="0.3">
      <c r="A170">
        <v>169</v>
      </c>
      <c r="B170" t="s">
        <v>168</v>
      </c>
      <c r="C170" t="s">
        <v>8</v>
      </c>
      <c r="D170">
        <v>66</v>
      </c>
      <c r="E170" t="s">
        <v>74</v>
      </c>
      <c r="F170" t="s">
        <v>75</v>
      </c>
      <c r="G170" t="s">
        <v>11</v>
      </c>
    </row>
    <row r="171" spans="1:7" x14ac:dyDescent="0.3">
      <c r="A171">
        <v>170</v>
      </c>
      <c r="B171" t="s">
        <v>26</v>
      </c>
      <c r="C171" t="s">
        <v>20</v>
      </c>
      <c r="D171">
        <v>32</v>
      </c>
      <c r="E171" t="s">
        <v>24</v>
      </c>
      <c r="F171" t="s">
        <v>17</v>
      </c>
      <c r="G171" t="s">
        <v>11</v>
      </c>
    </row>
    <row r="172" spans="1:7" x14ac:dyDescent="0.3">
      <c r="A172">
        <v>171</v>
      </c>
      <c r="B172" t="s">
        <v>136</v>
      </c>
      <c r="C172" t="s">
        <v>8</v>
      </c>
      <c r="D172">
        <v>36</v>
      </c>
      <c r="E172" t="s">
        <v>16</v>
      </c>
      <c r="F172" t="s">
        <v>17</v>
      </c>
      <c r="G172" t="s">
        <v>11</v>
      </c>
    </row>
    <row r="173" spans="1:7" x14ac:dyDescent="0.3">
      <c r="A173">
        <v>172</v>
      </c>
      <c r="B173" t="s">
        <v>169</v>
      </c>
      <c r="C173" t="s">
        <v>8</v>
      </c>
      <c r="D173">
        <v>52</v>
      </c>
      <c r="E173" t="s">
        <v>9</v>
      </c>
      <c r="F173" t="s">
        <v>10</v>
      </c>
      <c r="G173" t="s">
        <v>11</v>
      </c>
    </row>
    <row r="174" spans="1:7" x14ac:dyDescent="0.3">
      <c r="A174">
        <v>173</v>
      </c>
      <c r="B174" t="s">
        <v>170</v>
      </c>
      <c r="C174" t="s">
        <v>8</v>
      </c>
      <c r="D174">
        <v>36</v>
      </c>
      <c r="E174" t="s">
        <v>74</v>
      </c>
      <c r="F174" t="s">
        <v>75</v>
      </c>
      <c r="G174" t="s">
        <v>25</v>
      </c>
    </row>
    <row r="175" spans="1:7" x14ac:dyDescent="0.3">
      <c r="A175">
        <v>174</v>
      </c>
      <c r="B175" t="s">
        <v>171</v>
      </c>
      <c r="C175" t="s">
        <v>8</v>
      </c>
      <c r="D175">
        <v>46</v>
      </c>
      <c r="E175" t="s">
        <v>16</v>
      </c>
      <c r="F175" t="s">
        <v>17</v>
      </c>
      <c r="G175" t="s">
        <v>11</v>
      </c>
    </row>
    <row r="176" spans="1:7" x14ac:dyDescent="0.3">
      <c r="A176">
        <v>175</v>
      </c>
      <c r="B176" t="s">
        <v>137</v>
      </c>
      <c r="C176" t="s">
        <v>20</v>
      </c>
      <c r="D176">
        <v>27</v>
      </c>
      <c r="E176" t="s">
        <v>74</v>
      </c>
      <c r="F176" t="s">
        <v>75</v>
      </c>
      <c r="G176" t="s">
        <v>25</v>
      </c>
    </row>
    <row r="177" spans="1:7" x14ac:dyDescent="0.3">
      <c r="A177">
        <v>176</v>
      </c>
      <c r="B177" t="s">
        <v>172</v>
      </c>
      <c r="C177" t="s">
        <v>20</v>
      </c>
      <c r="D177">
        <v>49</v>
      </c>
      <c r="E177" t="s">
        <v>24</v>
      </c>
      <c r="F177" t="s">
        <v>17</v>
      </c>
      <c r="G177" t="s">
        <v>11</v>
      </c>
    </row>
    <row r="178" spans="1:7" x14ac:dyDescent="0.3">
      <c r="A178">
        <v>177</v>
      </c>
      <c r="B178" t="s">
        <v>173</v>
      </c>
      <c r="C178" t="s">
        <v>8</v>
      </c>
      <c r="D178">
        <v>71</v>
      </c>
      <c r="E178" t="s">
        <v>13</v>
      </c>
      <c r="F178" t="s">
        <v>14</v>
      </c>
      <c r="G178" t="s">
        <v>11</v>
      </c>
    </row>
    <row r="179" spans="1:7" x14ac:dyDescent="0.3">
      <c r="A179">
        <v>178</v>
      </c>
      <c r="B179" t="s">
        <v>174</v>
      </c>
      <c r="C179" t="s">
        <v>8</v>
      </c>
      <c r="D179">
        <v>69</v>
      </c>
      <c r="E179" t="s">
        <v>37</v>
      </c>
      <c r="F179" t="s">
        <v>38</v>
      </c>
      <c r="G179" t="s">
        <v>25</v>
      </c>
    </row>
    <row r="180" spans="1:7" x14ac:dyDescent="0.3">
      <c r="A180">
        <v>179</v>
      </c>
      <c r="B180" t="s">
        <v>175</v>
      </c>
      <c r="C180" t="s">
        <v>20</v>
      </c>
      <c r="D180">
        <v>25</v>
      </c>
      <c r="E180" t="s">
        <v>16</v>
      </c>
      <c r="F180" t="s">
        <v>17</v>
      </c>
      <c r="G180" t="s">
        <v>11</v>
      </c>
    </row>
    <row r="181" spans="1:7" x14ac:dyDescent="0.3">
      <c r="A181">
        <v>180</v>
      </c>
      <c r="B181" t="s">
        <v>176</v>
      </c>
      <c r="C181" t="s">
        <v>8</v>
      </c>
      <c r="D181">
        <v>48</v>
      </c>
      <c r="E181" t="s">
        <v>43</v>
      </c>
      <c r="F181" t="s">
        <v>44</v>
      </c>
      <c r="G181" t="s">
        <v>11</v>
      </c>
    </row>
    <row r="182" spans="1:7" x14ac:dyDescent="0.3">
      <c r="A182">
        <v>181</v>
      </c>
      <c r="B182" t="s">
        <v>39</v>
      </c>
      <c r="C182" t="s">
        <v>8</v>
      </c>
      <c r="D182">
        <v>27</v>
      </c>
      <c r="E182" t="s">
        <v>13</v>
      </c>
      <c r="F182" t="s">
        <v>14</v>
      </c>
      <c r="G182" t="s">
        <v>11</v>
      </c>
    </row>
    <row r="183" spans="1:7" x14ac:dyDescent="0.3">
      <c r="A183">
        <v>182</v>
      </c>
      <c r="B183" t="s">
        <v>177</v>
      </c>
      <c r="C183" t="s">
        <v>20</v>
      </c>
      <c r="D183">
        <v>38</v>
      </c>
      <c r="E183" t="s">
        <v>21</v>
      </c>
      <c r="F183" t="s">
        <v>22</v>
      </c>
      <c r="G183" t="s">
        <v>11</v>
      </c>
    </row>
    <row r="184" spans="1:7" x14ac:dyDescent="0.3">
      <c r="A184">
        <v>183</v>
      </c>
      <c r="B184" t="s">
        <v>178</v>
      </c>
      <c r="C184" t="s">
        <v>8</v>
      </c>
      <c r="D184">
        <v>63</v>
      </c>
      <c r="E184" t="s">
        <v>21</v>
      </c>
      <c r="F184" t="s">
        <v>22</v>
      </c>
      <c r="G184" t="s">
        <v>11</v>
      </c>
    </row>
    <row r="185" spans="1:7" x14ac:dyDescent="0.3">
      <c r="A185">
        <v>184</v>
      </c>
      <c r="B185" t="s">
        <v>179</v>
      </c>
      <c r="C185" t="s">
        <v>8</v>
      </c>
      <c r="D185">
        <v>56</v>
      </c>
      <c r="E185" t="s">
        <v>16</v>
      </c>
      <c r="F185" t="s">
        <v>17</v>
      </c>
      <c r="G185" t="s">
        <v>11</v>
      </c>
    </row>
    <row r="186" spans="1:7" x14ac:dyDescent="0.3">
      <c r="A186">
        <v>185</v>
      </c>
      <c r="B186" t="s">
        <v>81</v>
      </c>
      <c r="C186" t="s">
        <v>8</v>
      </c>
      <c r="D186">
        <v>19</v>
      </c>
      <c r="E186" t="s">
        <v>24</v>
      </c>
      <c r="F186" t="s">
        <v>17</v>
      </c>
      <c r="G186" t="s">
        <v>11</v>
      </c>
    </row>
    <row r="187" spans="1:7" x14ac:dyDescent="0.3">
      <c r="A187">
        <v>186</v>
      </c>
      <c r="B187" t="s">
        <v>180</v>
      </c>
      <c r="C187" t="s">
        <v>8</v>
      </c>
      <c r="D187">
        <v>39</v>
      </c>
      <c r="E187" t="s">
        <v>13</v>
      </c>
      <c r="F187" t="s">
        <v>14</v>
      </c>
      <c r="G187" t="s">
        <v>25</v>
      </c>
    </row>
    <row r="188" spans="1:7" x14ac:dyDescent="0.3">
      <c r="A188">
        <v>187</v>
      </c>
      <c r="B188" t="s">
        <v>181</v>
      </c>
      <c r="C188" t="s">
        <v>8</v>
      </c>
      <c r="D188">
        <v>34</v>
      </c>
      <c r="E188" t="s">
        <v>74</v>
      </c>
      <c r="F188" t="s">
        <v>75</v>
      </c>
      <c r="G188" t="s">
        <v>11</v>
      </c>
    </row>
    <row r="189" spans="1:7" x14ac:dyDescent="0.3">
      <c r="A189">
        <v>188</v>
      </c>
      <c r="B189" t="s">
        <v>182</v>
      </c>
      <c r="C189" t="s">
        <v>20</v>
      </c>
      <c r="D189">
        <v>60</v>
      </c>
      <c r="E189" t="s">
        <v>16</v>
      </c>
      <c r="F189" t="s">
        <v>17</v>
      </c>
      <c r="G189" t="s">
        <v>25</v>
      </c>
    </row>
    <row r="190" spans="1:7" x14ac:dyDescent="0.3">
      <c r="A190">
        <v>189</v>
      </c>
      <c r="B190" t="s">
        <v>183</v>
      </c>
      <c r="C190" t="s">
        <v>20</v>
      </c>
      <c r="D190">
        <v>62</v>
      </c>
      <c r="E190" t="s">
        <v>16</v>
      </c>
      <c r="F190" t="s">
        <v>17</v>
      </c>
      <c r="G190" t="s">
        <v>11</v>
      </c>
    </row>
    <row r="191" spans="1:7" x14ac:dyDescent="0.3">
      <c r="A191">
        <v>190</v>
      </c>
      <c r="B191" t="s">
        <v>184</v>
      </c>
      <c r="C191" t="s">
        <v>8</v>
      </c>
      <c r="D191">
        <v>46</v>
      </c>
      <c r="E191" t="s">
        <v>24</v>
      </c>
      <c r="F191" t="s">
        <v>17</v>
      </c>
      <c r="G191" t="s">
        <v>11</v>
      </c>
    </row>
    <row r="192" spans="1:7" x14ac:dyDescent="0.3">
      <c r="A192">
        <v>191</v>
      </c>
      <c r="B192" t="s">
        <v>185</v>
      </c>
      <c r="C192" t="s">
        <v>20</v>
      </c>
      <c r="D192">
        <v>40</v>
      </c>
      <c r="E192" t="s">
        <v>28</v>
      </c>
      <c r="F192" t="s">
        <v>17</v>
      </c>
      <c r="G192" t="s">
        <v>11</v>
      </c>
    </row>
    <row r="193" spans="1:7" x14ac:dyDescent="0.3">
      <c r="A193">
        <v>192</v>
      </c>
      <c r="B193" t="s">
        <v>30</v>
      </c>
      <c r="C193" t="s">
        <v>8</v>
      </c>
      <c r="D193">
        <v>19</v>
      </c>
      <c r="E193" t="s">
        <v>24</v>
      </c>
      <c r="F193" t="s">
        <v>17</v>
      </c>
      <c r="G193" t="s">
        <v>11</v>
      </c>
    </row>
    <row r="194" spans="1:7" x14ac:dyDescent="0.3">
      <c r="A194">
        <v>193</v>
      </c>
      <c r="B194" t="s">
        <v>116</v>
      </c>
      <c r="C194" t="s">
        <v>20</v>
      </c>
      <c r="D194">
        <v>32</v>
      </c>
      <c r="E194" t="s">
        <v>16</v>
      </c>
      <c r="F194" t="s">
        <v>17</v>
      </c>
      <c r="G194" t="s">
        <v>25</v>
      </c>
    </row>
    <row r="195" spans="1:7" x14ac:dyDescent="0.3">
      <c r="A195">
        <v>194</v>
      </c>
      <c r="B195" t="s">
        <v>186</v>
      </c>
      <c r="C195" t="s">
        <v>20</v>
      </c>
      <c r="D195">
        <v>31</v>
      </c>
      <c r="E195" t="s">
        <v>9</v>
      </c>
      <c r="F195" t="s">
        <v>10</v>
      </c>
      <c r="G195" t="s">
        <v>11</v>
      </c>
    </row>
    <row r="196" spans="1:7" x14ac:dyDescent="0.3">
      <c r="A196">
        <v>195</v>
      </c>
      <c r="B196" t="s">
        <v>104</v>
      </c>
      <c r="C196" t="s">
        <v>20</v>
      </c>
      <c r="D196">
        <v>37</v>
      </c>
      <c r="E196" t="s">
        <v>13</v>
      </c>
      <c r="F196" t="s">
        <v>14</v>
      </c>
      <c r="G196" t="s">
        <v>11</v>
      </c>
    </row>
    <row r="197" spans="1:7" x14ac:dyDescent="0.3">
      <c r="A197">
        <v>196</v>
      </c>
      <c r="B197" t="s">
        <v>187</v>
      </c>
      <c r="C197" t="s">
        <v>20</v>
      </c>
      <c r="D197">
        <v>33</v>
      </c>
      <c r="E197" t="s">
        <v>9</v>
      </c>
      <c r="F197" t="s">
        <v>10</v>
      </c>
      <c r="G197" t="s">
        <v>11</v>
      </c>
    </row>
    <row r="198" spans="1:7" x14ac:dyDescent="0.3">
      <c r="A198">
        <v>197</v>
      </c>
      <c r="B198" t="s">
        <v>188</v>
      </c>
      <c r="C198" t="s">
        <v>20</v>
      </c>
      <c r="D198">
        <v>28</v>
      </c>
      <c r="E198" t="s">
        <v>24</v>
      </c>
      <c r="F198" t="s">
        <v>17</v>
      </c>
      <c r="G198" t="s">
        <v>11</v>
      </c>
    </row>
    <row r="199" spans="1:7" x14ac:dyDescent="0.3">
      <c r="A199">
        <v>198</v>
      </c>
      <c r="B199" t="s">
        <v>189</v>
      </c>
      <c r="C199" t="s">
        <v>20</v>
      </c>
      <c r="D199">
        <v>28</v>
      </c>
      <c r="E199" t="s">
        <v>24</v>
      </c>
      <c r="F199" t="s">
        <v>17</v>
      </c>
      <c r="G199" t="s">
        <v>11</v>
      </c>
    </row>
    <row r="200" spans="1:7" x14ac:dyDescent="0.3">
      <c r="A200">
        <v>199</v>
      </c>
      <c r="B200" t="s">
        <v>109</v>
      </c>
      <c r="C200" t="s">
        <v>20</v>
      </c>
      <c r="D200">
        <v>47</v>
      </c>
      <c r="E200" t="s">
        <v>16</v>
      </c>
      <c r="F200" t="s">
        <v>17</v>
      </c>
      <c r="G200" t="s">
        <v>11</v>
      </c>
    </row>
    <row r="201" spans="1:7" x14ac:dyDescent="0.3">
      <c r="A201">
        <v>200</v>
      </c>
      <c r="B201" t="s">
        <v>190</v>
      </c>
      <c r="C201" t="s">
        <v>8</v>
      </c>
      <c r="D201">
        <v>24</v>
      </c>
      <c r="E201" t="s">
        <v>43</v>
      </c>
      <c r="F201" t="s">
        <v>44</v>
      </c>
      <c r="G201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I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22" customWidth="1"/>
    <col min="4" max="4" width="12" customWidth="1"/>
    <col min="5" max="5" width="16" customWidth="1"/>
    <col min="6" max="6" width="12" customWidth="1"/>
    <col min="7" max="7" width="10" customWidth="1"/>
    <col min="8" max="9" width="15" customWidth="1"/>
  </cols>
  <sheetData>
    <row r="1" spans="1:9" x14ac:dyDescent="0.3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3">
      <c r="A2">
        <v>1</v>
      </c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>
        <v>7</v>
      </c>
      <c r="H2" s="2">
        <v>3200</v>
      </c>
      <c r="I2" s="2">
        <v>2240</v>
      </c>
    </row>
    <row r="3" spans="1:9" x14ac:dyDescent="0.3">
      <c r="A3">
        <v>2</v>
      </c>
      <c r="B3" t="s">
        <v>205</v>
      </c>
      <c r="C3" t="s">
        <v>13</v>
      </c>
      <c r="D3" t="s">
        <v>202</v>
      </c>
      <c r="E3" t="s">
        <v>203</v>
      </c>
      <c r="F3" t="s">
        <v>206</v>
      </c>
      <c r="G3">
        <v>4</v>
      </c>
      <c r="H3" s="2">
        <v>1800</v>
      </c>
      <c r="I3" s="2">
        <v>1350</v>
      </c>
    </row>
    <row r="4" spans="1:9" x14ac:dyDescent="0.3">
      <c r="A4">
        <v>3</v>
      </c>
      <c r="B4" t="s">
        <v>207</v>
      </c>
      <c r="C4" t="s">
        <v>208</v>
      </c>
      <c r="D4" t="s">
        <v>202</v>
      </c>
      <c r="E4" t="s">
        <v>203</v>
      </c>
      <c r="F4" t="s">
        <v>209</v>
      </c>
      <c r="G4">
        <v>5</v>
      </c>
      <c r="H4" s="2">
        <v>2600</v>
      </c>
      <c r="I4" s="2">
        <v>1900</v>
      </c>
    </row>
    <row r="5" spans="1:9" x14ac:dyDescent="0.3">
      <c r="A5">
        <v>4</v>
      </c>
      <c r="B5" t="s">
        <v>210</v>
      </c>
      <c r="C5" t="s">
        <v>210</v>
      </c>
      <c r="D5" t="s">
        <v>202</v>
      </c>
      <c r="E5" t="s">
        <v>203</v>
      </c>
      <c r="F5" t="s">
        <v>204</v>
      </c>
      <c r="G5">
        <v>6</v>
      </c>
      <c r="H5" s="2">
        <v>6900</v>
      </c>
      <c r="I5" s="2">
        <v>5100</v>
      </c>
    </row>
    <row r="6" spans="1:9" x14ac:dyDescent="0.3">
      <c r="A6">
        <v>5</v>
      </c>
      <c r="B6" t="s">
        <v>211</v>
      </c>
      <c r="C6" t="s">
        <v>212</v>
      </c>
      <c r="D6" t="s">
        <v>202</v>
      </c>
      <c r="E6" t="s">
        <v>203</v>
      </c>
      <c r="F6" t="s">
        <v>213</v>
      </c>
      <c r="G6">
        <v>5</v>
      </c>
      <c r="H6" s="2">
        <v>3400</v>
      </c>
      <c r="I6" s="2">
        <v>2450</v>
      </c>
    </row>
    <row r="7" spans="1:9" x14ac:dyDescent="0.3">
      <c r="A7">
        <v>6</v>
      </c>
      <c r="B7" t="s">
        <v>214</v>
      </c>
      <c r="C7" t="s">
        <v>214</v>
      </c>
      <c r="D7" t="s">
        <v>202</v>
      </c>
      <c r="E7" t="s">
        <v>203</v>
      </c>
      <c r="F7" t="s">
        <v>215</v>
      </c>
      <c r="G7">
        <v>4</v>
      </c>
      <c r="H7" s="2">
        <v>2100</v>
      </c>
      <c r="I7" s="2">
        <v>1500</v>
      </c>
    </row>
    <row r="8" spans="1:9" x14ac:dyDescent="0.3">
      <c r="A8">
        <v>7</v>
      </c>
      <c r="B8" t="s">
        <v>216</v>
      </c>
      <c r="C8" t="s">
        <v>217</v>
      </c>
      <c r="D8" t="s">
        <v>218</v>
      </c>
      <c r="E8" t="s">
        <v>219</v>
      </c>
      <c r="F8" t="s">
        <v>206</v>
      </c>
      <c r="G8">
        <v>5</v>
      </c>
      <c r="H8" s="2">
        <v>4200</v>
      </c>
      <c r="I8" s="2">
        <v>3100</v>
      </c>
    </row>
    <row r="9" spans="1:9" x14ac:dyDescent="0.3">
      <c r="A9">
        <v>8</v>
      </c>
      <c r="B9" t="s">
        <v>220</v>
      </c>
      <c r="C9" t="s">
        <v>221</v>
      </c>
      <c r="D9" t="s">
        <v>222</v>
      </c>
      <c r="E9" t="s">
        <v>219</v>
      </c>
      <c r="F9" t="s">
        <v>209</v>
      </c>
      <c r="G9">
        <v>6</v>
      </c>
      <c r="H9" s="2">
        <v>5900</v>
      </c>
      <c r="I9" s="2">
        <v>4300</v>
      </c>
    </row>
    <row r="10" spans="1:9" x14ac:dyDescent="0.3">
      <c r="A10">
        <v>9</v>
      </c>
      <c r="B10" t="s">
        <v>223</v>
      </c>
      <c r="C10" t="s">
        <v>224</v>
      </c>
      <c r="D10" t="s">
        <v>225</v>
      </c>
      <c r="E10" t="s">
        <v>219</v>
      </c>
      <c r="F10" t="s">
        <v>204</v>
      </c>
      <c r="G10">
        <v>7</v>
      </c>
      <c r="H10" s="2">
        <v>8900</v>
      </c>
      <c r="I10" s="2">
        <v>6500</v>
      </c>
    </row>
    <row r="11" spans="1:9" x14ac:dyDescent="0.3">
      <c r="A11">
        <v>10</v>
      </c>
      <c r="B11" t="s">
        <v>226</v>
      </c>
      <c r="C11" t="s">
        <v>227</v>
      </c>
      <c r="D11" t="s">
        <v>228</v>
      </c>
      <c r="E11" t="s">
        <v>219</v>
      </c>
      <c r="F11" t="s">
        <v>229</v>
      </c>
      <c r="G11">
        <v>8</v>
      </c>
      <c r="H11" s="2">
        <v>11500</v>
      </c>
      <c r="I11" s="2">
        <v>8700</v>
      </c>
    </row>
    <row r="12" spans="1:9" x14ac:dyDescent="0.3">
      <c r="A12">
        <v>11</v>
      </c>
      <c r="B12" t="s">
        <v>230</v>
      </c>
      <c r="C12" t="s">
        <v>231</v>
      </c>
      <c r="D12" t="s">
        <v>232</v>
      </c>
      <c r="E12" t="s">
        <v>219</v>
      </c>
      <c r="F12" t="s">
        <v>206</v>
      </c>
      <c r="G12">
        <v>10</v>
      </c>
      <c r="H12" s="2">
        <v>15800</v>
      </c>
      <c r="I12" s="2">
        <v>12100</v>
      </c>
    </row>
    <row r="13" spans="1:9" x14ac:dyDescent="0.3">
      <c r="A13">
        <v>12</v>
      </c>
      <c r="B13" t="s">
        <v>233</v>
      </c>
      <c r="C13" t="s">
        <v>234</v>
      </c>
      <c r="D13" t="s">
        <v>235</v>
      </c>
      <c r="E13" t="s">
        <v>219</v>
      </c>
      <c r="F13" t="s">
        <v>206</v>
      </c>
      <c r="G13">
        <v>9</v>
      </c>
      <c r="H13" s="2">
        <v>12400</v>
      </c>
      <c r="I13" s="2">
        <v>9300</v>
      </c>
    </row>
    <row r="14" spans="1:9" x14ac:dyDescent="0.3">
      <c r="A14">
        <v>13</v>
      </c>
      <c r="B14" t="s">
        <v>236</v>
      </c>
      <c r="C14" t="s">
        <v>237</v>
      </c>
      <c r="D14" t="s">
        <v>238</v>
      </c>
      <c r="E14" t="s">
        <v>219</v>
      </c>
      <c r="F14" t="s">
        <v>213</v>
      </c>
      <c r="G14">
        <v>6</v>
      </c>
      <c r="H14" s="2">
        <v>7300</v>
      </c>
      <c r="I14" s="2">
        <v>5300</v>
      </c>
    </row>
    <row r="15" spans="1:9" x14ac:dyDescent="0.3">
      <c r="A15">
        <v>14</v>
      </c>
      <c r="B15" t="s">
        <v>239</v>
      </c>
      <c r="C15" t="s">
        <v>240</v>
      </c>
      <c r="D15" t="s">
        <v>202</v>
      </c>
      <c r="E15" t="s">
        <v>203</v>
      </c>
      <c r="F15" t="s">
        <v>215</v>
      </c>
      <c r="G15">
        <v>4</v>
      </c>
      <c r="H15" s="2">
        <v>2900</v>
      </c>
      <c r="I15" s="2">
        <v>2100</v>
      </c>
    </row>
    <row r="16" spans="1:9" x14ac:dyDescent="0.3">
      <c r="A16">
        <v>15</v>
      </c>
      <c r="B16" t="s">
        <v>241</v>
      </c>
      <c r="C16" t="s">
        <v>242</v>
      </c>
      <c r="D16" t="s">
        <v>202</v>
      </c>
      <c r="E16" t="s">
        <v>203</v>
      </c>
      <c r="F16" t="s">
        <v>204</v>
      </c>
      <c r="G16">
        <v>5</v>
      </c>
      <c r="H16" s="2">
        <v>3100</v>
      </c>
      <c r="I16" s="2">
        <v>2200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38C3-26D8-422B-A35F-28F343A4137C}">
  <sheetPr codeName="Planilha3"/>
  <dimension ref="A3:B10"/>
  <sheetViews>
    <sheetView workbookViewId="0">
      <selection activeCell="M24" sqref="M24"/>
    </sheetView>
  </sheetViews>
  <sheetFormatPr defaultRowHeight="14.4" x14ac:dyDescent="0.3"/>
  <cols>
    <col min="1" max="1" width="17.21875" bestFit="1" customWidth="1"/>
    <col min="2" max="2" width="19.88671875" bestFit="1" customWidth="1"/>
  </cols>
  <sheetData>
    <row r="3" spans="1:2" x14ac:dyDescent="0.3">
      <c r="A3" s="5" t="s">
        <v>259</v>
      </c>
      <c r="B3" t="s">
        <v>261</v>
      </c>
    </row>
    <row r="4" spans="1:2" x14ac:dyDescent="0.3">
      <c r="A4" s="6" t="s">
        <v>204</v>
      </c>
      <c r="B4" s="2">
        <v>4667165</v>
      </c>
    </row>
    <row r="5" spans="1:2" x14ac:dyDescent="0.3">
      <c r="A5" s="6" t="s">
        <v>206</v>
      </c>
      <c r="B5" s="2">
        <v>4632000</v>
      </c>
    </row>
    <row r="6" spans="1:2" x14ac:dyDescent="0.3">
      <c r="A6" s="6" t="s">
        <v>229</v>
      </c>
      <c r="B6" s="2">
        <v>1590450</v>
      </c>
    </row>
    <row r="7" spans="1:2" x14ac:dyDescent="0.3">
      <c r="A7" s="6" t="s">
        <v>209</v>
      </c>
      <c r="B7" s="2">
        <v>1362595</v>
      </c>
    </row>
    <row r="8" spans="1:2" x14ac:dyDescent="0.3">
      <c r="A8" s="6" t="s">
        <v>213</v>
      </c>
      <c r="B8" s="2">
        <v>1276975</v>
      </c>
    </row>
    <row r="9" spans="1:2" x14ac:dyDescent="0.3">
      <c r="A9" s="6" t="s">
        <v>215</v>
      </c>
      <c r="B9" s="2">
        <v>894325</v>
      </c>
    </row>
    <row r="10" spans="1:2" x14ac:dyDescent="0.3">
      <c r="A10" s="6" t="s">
        <v>260</v>
      </c>
      <c r="B10" s="2">
        <v>14423510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5002-BF49-45ED-AE80-6752E75C305F}">
  <sheetPr codeName="Planilha4"/>
  <dimension ref="B2"/>
  <sheetViews>
    <sheetView showGridLines="0" tabSelected="1" zoomScale="70" zoomScaleNormal="70" workbookViewId="0">
      <selection activeCell="A34" sqref="A34"/>
    </sheetView>
  </sheetViews>
  <sheetFormatPr defaultRowHeight="14.4" x14ac:dyDescent="0.3"/>
  <sheetData>
    <row r="2" spans="2:2" ht="31.2" x14ac:dyDescent="0.6">
      <c r="B2" s="8" t="s">
        <v>276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54D4-E073-4F8F-A2AB-DED45E7218BC}">
  <sheetPr codeName="Planilha5"/>
  <dimension ref="A3:B27"/>
  <sheetViews>
    <sheetView workbookViewId="0">
      <selection activeCell="B5" sqref="B5"/>
    </sheetView>
  </sheetViews>
  <sheetFormatPr defaultRowHeight="14.4" x14ac:dyDescent="0.3"/>
  <cols>
    <col min="1" max="1" width="17.21875" bestFit="1" customWidth="1"/>
    <col min="2" max="2" width="19.88671875" bestFit="1" customWidth="1"/>
  </cols>
  <sheetData>
    <row r="3" spans="1:2" x14ac:dyDescent="0.3">
      <c r="A3" s="5" t="s">
        <v>259</v>
      </c>
      <c r="B3" t="s">
        <v>261</v>
      </c>
    </row>
    <row r="4" spans="1:2" x14ac:dyDescent="0.3">
      <c r="A4" s="6" t="s">
        <v>262</v>
      </c>
      <c r="B4" s="2">
        <v>8389665</v>
      </c>
    </row>
    <row r="5" spans="1:2" x14ac:dyDescent="0.3">
      <c r="A5" s="7" t="s">
        <v>264</v>
      </c>
      <c r="B5" s="2">
        <v>586080</v>
      </c>
    </row>
    <row r="6" spans="1:2" x14ac:dyDescent="0.3">
      <c r="A6" s="7" t="s">
        <v>265</v>
      </c>
      <c r="B6" s="2">
        <v>594415</v>
      </c>
    </row>
    <row r="7" spans="1:2" x14ac:dyDescent="0.3">
      <c r="A7" s="7" t="s">
        <v>266</v>
      </c>
      <c r="B7" s="2">
        <v>335950</v>
      </c>
    </row>
    <row r="8" spans="1:2" x14ac:dyDescent="0.3">
      <c r="A8" s="7" t="s">
        <v>267</v>
      </c>
      <c r="B8" s="2">
        <v>838425</v>
      </c>
    </row>
    <row r="9" spans="1:2" x14ac:dyDescent="0.3">
      <c r="A9" s="7" t="s">
        <v>268</v>
      </c>
      <c r="B9" s="2">
        <v>583475</v>
      </c>
    </row>
    <row r="10" spans="1:2" x14ac:dyDescent="0.3">
      <c r="A10" s="7" t="s">
        <v>269</v>
      </c>
      <c r="B10" s="2">
        <v>728720</v>
      </c>
    </row>
    <row r="11" spans="1:2" x14ac:dyDescent="0.3">
      <c r="A11" s="7" t="s">
        <v>270</v>
      </c>
      <c r="B11" s="2">
        <v>1084470</v>
      </c>
    </row>
    <row r="12" spans="1:2" x14ac:dyDescent="0.3">
      <c r="A12" s="7" t="s">
        <v>271</v>
      </c>
      <c r="B12" s="2">
        <v>760955</v>
      </c>
    </row>
    <row r="13" spans="1:2" x14ac:dyDescent="0.3">
      <c r="A13" s="7" t="s">
        <v>272</v>
      </c>
      <c r="B13" s="2">
        <v>705940</v>
      </c>
    </row>
    <row r="14" spans="1:2" x14ac:dyDescent="0.3">
      <c r="A14" s="7" t="s">
        <v>273</v>
      </c>
      <c r="B14" s="2">
        <v>439995</v>
      </c>
    </row>
    <row r="15" spans="1:2" x14ac:dyDescent="0.3">
      <c r="A15" s="7" t="s">
        <v>274</v>
      </c>
      <c r="B15" s="2">
        <v>890310</v>
      </c>
    </row>
    <row r="16" spans="1:2" x14ac:dyDescent="0.3">
      <c r="A16" s="7" t="s">
        <v>275</v>
      </c>
      <c r="B16" s="2">
        <v>840930</v>
      </c>
    </row>
    <row r="17" spans="1:2" x14ac:dyDescent="0.3">
      <c r="A17" s="6" t="s">
        <v>263</v>
      </c>
      <c r="B17" s="2">
        <v>6033845</v>
      </c>
    </row>
    <row r="18" spans="1:2" x14ac:dyDescent="0.3">
      <c r="A18" s="7" t="s">
        <v>264</v>
      </c>
      <c r="B18" s="2">
        <v>355990</v>
      </c>
    </row>
    <row r="19" spans="1:2" x14ac:dyDescent="0.3">
      <c r="A19" s="7" t="s">
        <v>265</v>
      </c>
      <c r="B19" s="2">
        <v>491885</v>
      </c>
    </row>
    <row r="20" spans="1:2" x14ac:dyDescent="0.3">
      <c r="A20" s="7" t="s">
        <v>266</v>
      </c>
      <c r="B20" s="2">
        <v>703555</v>
      </c>
    </row>
    <row r="21" spans="1:2" x14ac:dyDescent="0.3">
      <c r="A21" s="7" t="s">
        <v>267</v>
      </c>
      <c r="B21" s="2">
        <v>702775</v>
      </c>
    </row>
    <row r="22" spans="1:2" x14ac:dyDescent="0.3">
      <c r="A22" s="7" t="s">
        <v>268</v>
      </c>
      <c r="B22" s="2">
        <v>675310</v>
      </c>
    </row>
    <row r="23" spans="1:2" x14ac:dyDescent="0.3">
      <c r="A23" s="7" t="s">
        <v>269</v>
      </c>
      <c r="B23" s="2">
        <v>951610</v>
      </c>
    </row>
    <row r="24" spans="1:2" x14ac:dyDescent="0.3">
      <c r="A24" s="7" t="s">
        <v>270</v>
      </c>
      <c r="B24" s="2">
        <v>1160595</v>
      </c>
    </row>
    <row r="25" spans="1:2" x14ac:dyDescent="0.3">
      <c r="A25" s="7" t="s">
        <v>271</v>
      </c>
      <c r="B25" s="2">
        <v>461425</v>
      </c>
    </row>
    <row r="26" spans="1:2" x14ac:dyDescent="0.3">
      <c r="A26" s="7" t="s">
        <v>272</v>
      </c>
      <c r="B26" s="2">
        <v>530700</v>
      </c>
    </row>
    <row r="27" spans="1:2" x14ac:dyDescent="0.3">
      <c r="A27" s="6" t="s">
        <v>260</v>
      </c>
      <c r="B27" s="2">
        <v>14423510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DDB8-6E31-4F63-AAA0-7C3E84F0538F}">
  <sheetPr codeName="Planilha6"/>
  <dimension ref="A3:B8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  <col min="2" max="2" width="19.88671875" bestFit="1" customWidth="1"/>
  </cols>
  <sheetData>
    <row r="3" spans="1:2" x14ac:dyDescent="0.3">
      <c r="A3" s="5" t="s">
        <v>259</v>
      </c>
      <c r="B3" t="s">
        <v>261</v>
      </c>
    </row>
    <row r="4" spans="1:2" x14ac:dyDescent="0.3">
      <c r="A4" s="6" t="s">
        <v>256</v>
      </c>
      <c r="B4" s="2">
        <v>1001630</v>
      </c>
    </row>
    <row r="5" spans="1:2" x14ac:dyDescent="0.3">
      <c r="A5" s="6" t="s">
        <v>257</v>
      </c>
      <c r="B5" s="2">
        <v>3149025</v>
      </c>
    </row>
    <row r="6" spans="1:2" x14ac:dyDescent="0.3">
      <c r="A6" s="6" t="s">
        <v>253</v>
      </c>
      <c r="B6" s="2">
        <v>6519345</v>
      </c>
    </row>
    <row r="7" spans="1:2" x14ac:dyDescent="0.3">
      <c r="A7" s="6" t="s">
        <v>255</v>
      </c>
      <c r="B7" s="2">
        <v>3753510</v>
      </c>
    </row>
    <row r="8" spans="1:2" x14ac:dyDescent="0.3">
      <c r="A8" s="6" t="s">
        <v>260</v>
      </c>
      <c r="B8" s="2">
        <v>14423510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7"/>
  <dimension ref="A1:O1381"/>
  <sheetViews>
    <sheetView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11" customWidth="1"/>
    <col min="2" max="2" width="13" customWidth="1"/>
    <col min="3" max="3" width="14" customWidth="1"/>
    <col min="4" max="4" width="13" customWidth="1"/>
    <col min="5" max="5" width="12" customWidth="1"/>
    <col min="6" max="6" width="18" customWidth="1"/>
    <col min="7" max="7" width="14" customWidth="1"/>
    <col min="8" max="8" width="11" customWidth="1"/>
    <col min="9" max="9" width="14" customWidth="1"/>
    <col min="10" max="10" width="21" customWidth="1"/>
    <col min="11" max="11" width="13" customWidth="1"/>
    <col min="12" max="12" width="12" customWidth="1"/>
  </cols>
  <sheetData>
    <row r="1" spans="1:15" x14ac:dyDescent="0.3">
      <c r="A1" s="1" t="s">
        <v>243</v>
      </c>
      <c r="B1" s="1" t="s">
        <v>244</v>
      </c>
      <c r="C1" s="1" t="s">
        <v>245</v>
      </c>
      <c r="D1" s="1" t="s">
        <v>0</v>
      </c>
      <c r="E1" s="1" t="s">
        <v>191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t="s">
        <v>192</v>
      </c>
      <c r="N1" t="s">
        <v>196</v>
      </c>
      <c r="O1" t="s">
        <v>5</v>
      </c>
    </row>
    <row r="2" spans="1:15" x14ac:dyDescent="0.3">
      <c r="A2">
        <v>1</v>
      </c>
      <c r="B2" s="3">
        <v>45658</v>
      </c>
      <c r="C2" s="3">
        <v>45762</v>
      </c>
      <c r="D2">
        <v>166</v>
      </c>
      <c r="E2">
        <v>6</v>
      </c>
      <c r="F2">
        <v>2</v>
      </c>
      <c r="G2" s="2">
        <v>4200</v>
      </c>
      <c r="H2" s="4">
        <v>0.1</v>
      </c>
      <c r="I2" s="2">
        <v>3780</v>
      </c>
      <c r="J2" t="s">
        <v>253</v>
      </c>
      <c r="K2" t="s">
        <v>254</v>
      </c>
      <c r="L2">
        <v>5</v>
      </c>
      <c r="M2" t="str">
        <f>_xlfn.XLOOKUP(E2,tPacotes[ID_Pacote],tPacotes[Pacote])</f>
        <v>Foz do Iguaçu</v>
      </c>
      <c r="N2" t="str">
        <f>_xlfn.XLOOKUP(E2,tPacotes[ID_Pacote],tPacotes[Categoria])</f>
        <v>Natureza</v>
      </c>
      <c r="O2" t="str">
        <f>_xlfn.XLOOKUP(D2,tClientes[ID_Cliente],tClientes[UF])</f>
        <v>RJ</v>
      </c>
    </row>
    <row r="3" spans="1:15" x14ac:dyDescent="0.3">
      <c r="A3">
        <v>2</v>
      </c>
      <c r="B3" s="3">
        <v>45658</v>
      </c>
      <c r="C3" s="3">
        <v>45679</v>
      </c>
      <c r="D3">
        <v>148</v>
      </c>
      <c r="E3">
        <v>13</v>
      </c>
      <c r="F3">
        <v>2</v>
      </c>
      <c r="G3" s="2">
        <v>14600</v>
      </c>
      <c r="H3" s="4">
        <v>0.15</v>
      </c>
      <c r="I3" s="2">
        <v>12410</v>
      </c>
      <c r="J3" t="s">
        <v>255</v>
      </c>
      <c r="K3" t="s">
        <v>254</v>
      </c>
      <c r="L3">
        <v>5</v>
      </c>
      <c r="M3" t="str">
        <f>_xlfn.XLOOKUP(E3,tPacotes[ID_Pacote],tPacotes[Pacote])</f>
        <v>Machu Picchu</v>
      </c>
      <c r="N3" t="str">
        <f>_xlfn.XLOOKUP(E3,tPacotes[ID_Pacote],tPacotes[Categoria])</f>
        <v>Aventura</v>
      </c>
      <c r="O3" t="str">
        <f>_xlfn.XLOOKUP(D3,tClientes[ID_Cliente],tClientes[UF])</f>
        <v>SP</v>
      </c>
    </row>
    <row r="4" spans="1:15" x14ac:dyDescent="0.3">
      <c r="A4">
        <v>3</v>
      </c>
      <c r="B4" s="3">
        <v>45658</v>
      </c>
      <c r="C4" s="3">
        <v>45661</v>
      </c>
      <c r="D4">
        <v>16</v>
      </c>
      <c r="E4">
        <v>1</v>
      </c>
      <c r="F4">
        <v>1</v>
      </c>
      <c r="G4" s="2">
        <v>3200</v>
      </c>
      <c r="H4" s="4">
        <v>0</v>
      </c>
      <c r="I4" s="2">
        <v>3200</v>
      </c>
      <c r="J4" t="s">
        <v>253</v>
      </c>
      <c r="K4" t="s">
        <v>254</v>
      </c>
      <c r="L4">
        <v>2</v>
      </c>
      <c r="M4" t="str">
        <f>_xlfn.XLOOKUP(E4,tPacotes[ID_Pacote],tPacotes[Pacote])</f>
        <v>Nordeste Encantado</v>
      </c>
      <c r="N4" t="str">
        <f>_xlfn.XLOOKUP(E4,tPacotes[ID_Pacote],tPacotes[Categoria])</f>
        <v>Praia</v>
      </c>
      <c r="O4" t="str">
        <f>_xlfn.XLOOKUP(D4,tClientes[ID_Cliente],tClientes[UF])</f>
        <v>DF</v>
      </c>
    </row>
    <row r="5" spans="1:15" x14ac:dyDescent="0.3">
      <c r="A5">
        <v>4</v>
      </c>
      <c r="B5" s="3">
        <v>45659</v>
      </c>
      <c r="C5" s="3">
        <v>45790</v>
      </c>
      <c r="D5">
        <v>78</v>
      </c>
      <c r="E5">
        <v>14</v>
      </c>
      <c r="F5">
        <v>2</v>
      </c>
      <c r="G5" s="2">
        <v>5800</v>
      </c>
      <c r="H5" s="4">
        <v>0.05</v>
      </c>
      <c r="I5" s="2">
        <v>5510</v>
      </c>
      <c r="J5" t="s">
        <v>256</v>
      </c>
      <c r="K5" t="s">
        <v>254</v>
      </c>
      <c r="L5">
        <v>5</v>
      </c>
      <c r="M5" t="str">
        <f>_xlfn.XLOOKUP(E5,tPacotes[ID_Pacote],tPacotes[Pacote])</f>
        <v>Lençóis Maranhenses</v>
      </c>
      <c r="N5" t="str">
        <f>_xlfn.XLOOKUP(E5,tPacotes[ID_Pacote],tPacotes[Categoria])</f>
        <v>Natureza</v>
      </c>
      <c r="O5" t="str">
        <f>_xlfn.XLOOKUP(D5,tClientes[ID_Cliente],tClientes[UF])</f>
        <v>PR</v>
      </c>
    </row>
    <row r="6" spans="1:15" x14ac:dyDescent="0.3">
      <c r="A6">
        <v>5</v>
      </c>
      <c r="B6" s="3">
        <v>45660</v>
      </c>
      <c r="C6" s="3">
        <v>45674</v>
      </c>
      <c r="D6">
        <v>21</v>
      </c>
      <c r="E6">
        <v>1</v>
      </c>
      <c r="F6">
        <v>2</v>
      </c>
      <c r="G6" s="2">
        <v>6400</v>
      </c>
      <c r="H6" s="4">
        <v>0</v>
      </c>
      <c r="I6" s="2">
        <v>6400</v>
      </c>
      <c r="J6" t="s">
        <v>255</v>
      </c>
      <c r="K6" t="s">
        <v>254</v>
      </c>
      <c r="L6">
        <v>4</v>
      </c>
      <c r="M6" t="str">
        <f>_xlfn.XLOOKUP(E6,tPacotes[ID_Pacote],tPacotes[Pacote])</f>
        <v>Nordeste Encantado</v>
      </c>
      <c r="N6" t="str">
        <f>_xlfn.XLOOKUP(E6,tPacotes[ID_Pacote],tPacotes[Categoria])</f>
        <v>Praia</v>
      </c>
      <c r="O6" t="str">
        <f>_xlfn.XLOOKUP(D6,tClientes[ID_Cliente],tClientes[UF])</f>
        <v>MG</v>
      </c>
    </row>
    <row r="7" spans="1:15" x14ac:dyDescent="0.3">
      <c r="A7">
        <v>6</v>
      </c>
      <c r="B7" s="3">
        <v>45660</v>
      </c>
      <c r="C7" s="3">
        <v>45785</v>
      </c>
      <c r="D7">
        <v>8</v>
      </c>
      <c r="E7">
        <v>1</v>
      </c>
      <c r="F7">
        <v>2</v>
      </c>
      <c r="G7" s="2">
        <v>6400</v>
      </c>
      <c r="H7" s="4">
        <v>0.1</v>
      </c>
      <c r="I7" s="2">
        <v>5760</v>
      </c>
      <c r="J7" t="s">
        <v>257</v>
      </c>
      <c r="K7" t="s">
        <v>254</v>
      </c>
      <c r="L7">
        <v>2</v>
      </c>
      <c r="M7" t="str">
        <f>_xlfn.XLOOKUP(E7,tPacotes[ID_Pacote],tPacotes[Pacote])</f>
        <v>Nordeste Encantado</v>
      </c>
      <c r="N7" t="str">
        <f>_xlfn.XLOOKUP(E7,tPacotes[ID_Pacote],tPacotes[Categoria])</f>
        <v>Praia</v>
      </c>
      <c r="O7" t="str">
        <f>_xlfn.XLOOKUP(D7,tClientes[ID_Cliente],tClientes[UF])</f>
        <v>SP</v>
      </c>
    </row>
    <row r="8" spans="1:15" x14ac:dyDescent="0.3">
      <c r="A8">
        <v>7</v>
      </c>
      <c r="B8" s="3">
        <v>45660</v>
      </c>
      <c r="C8" s="3">
        <v>45704</v>
      </c>
      <c r="D8">
        <v>24</v>
      </c>
      <c r="E8">
        <v>1</v>
      </c>
      <c r="F8">
        <v>2</v>
      </c>
      <c r="G8" s="2">
        <v>6400</v>
      </c>
      <c r="H8" s="4">
        <v>0.1</v>
      </c>
      <c r="I8" s="2">
        <v>5760</v>
      </c>
      <c r="J8" t="s">
        <v>257</v>
      </c>
      <c r="K8" t="s">
        <v>254</v>
      </c>
      <c r="L8">
        <v>4</v>
      </c>
      <c r="M8" t="str">
        <f>_xlfn.XLOOKUP(E8,tPacotes[ID_Pacote],tPacotes[Pacote])</f>
        <v>Nordeste Encantado</v>
      </c>
      <c r="N8" t="str">
        <f>_xlfn.XLOOKUP(E8,tPacotes[ID_Pacote],tPacotes[Categoria])</f>
        <v>Praia</v>
      </c>
      <c r="O8" t="str">
        <f>_xlfn.XLOOKUP(D8,tClientes[ID_Cliente],tClientes[UF])</f>
        <v>SP</v>
      </c>
    </row>
    <row r="9" spans="1:15" x14ac:dyDescent="0.3">
      <c r="A9">
        <v>8</v>
      </c>
      <c r="B9" s="3">
        <v>45660</v>
      </c>
      <c r="C9" s="3">
        <v>45680</v>
      </c>
      <c r="D9">
        <v>146</v>
      </c>
      <c r="E9">
        <v>3</v>
      </c>
      <c r="F9">
        <v>4</v>
      </c>
      <c r="G9" s="2">
        <v>10400</v>
      </c>
      <c r="H9" s="4">
        <v>0.05</v>
      </c>
      <c r="I9" s="2">
        <v>9880</v>
      </c>
      <c r="J9" t="s">
        <v>253</v>
      </c>
      <c r="K9" t="s">
        <v>254</v>
      </c>
      <c r="L9">
        <v>4</v>
      </c>
      <c r="M9" t="str">
        <f>_xlfn.XLOOKUP(E9,tPacotes[ID_Pacote],tPacotes[Pacote])</f>
        <v>Serra Gaúcha</v>
      </c>
      <c r="N9" t="str">
        <f>_xlfn.XLOOKUP(E9,tPacotes[ID_Pacote],tPacotes[Categoria])</f>
        <v>Inverno</v>
      </c>
      <c r="O9" t="str">
        <f>_xlfn.XLOOKUP(D9,tClientes[ID_Cliente],tClientes[UF])</f>
        <v>BA</v>
      </c>
    </row>
    <row r="10" spans="1:15" x14ac:dyDescent="0.3">
      <c r="A10">
        <v>9</v>
      </c>
      <c r="B10" s="3">
        <v>45662</v>
      </c>
      <c r="C10" s="3">
        <v>45773</v>
      </c>
      <c r="D10">
        <v>141</v>
      </c>
      <c r="E10">
        <v>5</v>
      </c>
      <c r="F10">
        <v>1</v>
      </c>
      <c r="G10" s="2">
        <v>3400</v>
      </c>
      <c r="H10" s="4">
        <v>0</v>
      </c>
      <c r="I10" s="2">
        <v>3400</v>
      </c>
      <c r="J10" t="s">
        <v>255</v>
      </c>
      <c r="K10" t="s">
        <v>254</v>
      </c>
      <c r="L10">
        <v>3</v>
      </c>
      <c r="M10" t="str">
        <f>_xlfn.XLOOKUP(E10,tPacotes[ID_Pacote],tPacotes[Pacote])</f>
        <v>Bonito Aventura</v>
      </c>
      <c r="N10" t="str">
        <f>_xlfn.XLOOKUP(E10,tPacotes[ID_Pacote],tPacotes[Categoria])</f>
        <v>Aventura</v>
      </c>
      <c r="O10" t="str">
        <f>_xlfn.XLOOKUP(D10,tClientes[ID_Cliente],tClientes[UF])</f>
        <v>DF</v>
      </c>
    </row>
    <row r="11" spans="1:15" x14ac:dyDescent="0.3">
      <c r="A11">
        <v>10</v>
      </c>
      <c r="B11" s="3">
        <v>45662</v>
      </c>
      <c r="C11" s="3">
        <v>45677</v>
      </c>
      <c r="D11">
        <v>170</v>
      </c>
      <c r="E11">
        <v>2</v>
      </c>
      <c r="F11">
        <v>1</v>
      </c>
      <c r="G11" s="2">
        <v>1800</v>
      </c>
      <c r="H11" s="4">
        <v>0</v>
      </c>
      <c r="I11" s="2">
        <v>1800</v>
      </c>
      <c r="J11" t="s">
        <v>253</v>
      </c>
      <c r="K11" t="s">
        <v>254</v>
      </c>
      <c r="L11">
        <v>2</v>
      </c>
      <c r="M11" t="str">
        <f>_xlfn.XLOOKUP(E11,tPacotes[ID_Pacote],tPacotes[Pacote])</f>
        <v>Rio Cidade Maravilhosa</v>
      </c>
      <c r="N11" t="str">
        <f>_xlfn.XLOOKUP(E11,tPacotes[ID_Pacote],tPacotes[Categoria])</f>
        <v>Cultural</v>
      </c>
      <c r="O11" t="str">
        <f>_xlfn.XLOOKUP(D11,tClientes[ID_Cliente],tClientes[UF])</f>
        <v>SP</v>
      </c>
    </row>
    <row r="12" spans="1:15" x14ac:dyDescent="0.3">
      <c r="A12">
        <v>11</v>
      </c>
      <c r="B12" s="3">
        <v>45662</v>
      </c>
      <c r="C12" s="3">
        <v>45750</v>
      </c>
      <c r="D12">
        <v>44</v>
      </c>
      <c r="E12">
        <v>6</v>
      </c>
      <c r="F12">
        <v>2</v>
      </c>
      <c r="G12" s="2">
        <v>4200</v>
      </c>
      <c r="H12" s="4">
        <v>0.1</v>
      </c>
      <c r="I12" s="2">
        <v>3780</v>
      </c>
      <c r="J12" t="s">
        <v>253</v>
      </c>
      <c r="K12" t="s">
        <v>254</v>
      </c>
      <c r="L12">
        <v>4</v>
      </c>
      <c r="M12" t="str">
        <f>_xlfn.XLOOKUP(E12,tPacotes[ID_Pacote],tPacotes[Pacote])</f>
        <v>Foz do Iguaçu</v>
      </c>
      <c r="N12" t="str">
        <f>_xlfn.XLOOKUP(E12,tPacotes[ID_Pacote],tPacotes[Categoria])</f>
        <v>Natureza</v>
      </c>
      <c r="O12" t="str">
        <f>_xlfn.XLOOKUP(D12,tClientes[ID_Cliente],tClientes[UF])</f>
        <v>DF</v>
      </c>
    </row>
    <row r="13" spans="1:15" x14ac:dyDescent="0.3">
      <c r="A13">
        <v>12</v>
      </c>
      <c r="B13" s="3">
        <v>45663</v>
      </c>
      <c r="C13" s="3">
        <v>45723</v>
      </c>
      <c r="D13">
        <v>129</v>
      </c>
      <c r="E13">
        <v>2</v>
      </c>
      <c r="F13">
        <v>5</v>
      </c>
      <c r="G13" s="2">
        <v>9000</v>
      </c>
      <c r="H13" s="4">
        <v>0.05</v>
      </c>
      <c r="I13" s="2">
        <v>8550</v>
      </c>
      <c r="J13" t="s">
        <v>255</v>
      </c>
      <c r="K13" t="s">
        <v>254</v>
      </c>
      <c r="L13">
        <v>5</v>
      </c>
      <c r="M13" t="str">
        <f>_xlfn.XLOOKUP(E13,tPacotes[ID_Pacote],tPacotes[Pacote])</f>
        <v>Rio Cidade Maravilhosa</v>
      </c>
      <c r="N13" t="str">
        <f>_xlfn.XLOOKUP(E13,tPacotes[ID_Pacote],tPacotes[Categoria])</f>
        <v>Cultural</v>
      </c>
      <c r="O13" t="str">
        <f>_xlfn.XLOOKUP(D13,tClientes[ID_Cliente],tClientes[UF])</f>
        <v>MG</v>
      </c>
    </row>
    <row r="14" spans="1:15" x14ac:dyDescent="0.3">
      <c r="A14">
        <v>13</v>
      </c>
      <c r="B14" s="3">
        <v>45664</v>
      </c>
      <c r="C14" s="3">
        <v>45698</v>
      </c>
      <c r="D14">
        <v>153</v>
      </c>
      <c r="E14">
        <v>1</v>
      </c>
      <c r="F14">
        <v>1</v>
      </c>
      <c r="G14" s="2">
        <v>3200</v>
      </c>
      <c r="H14" s="4">
        <v>0.15</v>
      </c>
      <c r="I14" s="2">
        <v>2720</v>
      </c>
      <c r="J14" t="s">
        <v>256</v>
      </c>
      <c r="K14" t="s">
        <v>254</v>
      </c>
      <c r="L14">
        <v>5</v>
      </c>
      <c r="M14" t="str">
        <f>_xlfn.XLOOKUP(E14,tPacotes[ID_Pacote],tPacotes[Pacote])</f>
        <v>Nordeste Encantado</v>
      </c>
      <c r="N14" t="str">
        <f>_xlfn.XLOOKUP(E14,tPacotes[ID_Pacote],tPacotes[Categoria])</f>
        <v>Praia</v>
      </c>
      <c r="O14" t="str">
        <f>_xlfn.XLOOKUP(D14,tClientes[ID_Cliente],tClientes[UF])</f>
        <v>SP</v>
      </c>
    </row>
    <row r="15" spans="1:15" x14ac:dyDescent="0.3">
      <c r="A15">
        <v>14</v>
      </c>
      <c r="B15" s="3">
        <v>45664</v>
      </c>
      <c r="C15" s="3">
        <v>45828</v>
      </c>
      <c r="D15">
        <v>26</v>
      </c>
      <c r="E15">
        <v>3</v>
      </c>
      <c r="F15">
        <v>1</v>
      </c>
      <c r="G15" s="2">
        <v>2600</v>
      </c>
      <c r="H15" s="4">
        <v>0</v>
      </c>
      <c r="I15" s="2">
        <v>2600</v>
      </c>
      <c r="J15" t="s">
        <v>253</v>
      </c>
      <c r="K15" t="s">
        <v>254</v>
      </c>
      <c r="L15">
        <v>3</v>
      </c>
      <c r="M15" t="str">
        <f>_xlfn.XLOOKUP(E15,tPacotes[ID_Pacote],tPacotes[Pacote])</f>
        <v>Serra Gaúcha</v>
      </c>
      <c r="N15" t="str">
        <f>_xlfn.XLOOKUP(E15,tPacotes[ID_Pacote],tPacotes[Categoria])</f>
        <v>Inverno</v>
      </c>
      <c r="O15" t="str">
        <f>_xlfn.XLOOKUP(D15,tClientes[ID_Cliente],tClientes[UF])</f>
        <v>SP</v>
      </c>
    </row>
    <row r="16" spans="1:15" x14ac:dyDescent="0.3">
      <c r="A16">
        <v>15</v>
      </c>
      <c r="B16" s="3">
        <v>45665</v>
      </c>
      <c r="C16" s="3">
        <v>45767</v>
      </c>
      <c r="D16">
        <v>200</v>
      </c>
      <c r="E16">
        <v>2</v>
      </c>
      <c r="F16">
        <v>3</v>
      </c>
      <c r="G16" s="2">
        <v>5400</v>
      </c>
      <c r="H16" s="4">
        <v>0</v>
      </c>
      <c r="I16" s="2">
        <v>5400</v>
      </c>
      <c r="J16" t="s">
        <v>257</v>
      </c>
      <c r="K16" t="s">
        <v>254</v>
      </c>
      <c r="L16">
        <v>3</v>
      </c>
      <c r="M16" t="str">
        <f>_xlfn.XLOOKUP(E16,tPacotes[ID_Pacote],tPacotes[Pacote])</f>
        <v>Rio Cidade Maravilhosa</v>
      </c>
      <c r="N16" t="str">
        <f>_xlfn.XLOOKUP(E16,tPacotes[ID_Pacote],tPacotes[Categoria])</f>
        <v>Cultural</v>
      </c>
      <c r="O16" t="str">
        <f>_xlfn.XLOOKUP(D16,tClientes[ID_Cliente],tClientes[UF])</f>
        <v>PR</v>
      </c>
    </row>
    <row r="17" spans="1:15" x14ac:dyDescent="0.3">
      <c r="A17">
        <v>16</v>
      </c>
      <c r="B17" s="3">
        <v>45667</v>
      </c>
      <c r="C17" s="3">
        <v>45754</v>
      </c>
      <c r="D17">
        <v>23</v>
      </c>
      <c r="E17">
        <v>12</v>
      </c>
      <c r="F17">
        <v>2</v>
      </c>
      <c r="G17" s="2">
        <v>24800</v>
      </c>
      <c r="H17" s="4">
        <v>0</v>
      </c>
      <c r="I17" s="2">
        <v>24800</v>
      </c>
      <c r="J17" t="s">
        <v>253</v>
      </c>
      <c r="K17" t="s">
        <v>254</v>
      </c>
      <c r="L17">
        <v>5</v>
      </c>
      <c r="M17" t="str">
        <f>_xlfn.XLOOKUP(E17,tPacotes[ID_Pacote],tPacotes[Pacote])</f>
        <v>Lisboa e Porto</v>
      </c>
      <c r="N17" t="str">
        <f>_xlfn.XLOOKUP(E17,tPacotes[ID_Pacote],tPacotes[Categoria])</f>
        <v>Cultural</v>
      </c>
      <c r="O17" t="str">
        <f>_xlfn.XLOOKUP(D17,tClientes[ID_Cliente],tClientes[UF])</f>
        <v>SP</v>
      </c>
    </row>
    <row r="18" spans="1:15" x14ac:dyDescent="0.3">
      <c r="A18">
        <v>17</v>
      </c>
      <c r="B18" s="3">
        <v>45667</v>
      </c>
      <c r="C18" s="3">
        <v>45700</v>
      </c>
      <c r="D18">
        <v>156</v>
      </c>
      <c r="E18">
        <v>3</v>
      </c>
      <c r="F18">
        <v>1</v>
      </c>
      <c r="G18" s="2">
        <v>2600</v>
      </c>
      <c r="H18" s="4">
        <v>0.1</v>
      </c>
      <c r="I18" s="2">
        <v>2340</v>
      </c>
      <c r="J18" t="s">
        <v>256</v>
      </c>
      <c r="K18" t="s">
        <v>254</v>
      </c>
      <c r="L18">
        <v>5</v>
      </c>
      <c r="M18" t="str">
        <f>_xlfn.XLOOKUP(E18,tPacotes[ID_Pacote],tPacotes[Pacote])</f>
        <v>Serra Gaúcha</v>
      </c>
      <c r="N18" t="str">
        <f>_xlfn.XLOOKUP(E18,tPacotes[ID_Pacote],tPacotes[Categoria])</f>
        <v>Inverno</v>
      </c>
      <c r="O18" t="str">
        <f>_xlfn.XLOOKUP(D18,tClientes[ID_Cliente],tClientes[UF])</f>
        <v>SP</v>
      </c>
    </row>
    <row r="19" spans="1:15" x14ac:dyDescent="0.3">
      <c r="A19">
        <v>18</v>
      </c>
      <c r="B19" s="3">
        <v>45668</v>
      </c>
      <c r="C19" s="3">
        <v>45695</v>
      </c>
      <c r="D19">
        <v>135</v>
      </c>
      <c r="E19">
        <v>9</v>
      </c>
      <c r="F19">
        <v>2</v>
      </c>
      <c r="G19" s="2">
        <v>17800</v>
      </c>
      <c r="H19" s="4">
        <v>0.1</v>
      </c>
      <c r="I19" s="2">
        <v>16020</v>
      </c>
      <c r="J19" t="s">
        <v>257</v>
      </c>
      <c r="K19" t="s">
        <v>254</v>
      </c>
      <c r="L19">
        <v>3</v>
      </c>
      <c r="M19" t="str">
        <f>_xlfn.XLOOKUP(E19,tPacotes[ID_Pacote],tPacotes[Pacote])</f>
        <v>Cancún All Inclusive</v>
      </c>
      <c r="N19" t="str">
        <f>_xlfn.XLOOKUP(E19,tPacotes[ID_Pacote],tPacotes[Categoria])</f>
        <v>Praia</v>
      </c>
      <c r="O19" t="str">
        <f>_xlfn.XLOOKUP(D19,tClientes[ID_Cliente],tClientes[UF])</f>
        <v>RJ</v>
      </c>
    </row>
    <row r="20" spans="1:15" x14ac:dyDescent="0.3">
      <c r="A20">
        <v>19</v>
      </c>
      <c r="B20" s="3">
        <v>45668</v>
      </c>
      <c r="C20" s="3">
        <v>45798</v>
      </c>
      <c r="D20">
        <v>193</v>
      </c>
      <c r="E20">
        <v>7</v>
      </c>
      <c r="F20">
        <v>2</v>
      </c>
      <c r="G20" s="2">
        <v>8400</v>
      </c>
      <c r="H20" s="4">
        <v>0</v>
      </c>
      <c r="I20" s="2">
        <v>8400</v>
      </c>
      <c r="J20" t="s">
        <v>253</v>
      </c>
      <c r="K20" t="s">
        <v>254</v>
      </c>
      <c r="L20">
        <v>5</v>
      </c>
      <c r="M20" t="str">
        <f>_xlfn.XLOOKUP(E20,tPacotes[ID_Pacote],tPacotes[Pacote])</f>
        <v>Buenos Aires Clássica</v>
      </c>
      <c r="N20" t="str">
        <f>_xlfn.XLOOKUP(E20,tPacotes[ID_Pacote],tPacotes[Categoria])</f>
        <v>Cultural</v>
      </c>
      <c r="O20" t="str">
        <f>_xlfn.XLOOKUP(D20,tClientes[ID_Cliente],tClientes[UF])</f>
        <v>SP</v>
      </c>
    </row>
    <row r="21" spans="1:15" x14ac:dyDescent="0.3">
      <c r="A21">
        <v>20</v>
      </c>
      <c r="B21" s="3">
        <v>45668</v>
      </c>
      <c r="C21" s="3">
        <v>45679</v>
      </c>
      <c r="D21">
        <v>45</v>
      </c>
      <c r="E21">
        <v>1</v>
      </c>
      <c r="F21">
        <v>4</v>
      </c>
      <c r="G21" s="2">
        <v>12800</v>
      </c>
      <c r="H21" s="4">
        <v>0.1</v>
      </c>
      <c r="I21" s="2">
        <v>11520</v>
      </c>
      <c r="J21" t="s">
        <v>253</v>
      </c>
      <c r="K21" t="s">
        <v>258</v>
      </c>
      <c r="M21" t="str">
        <f>_xlfn.XLOOKUP(E21,tPacotes[ID_Pacote],tPacotes[Pacote])</f>
        <v>Nordeste Encantado</v>
      </c>
      <c r="N21" t="str">
        <f>_xlfn.XLOOKUP(E21,tPacotes[ID_Pacote],tPacotes[Categoria])</f>
        <v>Praia</v>
      </c>
      <c r="O21" t="str">
        <f>_xlfn.XLOOKUP(D21,tClientes[ID_Cliente],tClientes[UF])</f>
        <v>SP</v>
      </c>
    </row>
    <row r="22" spans="1:15" x14ac:dyDescent="0.3">
      <c r="A22">
        <v>21</v>
      </c>
      <c r="B22" s="3">
        <v>45668</v>
      </c>
      <c r="C22" s="3">
        <v>45686</v>
      </c>
      <c r="D22">
        <v>94</v>
      </c>
      <c r="E22">
        <v>3</v>
      </c>
      <c r="F22">
        <v>2</v>
      </c>
      <c r="G22" s="2">
        <v>5200</v>
      </c>
      <c r="H22" s="4">
        <v>0</v>
      </c>
      <c r="I22" s="2">
        <v>5200</v>
      </c>
      <c r="J22" t="s">
        <v>257</v>
      </c>
      <c r="K22" t="s">
        <v>254</v>
      </c>
      <c r="L22">
        <v>4</v>
      </c>
      <c r="M22" t="str">
        <f>_xlfn.XLOOKUP(E22,tPacotes[ID_Pacote],tPacotes[Pacote])</f>
        <v>Serra Gaúcha</v>
      </c>
      <c r="N22" t="str">
        <f>_xlfn.XLOOKUP(E22,tPacotes[ID_Pacote],tPacotes[Categoria])</f>
        <v>Inverno</v>
      </c>
      <c r="O22" t="str">
        <f>_xlfn.XLOOKUP(D22,tClientes[ID_Cliente],tClientes[UF])</f>
        <v>RJ</v>
      </c>
    </row>
    <row r="23" spans="1:15" x14ac:dyDescent="0.3">
      <c r="A23">
        <v>22</v>
      </c>
      <c r="B23" s="3">
        <v>45671</v>
      </c>
      <c r="C23" s="3">
        <v>45727</v>
      </c>
      <c r="D23">
        <v>36</v>
      </c>
      <c r="E23">
        <v>4</v>
      </c>
      <c r="F23">
        <v>4</v>
      </c>
      <c r="G23" s="2">
        <v>27600</v>
      </c>
      <c r="H23" s="4">
        <v>0</v>
      </c>
      <c r="I23" s="2">
        <v>27600</v>
      </c>
      <c r="J23" t="s">
        <v>253</v>
      </c>
      <c r="K23" t="s">
        <v>254</v>
      </c>
      <c r="L23">
        <v>4</v>
      </c>
      <c r="M23" t="str">
        <f>_xlfn.XLOOKUP(E23,tPacotes[ID_Pacote],tPacotes[Pacote])</f>
        <v>Fernando de Noronha</v>
      </c>
      <c r="N23" t="str">
        <f>_xlfn.XLOOKUP(E23,tPacotes[ID_Pacote],tPacotes[Categoria])</f>
        <v>Praia</v>
      </c>
      <c r="O23" t="str">
        <f>_xlfn.XLOOKUP(D23,tClientes[ID_Cliente],tClientes[UF])</f>
        <v>SP</v>
      </c>
    </row>
    <row r="24" spans="1:15" x14ac:dyDescent="0.3">
      <c r="A24">
        <v>23</v>
      </c>
      <c r="B24" s="3">
        <v>45671</v>
      </c>
      <c r="C24" s="3">
        <v>45719</v>
      </c>
      <c r="D24">
        <v>58</v>
      </c>
      <c r="E24">
        <v>5</v>
      </c>
      <c r="F24">
        <v>2</v>
      </c>
      <c r="G24" s="2">
        <v>6800</v>
      </c>
      <c r="H24" s="4">
        <v>0.1</v>
      </c>
      <c r="I24" s="2">
        <v>6120</v>
      </c>
      <c r="J24" t="s">
        <v>253</v>
      </c>
      <c r="K24" t="s">
        <v>254</v>
      </c>
      <c r="L24">
        <v>4</v>
      </c>
      <c r="M24" t="str">
        <f>_xlfn.XLOOKUP(E24,tPacotes[ID_Pacote],tPacotes[Pacote])</f>
        <v>Bonito Aventura</v>
      </c>
      <c r="N24" t="str">
        <f>_xlfn.XLOOKUP(E24,tPacotes[ID_Pacote],tPacotes[Categoria])</f>
        <v>Aventura</v>
      </c>
      <c r="O24" t="str">
        <f>_xlfn.XLOOKUP(D24,tClientes[ID_Cliente],tClientes[UF])</f>
        <v>SP</v>
      </c>
    </row>
    <row r="25" spans="1:15" x14ac:dyDescent="0.3">
      <c r="A25">
        <v>24</v>
      </c>
      <c r="B25" s="3">
        <v>45671</v>
      </c>
      <c r="C25" s="3">
        <v>45723</v>
      </c>
      <c r="D25">
        <v>150</v>
      </c>
      <c r="E25">
        <v>7</v>
      </c>
      <c r="F25">
        <v>2</v>
      </c>
      <c r="G25" s="2">
        <v>8400</v>
      </c>
      <c r="H25" s="4">
        <v>0</v>
      </c>
      <c r="I25" s="2">
        <v>8400</v>
      </c>
      <c r="J25" t="s">
        <v>253</v>
      </c>
      <c r="K25" t="s">
        <v>254</v>
      </c>
      <c r="L25">
        <v>3</v>
      </c>
      <c r="M25" t="str">
        <f>_xlfn.XLOOKUP(E25,tPacotes[ID_Pacote],tPacotes[Pacote])</f>
        <v>Buenos Aires Clássica</v>
      </c>
      <c r="N25" t="str">
        <f>_xlfn.XLOOKUP(E25,tPacotes[ID_Pacote],tPacotes[Categoria])</f>
        <v>Cultural</v>
      </c>
      <c r="O25" t="str">
        <f>_xlfn.XLOOKUP(D25,tClientes[ID_Cliente],tClientes[UF])</f>
        <v>SP</v>
      </c>
    </row>
    <row r="26" spans="1:15" x14ac:dyDescent="0.3">
      <c r="A26">
        <v>25</v>
      </c>
      <c r="B26" s="3">
        <v>45671</v>
      </c>
      <c r="C26" s="3">
        <v>45718</v>
      </c>
      <c r="D26">
        <v>21</v>
      </c>
      <c r="E26">
        <v>6</v>
      </c>
      <c r="F26">
        <v>5</v>
      </c>
      <c r="G26" s="2">
        <v>10500</v>
      </c>
      <c r="H26" s="4">
        <v>0.05</v>
      </c>
      <c r="I26" s="2">
        <v>9975</v>
      </c>
      <c r="J26" t="s">
        <v>253</v>
      </c>
      <c r="K26" t="s">
        <v>254</v>
      </c>
      <c r="L26">
        <v>4</v>
      </c>
      <c r="M26" t="str">
        <f>_xlfn.XLOOKUP(E26,tPacotes[ID_Pacote],tPacotes[Pacote])</f>
        <v>Foz do Iguaçu</v>
      </c>
      <c r="N26" t="str">
        <f>_xlfn.XLOOKUP(E26,tPacotes[ID_Pacote],tPacotes[Categoria])</f>
        <v>Natureza</v>
      </c>
      <c r="O26" t="str">
        <f>_xlfn.XLOOKUP(D26,tClientes[ID_Cliente],tClientes[UF])</f>
        <v>MG</v>
      </c>
    </row>
    <row r="27" spans="1:15" x14ac:dyDescent="0.3">
      <c r="A27">
        <v>26</v>
      </c>
      <c r="B27" s="3">
        <v>45673</v>
      </c>
      <c r="C27" s="3">
        <v>45679</v>
      </c>
      <c r="D27">
        <v>3</v>
      </c>
      <c r="E27">
        <v>5</v>
      </c>
      <c r="F27">
        <v>1</v>
      </c>
      <c r="G27" s="2">
        <v>3400</v>
      </c>
      <c r="H27" s="4">
        <v>0.05</v>
      </c>
      <c r="I27" s="2">
        <v>3230</v>
      </c>
      <c r="J27" t="s">
        <v>253</v>
      </c>
      <c r="K27" t="s">
        <v>254</v>
      </c>
      <c r="L27">
        <v>5</v>
      </c>
      <c r="M27" t="str">
        <f>_xlfn.XLOOKUP(E27,tPacotes[ID_Pacote],tPacotes[Pacote])</f>
        <v>Bonito Aventura</v>
      </c>
      <c r="N27" t="str">
        <f>_xlfn.XLOOKUP(E27,tPacotes[ID_Pacote],tPacotes[Categoria])</f>
        <v>Aventura</v>
      </c>
      <c r="O27" t="str">
        <f>_xlfn.XLOOKUP(D27,tClientes[ID_Cliente],tClientes[UF])</f>
        <v>SP</v>
      </c>
    </row>
    <row r="28" spans="1:15" x14ac:dyDescent="0.3">
      <c r="A28">
        <v>27</v>
      </c>
      <c r="B28" s="3">
        <v>45674</v>
      </c>
      <c r="C28" s="3">
        <v>45727</v>
      </c>
      <c r="D28">
        <v>130</v>
      </c>
      <c r="E28">
        <v>6</v>
      </c>
      <c r="F28">
        <v>1</v>
      </c>
      <c r="G28" s="2">
        <v>2100</v>
      </c>
      <c r="H28" s="4">
        <v>0</v>
      </c>
      <c r="I28" s="2">
        <v>2100</v>
      </c>
      <c r="J28" t="s">
        <v>255</v>
      </c>
      <c r="K28" t="s">
        <v>254</v>
      </c>
      <c r="L28">
        <v>4</v>
      </c>
      <c r="M28" t="str">
        <f>_xlfn.XLOOKUP(E28,tPacotes[ID_Pacote],tPacotes[Pacote])</f>
        <v>Foz do Iguaçu</v>
      </c>
      <c r="N28" t="str">
        <f>_xlfn.XLOOKUP(E28,tPacotes[ID_Pacote],tPacotes[Categoria])</f>
        <v>Natureza</v>
      </c>
      <c r="O28" t="str">
        <f>_xlfn.XLOOKUP(D28,tClientes[ID_Cliente],tClientes[UF])</f>
        <v>SP</v>
      </c>
    </row>
    <row r="29" spans="1:15" x14ac:dyDescent="0.3">
      <c r="A29">
        <v>28</v>
      </c>
      <c r="B29" s="3">
        <v>45674</v>
      </c>
      <c r="C29" s="3">
        <v>45713</v>
      </c>
      <c r="D29">
        <v>83</v>
      </c>
      <c r="E29">
        <v>1</v>
      </c>
      <c r="F29">
        <v>2</v>
      </c>
      <c r="G29" s="2">
        <v>6400</v>
      </c>
      <c r="H29" s="4">
        <v>0</v>
      </c>
      <c r="I29" s="2">
        <v>6400</v>
      </c>
      <c r="J29" t="s">
        <v>257</v>
      </c>
      <c r="K29" t="s">
        <v>254</v>
      </c>
      <c r="L29">
        <v>5</v>
      </c>
      <c r="M29" t="str">
        <f>_xlfn.XLOOKUP(E29,tPacotes[ID_Pacote],tPacotes[Pacote])</f>
        <v>Nordeste Encantado</v>
      </c>
      <c r="N29" t="str">
        <f>_xlfn.XLOOKUP(E29,tPacotes[ID_Pacote],tPacotes[Categoria])</f>
        <v>Praia</v>
      </c>
      <c r="O29" t="str">
        <f>_xlfn.XLOOKUP(D29,tClientes[ID_Cliente],tClientes[UF])</f>
        <v>SP</v>
      </c>
    </row>
    <row r="30" spans="1:15" x14ac:dyDescent="0.3">
      <c r="A30">
        <v>29</v>
      </c>
      <c r="B30" s="3">
        <v>45675</v>
      </c>
      <c r="C30" s="3">
        <v>45687</v>
      </c>
      <c r="D30">
        <v>19</v>
      </c>
      <c r="E30">
        <v>14</v>
      </c>
      <c r="F30">
        <v>2</v>
      </c>
      <c r="G30" s="2">
        <v>5800</v>
      </c>
      <c r="H30" s="4">
        <v>0.1</v>
      </c>
      <c r="I30" s="2">
        <v>5220</v>
      </c>
      <c r="J30" t="s">
        <v>257</v>
      </c>
      <c r="K30" t="s">
        <v>254</v>
      </c>
      <c r="L30">
        <v>5</v>
      </c>
      <c r="M30" t="str">
        <f>_xlfn.XLOOKUP(E30,tPacotes[ID_Pacote],tPacotes[Pacote])</f>
        <v>Lençóis Maranhenses</v>
      </c>
      <c r="N30" t="str">
        <f>_xlfn.XLOOKUP(E30,tPacotes[ID_Pacote],tPacotes[Categoria])</f>
        <v>Natureza</v>
      </c>
      <c r="O30" t="str">
        <f>_xlfn.XLOOKUP(D30,tClientes[ID_Cliente],tClientes[UF])</f>
        <v>SP</v>
      </c>
    </row>
    <row r="31" spans="1:15" x14ac:dyDescent="0.3">
      <c r="A31">
        <v>30</v>
      </c>
      <c r="B31" s="3">
        <v>45676</v>
      </c>
      <c r="C31" s="3">
        <v>45684</v>
      </c>
      <c r="D31">
        <v>200</v>
      </c>
      <c r="E31">
        <v>9</v>
      </c>
      <c r="F31">
        <v>5</v>
      </c>
      <c r="G31" s="2">
        <v>44500</v>
      </c>
      <c r="H31" s="4">
        <v>0.1</v>
      </c>
      <c r="I31" s="2">
        <v>40050</v>
      </c>
      <c r="J31" t="s">
        <v>255</v>
      </c>
      <c r="K31" t="s">
        <v>254</v>
      </c>
      <c r="L31">
        <v>5</v>
      </c>
      <c r="M31" t="str">
        <f>_xlfn.XLOOKUP(E31,tPacotes[ID_Pacote],tPacotes[Pacote])</f>
        <v>Cancún All Inclusive</v>
      </c>
      <c r="N31" t="str">
        <f>_xlfn.XLOOKUP(E31,tPacotes[ID_Pacote],tPacotes[Categoria])</f>
        <v>Praia</v>
      </c>
      <c r="O31" t="str">
        <f>_xlfn.XLOOKUP(D31,tClientes[ID_Cliente],tClientes[UF])</f>
        <v>PR</v>
      </c>
    </row>
    <row r="32" spans="1:15" x14ac:dyDescent="0.3">
      <c r="A32">
        <v>31</v>
      </c>
      <c r="B32" s="3">
        <v>45677</v>
      </c>
      <c r="C32" s="3">
        <v>45681</v>
      </c>
      <c r="D32">
        <v>127</v>
      </c>
      <c r="E32">
        <v>7</v>
      </c>
      <c r="F32">
        <v>2</v>
      </c>
      <c r="G32" s="2">
        <v>8400</v>
      </c>
      <c r="H32" s="4">
        <v>0.1</v>
      </c>
      <c r="I32" s="2">
        <v>7560</v>
      </c>
      <c r="J32" t="s">
        <v>257</v>
      </c>
      <c r="K32" t="s">
        <v>254</v>
      </c>
      <c r="L32">
        <v>4</v>
      </c>
      <c r="M32" t="str">
        <f>_xlfn.XLOOKUP(E32,tPacotes[ID_Pacote],tPacotes[Pacote])</f>
        <v>Buenos Aires Clássica</v>
      </c>
      <c r="N32" t="str">
        <f>_xlfn.XLOOKUP(E32,tPacotes[ID_Pacote],tPacotes[Categoria])</f>
        <v>Cultural</v>
      </c>
      <c r="O32" t="str">
        <f>_xlfn.XLOOKUP(D32,tClientes[ID_Cliente],tClientes[UF])</f>
        <v>SP</v>
      </c>
    </row>
    <row r="33" spans="1:15" x14ac:dyDescent="0.3">
      <c r="A33">
        <v>32</v>
      </c>
      <c r="B33" s="3">
        <v>45679</v>
      </c>
      <c r="C33" s="3">
        <v>45723</v>
      </c>
      <c r="D33">
        <v>73</v>
      </c>
      <c r="E33">
        <v>4</v>
      </c>
      <c r="F33">
        <v>3</v>
      </c>
      <c r="G33" s="2">
        <v>20700</v>
      </c>
      <c r="H33" s="4">
        <v>0</v>
      </c>
      <c r="I33" s="2">
        <v>20700</v>
      </c>
      <c r="J33" t="s">
        <v>257</v>
      </c>
      <c r="K33" t="s">
        <v>254</v>
      </c>
      <c r="L33">
        <v>5</v>
      </c>
      <c r="M33" t="str">
        <f>_xlfn.XLOOKUP(E33,tPacotes[ID_Pacote],tPacotes[Pacote])</f>
        <v>Fernando de Noronha</v>
      </c>
      <c r="N33" t="str">
        <f>_xlfn.XLOOKUP(E33,tPacotes[ID_Pacote],tPacotes[Categoria])</f>
        <v>Praia</v>
      </c>
      <c r="O33" t="str">
        <f>_xlfn.XLOOKUP(D33,tClientes[ID_Cliente],tClientes[UF])</f>
        <v>SP</v>
      </c>
    </row>
    <row r="34" spans="1:15" x14ac:dyDescent="0.3">
      <c r="A34">
        <v>33</v>
      </c>
      <c r="B34" s="3">
        <v>45679</v>
      </c>
      <c r="C34" s="3">
        <v>45689</v>
      </c>
      <c r="D34">
        <v>23</v>
      </c>
      <c r="E34">
        <v>3</v>
      </c>
      <c r="F34">
        <v>1</v>
      </c>
      <c r="G34" s="2">
        <v>2600</v>
      </c>
      <c r="H34" s="4">
        <v>0.1</v>
      </c>
      <c r="I34" s="2">
        <v>2340</v>
      </c>
      <c r="J34" t="s">
        <v>253</v>
      </c>
      <c r="K34" t="s">
        <v>254</v>
      </c>
      <c r="L34">
        <v>3</v>
      </c>
      <c r="M34" t="str">
        <f>_xlfn.XLOOKUP(E34,tPacotes[ID_Pacote],tPacotes[Pacote])</f>
        <v>Serra Gaúcha</v>
      </c>
      <c r="N34" t="str">
        <f>_xlfn.XLOOKUP(E34,tPacotes[ID_Pacote],tPacotes[Categoria])</f>
        <v>Inverno</v>
      </c>
      <c r="O34" t="str">
        <f>_xlfn.XLOOKUP(D34,tClientes[ID_Cliente],tClientes[UF])</f>
        <v>SP</v>
      </c>
    </row>
    <row r="35" spans="1:15" x14ac:dyDescent="0.3">
      <c r="A35">
        <v>34</v>
      </c>
      <c r="B35" s="3">
        <v>45680</v>
      </c>
      <c r="C35" s="3">
        <v>45712</v>
      </c>
      <c r="D35">
        <v>63</v>
      </c>
      <c r="E35">
        <v>11</v>
      </c>
      <c r="F35">
        <v>2</v>
      </c>
      <c r="G35" s="2">
        <v>31600</v>
      </c>
      <c r="H35" s="4">
        <v>0.1</v>
      </c>
      <c r="I35" s="2">
        <v>28440</v>
      </c>
      <c r="J35" t="s">
        <v>253</v>
      </c>
      <c r="K35" t="s">
        <v>254</v>
      </c>
      <c r="L35">
        <v>4</v>
      </c>
      <c r="M35" t="str">
        <f>_xlfn.XLOOKUP(E35,tPacotes[ID_Pacote],tPacotes[Pacote])</f>
        <v>Paris e Londres</v>
      </c>
      <c r="N35" t="str">
        <f>_xlfn.XLOOKUP(E35,tPacotes[ID_Pacote],tPacotes[Categoria])</f>
        <v>Cultural</v>
      </c>
      <c r="O35" t="str">
        <f>_xlfn.XLOOKUP(D35,tClientes[ID_Cliente],tClientes[UF])</f>
        <v>RS</v>
      </c>
    </row>
    <row r="36" spans="1:15" x14ac:dyDescent="0.3">
      <c r="A36">
        <v>35</v>
      </c>
      <c r="B36" s="3">
        <v>45680</v>
      </c>
      <c r="C36" s="3">
        <v>45709</v>
      </c>
      <c r="D36">
        <v>184</v>
      </c>
      <c r="E36">
        <v>13</v>
      </c>
      <c r="F36">
        <v>4</v>
      </c>
      <c r="G36" s="2">
        <v>29200</v>
      </c>
      <c r="H36" s="4">
        <v>0.05</v>
      </c>
      <c r="I36" s="2">
        <v>27740</v>
      </c>
      <c r="J36" t="s">
        <v>253</v>
      </c>
      <c r="K36" t="s">
        <v>254</v>
      </c>
      <c r="L36">
        <v>4</v>
      </c>
      <c r="M36" t="str">
        <f>_xlfn.XLOOKUP(E36,tPacotes[ID_Pacote],tPacotes[Pacote])</f>
        <v>Machu Picchu</v>
      </c>
      <c r="N36" t="str">
        <f>_xlfn.XLOOKUP(E36,tPacotes[ID_Pacote],tPacotes[Categoria])</f>
        <v>Aventura</v>
      </c>
      <c r="O36" t="str">
        <f>_xlfn.XLOOKUP(D36,tClientes[ID_Cliente],tClientes[UF])</f>
        <v>SP</v>
      </c>
    </row>
    <row r="37" spans="1:15" x14ac:dyDescent="0.3">
      <c r="A37">
        <v>36</v>
      </c>
      <c r="B37" s="3">
        <v>45680</v>
      </c>
      <c r="C37" s="3">
        <v>45736</v>
      </c>
      <c r="D37">
        <v>79</v>
      </c>
      <c r="E37">
        <v>5</v>
      </c>
      <c r="F37">
        <v>1</v>
      </c>
      <c r="G37" s="2">
        <v>3400</v>
      </c>
      <c r="H37" s="4">
        <v>0.1</v>
      </c>
      <c r="I37" s="2">
        <v>3060</v>
      </c>
      <c r="J37" t="s">
        <v>253</v>
      </c>
      <c r="K37" t="s">
        <v>254</v>
      </c>
      <c r="L37">
        <v>5</v>
      </c>
      <c r="M37" t="str">
        <f>_xlfn.XLOOKUP(E37,tPacotes[ID_Pacote],tPacotes[Pacote])</f>
        <v>Bonito Aventura</v>
      </c>
      <c r="N37" t="str">
        <f>_xlfn.XLOOKUP(E37,tPacotes[ID_Pacote],tPacotes[Categoria])</f>
        <v>Aventura</v>
      </c>
      <c r="O37" t="str">
        <f>_xlfn.XLOOKUP(D37,tClientes[ID_Cliente],tClientes[UF])</f>
        <v>RJ</v>
      </c>
    </row>
    <row r="38" spans="1:15" x14ac:dyDescent="0.3">
      <c r="A38">
        <v>37</v>
      </c>
      <c r="B38" s="3">
        <v>45680</v>
      </c>
      <c r="C38" s="3">
        <v>45700</v>
      </c>
      <c r="D38">
        <v>138</v>
      </c>
      <c r="E38">
        <v>2</v>
      </c>
      <c r="F38">
        <v>5</v>
      </c>
      <c r="G38" s="2">
        <v>9000</v>
      </c>
      <c r="H38" s="4">
        <v>0.15</v>
      </c>
      <c r="I38" s="2">
        <v>7650</v>
      </c>
      <c r="J38" t="s">
        <v>253</v>
      </c>
      <c r="K38" t="s">
        <v>254</v>
      </c>
      <c r="L38">
        <v>3</v>
      </c>
      <c r="M38" t="str">
        <f>_xlfn.XLOOKUP(E38,tPacotes[ID_Pacote],tPacotes[Pacote])</f>
        <v>Rio Cidade Maravilhosa</v>
      </c>
      <c r="N38" t="str">
        <f>_xlfn.XLOOKUP(E38,tPacotes[ID_Pacote],tPacotes[Categoria])</f>
        <v>Cultural</v>
      </c>
      <c r="O38" t="str">
        <f>_xlfn.XLOOKUP(D38,tClientes[ID_Cliente],tClientes[UF])</f>
        <v>SP</v>
      </c>
    </row>
    <row r="39" spans="1:15" x14ac:dyDescent="0.3">
      <c r="A39">
        <v>38</v>
      </c>
      <c r="B39" s="3">
        <v>45681</v>
      </c>
      <c r="C39" s="3">
        <v>45704</v>
      </c>
      <c r="D39">
        <v>54</v>
      </c>
      <c r="E39">
        <v>15</v>
      </c>
      <c r="F39">
        <v>2</v>
      </c>
      <c r="G39" s="2">
        <v>6200</v>
      </c>
      <c r="H39" s="4">
        <v>0</v>
      </c>
      <c r="I39" s="2">
        <v>6200</v>
      </c>
      <c r="J39" t="s">
        <v>255</v>
      </c>
      <c r="K39" t="s">
        <v>254</v>
      </c>
      <c r="L39">
        <v>2</v>
      </c>
      <c r="M39" t="str">
        <f>_xlfn.XLOOKUP(E39,tPacotes[ID_Pacote],tPacotes[Pacote])</f>
        <v>Jericoacoara</v>
      </c>
      <c r="N39" t="str">
        <f>_xlfn.XLOOKUP(E39,tPacotes[ID_Pacote],tPacotes[Categoria])</f>
        <v>Praia</v>
      </c>
      <c r="O39" t="str">
        <f>_xlfn.XLOOKUP(D39,tClientes[ID_Cliente],tClientes[UF])</f>
        <v>RJ</v>
      </c>
    </row>
    <row r="40" spans="1:15" x14ac:dyDescent="0.3">
      <c r="A40">
        <v>39</v>
      </c>
      <c r="B40" s="3">
        <v>45682</v>
      </c>
      <c r="C40" s="3">
        <v>45744</v>
      </c>
      <c r="D40">
        <v>166</v>
      </c>
      <c r="E40">
        <v>10</v>
      </c>
      <c r="F40">
        <v>4</v>
      </c>
      <c r="G40" s="2">
        <v>46000</v>
      </c>
      <c r="H40" s="4">
        <v>0</v>
      </c>
      <c r="I40" s="2">
        <v>46000</v>
      </c>
      <c r="J40" t="s">
        <v>253</v>
      </c>
      <c r="K40" t="s">
        <v>254</v>
      </c>
      <c r="L40">
        <v>4</v>
      </c>
      <c r="M40" t="str">
        <f>_xlfn.XLOOKUP(E40,tPacotes[ID_Pacote],tPacotes[Pacote])</f>
        <v>Orlando Parques</v>
      </c>
      <c r="N40" t="str">
        <f>_xlfn.XLOOKUP(E40,tPacotes[ID_Pacote],tPacotes[Categoria])</f>
        <v>Parques</v>
      </c>
      <c r="O40" t="str">
        <f>_xlfn.XLOOKUP(D40,tClientes[ID_Cliente],tClientes[UF])</f>
        <v>RJ</v>
      </c>
    </row>
    <row r="41" spans="1:15" x14ac:dyDescent="0.3">
      <c r="A41">
        <v>40</v>
      </c>
      <c r="B41" s="3">
        <v>45682</v>
      </c>
      <c r="C41" s="3">
        <v>45739</v>
      </c>
      <c r="D41">
        <v>197</v>
      </c>
      <c r="E41">
        <v>3</v>
      </c>
      <c r="F41">
        <v>1</v>
      </c>
      <c r="G41" s="2">
        <v>2600</v>
      </c>
      <c r="H41" s="4">
        <v>0</v>
      </c>
      <c r="I41" s="2">
        <v>2600</v>
      </c>
      <c r="J41" t="s">
        <v>255</v>
      </c>
      <c r="K41" t="s">
        <v>254</v>
      </c>
      <c r="L41">
        <v>4</v>
      </c>
      <c r="M41" t="str">
        <f>_xlfn.XLOOKUP(E41,tPacotes[ID_Pacote],tPacotes[Pacote])</f>
        <v>Serra Gaúcha</v>
      </c>
      <c r="N41" t="str">
        <f>_xlfn.XLOOKUP(E41,tPacotes[ID_Pacote],tPacotes[Categoria])</f>
        <v>Inverno</v>
      </c>
      <c r="O41" t="str">
        <f>_xlfn.XLOOKUP(D41,tClientes[ID_Cliente],tClientes[UF])</f>
        <v>SP</v>
      </c>
    </row>
    <row r="42" spans="1:15" x14ac:dyDescent="0.3">
      <c r="A42">
        <v>41</v>
      </c>
      <c r="B42" s="3">
        <v>45682</v>
      </c>
      <c r="C42" s="3">
        <v>45726</v>
      </c>
      <c r="D42">
        <v>11</v>
      </c>
      <c r="E42">
        <v>2</v>
      </c>
      <c r="F42">
        <v>1</v>
      </c>
      <c r="G42" s="2">
        <v>1800</v>
      </c>
      <c r="H42" s="4">
        <v>0.1</v>
      </c>
      <c r="I42" s="2">
        <v>1620</v>
      </c>
      <c r="J42" t="s">
        <v>255</v>
      </c>
      <c r="K42" t="s">
        <v>254</v>
      </c>
      <c r="L42">
        <v>4</v>
      </c>
      <c r="M42" t="str">
        <f>_xlfn.XLOOKUP(E42,tPacotes[ID_Pacote],tPacotes[Pacote])</f>
        <v>Rio Cidade Maravilhosa</v>
      </c>
      <c r="N42" t="str">
        <f>_xlfn.XLOOKUP(E42,tPacotes[ID_Pacote],tPacotes[Categoria])</f>
        <v>Cultural</v>
      </c>
      <c r="O42" t="str">
        <f>_xlfn.XLOOKUP(D42,tClientes[ID_Cliente],tClientes[UF])</f>
        <v>RJ</v>
      </c>
    </row>
    <row r="43" spans="1:15" x14ac:dyDescent="0.3">
      <c r="A43">
        <v>42</v>
      </c>
      <c r="B43" s="3">
        <v>45683</v>
      </c>
      <c r="C43" s="3">
        <v>45691</v>
      </c>
      <c r="D43">
        <v>181</v>
      </c>
      <c r="E43">
        <v>15</v>
      </c>
      <c r="F43">
        <v>3</v>
      </c>
      <c r="G43" s="2">
        <v>9300</v>
      </c>
      <c r="H43" s="4">
        <v>0.05</v>
      </c>
      <c r="I43" s="2">
        <v>8835</v>
      </c>
      <c r="J43" t="s">
        <v>257</v>
      </c>
      <c r="K43" t="s">
        <v>254</v>
      </c>
      <c r="L43">
        <v>5</v>
      </c>
      <c r="M43" t="str">
        <f>_xlfn.XLOOKUP(E43,tPacotes[ID_Pacote],tPacotes[Pacote])</f>
        <v>Jericoacoara</v>
      </c>
      <c r="N43" t="str">
        <f>_xlfn.XLOOKUP(E43,tPacotes[ID_Pacote],tPacotes[Categoria])</f>
        <v>Praia</v>
      </c>
      <c r="O43" t="str">
        <f>_xlfn.XLOOKUP(D43,tClientes[ID_Cliente],tClientes[UF])</f>
        <v>RJ</v>
      </c>
    </row>
    <row r="44" spans="1:15" x14ac:dyDescent="0.3">
      <c r="A44">
        <v>43</v>
      </c>
      <c r="B44" s="3">
        <v>45683</v>
      </c>
      <c r="C44" s="3">
        <v>45794</v>
      </c>
      <c r="D44">
        <v>95</v>
      </c>
      <c r="E44">
        <v>11</v>
      </c>
      <c r="F44">
        <v>2</v>
      </c>
      <c r="G44" s="2">
        <v>31600</v>
      </c>
      <c r="H44" s="4">
        <v>0</v>
      </c>
      <c r="I44" s="2">
        <v>31600</v>
      </c>
      <c r="J44" t="s">
        <v>253</v>
      </c>
      <c r="K44" t="s">
        <v>254</v>
      </c>
      <c r="L44">
        <v>4</v>
      </c>
      <c r="M44" t="str">
        <f>_xlfn.XLOOKUP(E44,tPacotes[ID_Pacote],tPacotes[Pacote])</f>
        <v>Paris e Londres</v>
      </c>
      <c r="N44" t="str">
        <f>_xlfn.XLOOKUP(E44,tPacotes[ID_Pacote],tPacotes[Categoria])</f>
        <v>Cultural</v>
      </c>
      <c r="O44" t="str">
        <f>_xlfn.XLOOKUP(D44,tClientes[ID_Cliente],tClientes[UF])</f>
        <v>PR</v>
      </c>
    </row>
    <row r="45" spans="1:15" x14ac:dyDescent="0.3">
      <c r="A45">
        <v>44</v>
      </c>
      <c r="B45" s="3">
        <v>45683</v>
      </c>
      <c r="C45" s="3">
        <v>45701</v>
      </c>
      <c r="D45">
        <v>138</v>
      </c>
      <c r="E45">
        <v>3</v>
      </c>
      <c r="F45">
        <v>2</v>
      </c>
      <c r="G45" s="2">
        <v>5200</v>
      </c>
      <c r="H45" s="4">
        <v>0.15</v>
      </c>
      <c r="I45" s="2">
        <v>4420</v>
      </c>
      <c r="J45" t="s">
        <v>253</v>
      </c>
      <c r="K45" t="s">
        <v>254</v>
      </c>
      <c r="L45">
        <v>5</v>
      </c>
      <c r="M45" t="str">
        <f>_xlfn.XLOOKUP(E45,tPacotes[ID_Pacote],tPacotes[Pacote])</f>
        <v>Serra Gaúcha</v>
      </c>
      <c r="N45" t="str">
        <f>_xlfn.XLOOKUP(E45,tPacotes[ID_Pacote],tPacotes[Categoria])</f>
        <v>Inverno</v>
      </c>
      <c r="O45" t="str">
        <f>_xlfn.XLOOKUP(D45,tClientes[ID_Cliente],tClientes[UF])</f>
        <v>SP</v>
      </c>
    </row>
    <row r="46" spans="1:15" x14ac:dyDescent="0.3">
      <c r="A46">
        <v>45</v>
      </c>
      <c r="B46" s="3">
        <v>45683</v>
      </c>
      <c r="C46" s="3">
        <v>45730</v>
      </c>
      <c r="D46">
        <v>100</v>
      </c>
      <c r="E46">
        <v>11</v>
      </c>
      <c r="F46">
        <v>2</v>
      </c>
      <c r="G46" s="2">
        <v>31600</v>
      </c>
      <c r="H46" s="4">
        <v>0</v>
      </c>
      <c r="I46" s="2">
        <v>31600</v>
      </c>
      <c r="J46" t="s">
        <v>255</v>
      </c>
      <c r="K46" t="s">
        <v>254</v>
      </c>
      <c r="L46">
        <v>5</v>
      </c>
      <c r="M46" t="str">
        <f>_xlfn.XLOOKUP(E46,tPacotes[ID_Pacote],tPacotes[Pacote])</f>
        <v>Paris e Londres</v>
      </c>
      <c r="N46" t="str">
        <f>_xlfn.XLOOKUP(E46,tPacotes[ID_Pacote],tPacotes[Categoria])</f>
        <v>Cultural</v>
      </c>
      <c r="O46" t="str">
        <f>_xlfn.XLOOKUP(D46,tClientes[ID_Cliente],tClientes[UF])</f>
        <v>SP</v>
      </c>
    </row>
    <row r="47" spans="1:15" x14ac:dyDescent="0.3">
      <c r="A47">
        <v>46</v>
      </c>
      <c r="B47" s="3">
        <v>45684</v>
      </c>
      <c r="C47" s="3">
        <v>45711</v>
      </c>
      <c r="D47">
        <v>36</v>
      </c>
      <c r="E47">
        <v>1</v>
      </c>
      <c r="F47">
        <v>5</v>
      </c>
      <c r="G47" s="2">
        <v>16000</v>
      </c>
      <c r="H47" s="4">
        <v>0</v>
      </c>
      <c r="I47" s="2">
        <v>16000</v>
      </c>
      <c r="J47" t="s">
        <v>257</v>
      </c>
      <c r="K47" t="s">
        <v>254</v>
      </c>
      <c r="L47">
        <v>3</v>
      </c>
      <c r="M47" t="str">
        <f>_xlfn.XLOOKUP(E47,tPacotes[ID_Pacote],tPacotes[Pacote])</f>
        <v>Nordeste Encantado</v>
      </c>
      <c r="N47" t="str">
        <f>_xlfn.XLOOKUP(E47,tPacotes[ID_Pacote],tPacotes[Categoria])</f>
        <v>Praia</v>
      </c>
      <c r="O47" t="str">
        <f>_xlfn.XLOOKUP(D47,tClientes[ID_Cliente],tClientes[UF])</f>
        <v>SP</v>
      </c>
    </row>
    <row r="48" spans="1:15" x14ac:dyDescent="0.3">
      <c r="A48">
        <v>47</v>
      </c>
      <c r="B48" s="3">
        <v>45685</v>
      </c>
      <c r="C48" s="3">
        <v>45737</v>
      </c>
      <c r="D48">
        <v>123</v>
      </c>
      <c r="E48">
        <v>8</v>
      </c>
      <c r="F48">
        <v>2</v>
      </c>
      <c r="G48" s="2">
        <v>11800</v>
      </c>
      <c r="H48" s="4">
        <v>0</v>
      </c>
      <c r="I48" s="2">
        <v>11800</v>
      </c>
      <c r="J48" t="s">
        <v>253</v>
      </c>
      <c r="K48" t="s">
        <v>254</v>
      </c>
      <c r="L48">
        <v>4</v>
      </c>
      <c r="M48" t="str">
        <f>_xlfn.XLOOKUP(E48,tPacotes[ID_Pacote],tPacotes[Pacote])</f>
        <v>Santiago e Neve</v>
      </c>
      <c r="N48" t="str">
        <f>_xlfn.XLOOKUP(E48,tPacotes[ID_Pacote],tPacotes[Categoria])</f>
        <v>Inverno</v>
      </c>
      <c r="O48" t="str">
        <f>_xlfn.XLOOKUP(D48,tClientes[ID_Cliente],tClientes[UF])</f>
        <v>PR</v>
      </c>
    </row>
    <row r="49" spans="1:15" x14ac:dyDescent="0.3">
      <c r="A49">
        <v>48</v>
      </c>
      <c r="B49" s="3">
        <v>45685</v>
      </c>
      <c r="C49" s="3">
        <v>45730</v>
      </c>
      <c r="D49">
        <v>110</v>
      </c>
      <c r="E49">
        <v>15</v>
      </c>
      <c r="F49">
        <v>3</v>
      </c>
      <c r="G49" s="2">
        <v>9300</v>
      </c>
      <c r="H49" s="4">
        <v>0</v>
      </c>
      <c r="I49" s="2">
        <v>9300</v>
      </c>
      <c r="J49" t="s">
        <v>257</v>
      </c>
      <c r="K49" t="s">
        <v>258</v>
      </c>
      <c r="M49" t="str">
        <f>_xlfn.XLOOKUP(E49,tPacotes[ID_Pacote],tPacotes[Pacote])</f>
        <v>Jericoacoara</v>
      </c>
      <c r="N49" t="str">
        <f>_xlfn.XLOOKUP(E49,tPacotes[ID_Pacote],tPacotes[Categoria])</f>
        <v>Praia</v>
      </c>
      <c r="O49" t="str">
        <f>_xlfn.XLOOKUP(D49,tClientes[ID_Cliente],tClientes[UF])</f>
        <v>SP</v>
      </c>
    </row>
    <row r="50" spans="1:15" x14ac:dyDescent="0.3">
      <c r="A50">
        <v>49</v>
      </c>
      <c r="B50" s="3">
        <v>45686</v>
      </c>
      <c r="C50" s="3">
        <v>45837</v>
      </c>
      <c r="D50">
        <v>13</v>
      </c>
      <c r="E50">
        <v>13</v>
      </c>
      <c r="F50">
        <v>2</v>
      </c>
      <c r="G50" s="2">
        <v>14600</v>
      </c>
      <c r="H50" s="4">
        <v>0</v>
      </c>
      <c r="I50" s="2">
        <v>14600</v>
      </c>
      <c r="J50" t="s">
        <v>255</v>
      </c>
      <c r="K50" t="s">
        <v>254</v>
      </c>
      <c r="L50">
        <v>5</v>
      </c>
      <c r="M50" t="str">
        <f>_xlfn.XLOOKUP(E50,tPacotes[ID_Pacote],tPacotes[Pacote])</f>
        <v>Machu Picchu</v>
      </c>
      <c r="N50" t="str">
        <f>_xlfn.XLOOKUP(E50,tPacotes[ID_Pacote],tPacotes[Categoria])</f>
        <v>Aventura</v>
      </c>
      <c r="O50" t="str">
        <f>_xlfn.XLOOKUP(D50,tClientes[ID_Cliente],tClientes[UF])</f>
        <v>RS</v>
      </c>
    </row>
    <row r="51" spans="1:15" x14ac:dyDescent="0.3">
      <c r="A51">
        <v>50</v>
      </c>
      <c r="B51" s="3">
        <v>45686</v>
      </c>
      <c r="C51" s="3">
        <v>45689</v>
      </c>
      <c r="D51">
        <v>170</v>
      </c>
      <c r="E51">
        <v>14</v>
      </c>
      <c r="F51">
        <v>4</v>
      </c>
      <c r="G51" s="2">
        <v>11600</v>
      </c>
      <c r="H51" s="4">
        <v>0.1</v>
      </c>
      <c r="I51" s="2">
        <v>10440</v>
      </c>
      <c r="J51" t="s">
        <v>253</v>
      </c>
      <c r="K51" t="s">
        <v>254</v>
      </c>
      <c r="L51">
        <v>5</v>
      </c>
      <c r="M51" t="str">
        <f>_xlfn.XLOOKUP(E51,tPacotes[ID_Pacote],tPacotes[Pacote])</f>
        <v>Lençóis Maranhenses</v>
      </c>
      <c r="N51" t="str">
        <f>_xlfn.XLOOKUP(E51,tPacotes[ID_Pacote],tPacotes[Categoria])</f>
        <v>Natureza</v>
      </c>
      <c r="O51" t="str">
        <f>_xlfn.XLOOKUP(D51,tClientes[ID_Cliente],tClientes[UF])</f>
        <v>SP</v>
      </c>
    </row>
    <row r="52" spans="1:15" x14ac:dyDescent="0.3">
      <c r="A52">
        <v>51</v>
      </c>
      <c r="B52" s="3">
        <v>45687</v>
      </c>
      <c r="C52" s="3">
        <v>45727</v>
      </c>
      <c r="D52">
        <v>146</v>
      </c>
      <c r="E52">
        <v>9</v>
      </c>
      <c r="F52">
        <v>3</v>
      </c>
      <c r="G52" s="2">
        <v>26700</v>
      </c>
      <c r="H52" s="4">
        <v>0.1</v>
      </c>
      <c r="I52" s="2">
        <v>24030</v>
      </c>
      <c r="J52" t="s">
        <v>257</v>
      </c>
      <c r="K52" t="s">
        <v>254</v>
      </c>
      <c r="L52">
        <v>3</v>
      </c>
      <c r="M52" t="str">
        <f>_xlfn.XLOOKUP(E52,tPacotes[ID_Pacote],tPacotes[Pacote])</f>
        <v>Cancún All Inclusive</v>
      </c>
      <c r="N52" t="str">
        <f>_xlfn.XLOOKUP(E52,tPacotes[ID_Pacote],tPacotes[Categoria])</f>
        <v>Praia</v>
      </c>
      <c r="O52" t="str">
        <f>_xlfn.XLOOKUP(D52,tClientes[ID_Cliente],tClientes[UF])</f>
        <v>BA</v>
      </c>
    </row>
    <row r="53" spans="1:15" x14ac:dyDescent="0.3">
      <c r="A53">
        <v>52</v>
      </c>
      <c r="B53" s="3">
        <v>45688</v>
      </c>
      <c r="C53" s="3">
        <v>45777</v>
      </c>
      <c r="D53">
        <v>80</v>
      </c>
      <c r="E53">
        <v>2</v>
      </c>
      <c r="F53">
        <v>1</v>
      </c>
      <c r="G53" s="2">
        <v>1800</v>
      </c>
      <c r="H53" s="4">
        <v>0.05</v>
      </c>
      <c r="I53" s="2">
        <v>1710</v>
      </c>
      <c r="J53" t="s">
        <v>257</v>
      </c>
      <c r="K53" t="s">
        <v>254</v>
      </c>
      <c r="L53">
        <v>4</v>
      </c>
      <c r="M53" t="str">
        <f>_xlfn.XLOOKUP(E53,tPacotes[ID_Pacote],tPacotes[Pacote])</f>
        <v>Rio Cidade Maravilhosa</v>
      </c>
      <c r="N53" t="str">
        <f>_xlfn.XLOOKUP(E53,tPacotes[ID_Pacote],tPacotes[Categoria])</f>
        <v>Cultural</v>
      </c>
      <c r="O53" t="str">
        <f>_xlfn.XLOOKUP(D53,tClientes[ID_Cliente],tClientes[UF])</f>
        <v>SP</v>
      </c>
    </row>
    <row r="54" spans="1:15" x14ac:dyDescent="0.3">
      <c r="A54">
        <v>53</v>
      </c>
      <c r="B54" s="3">
        <v>45688</v>
      </c>
      <c r="C54" s="3">
        <v>45708</v>
      </c>
      <c r="D54">
        <v>177</v>
      </c>
      <c r="E54">
        <v>8</v>
      </c>
      <c r="F54">
        <v>1</v>
      </c>
      <c r="G54" s="2">
        <v>5900</v>
      </c>
      <c r="H54" s="4">
        <v>0.1</v>
      </c>
      <c r="I54" s="2">
        <v>5310</v>
      </c>
      <c r="J54" t="s">
        <v>255</v>
      </c>
      <c r="K54" t="s">
        <v>254</v>
      </c>
      <c r="L54">
        <v>3</v>
      </c>
      <c r="M54" t="str">
        <f>_xlfn.XLOOKUP(E54,tPacotes[ID_Pacote],tPacotes[Pacote])</f>
        <v>Santiago e Neve</v>
      </c>
      <c r="N54" t="str">
        <f>_xlfn.XLOOKUP(E54,tPacotes[ID_Pacote],tPacotes[Categoria])</f>
        <v>Inverno</v>
      </c>
      <c r="O54" t="str">
        <f>_xlfn.XLOOKUP(D54,tClientes[ID_Cliente],tClientes[UF])</f>
        <v>RJ</v>
      </c>
    </row>
    <row r="55" spans="1:15" x14ac:dyDescent="0.3">
      <c r="A55">
        <v>54</v>
      </c>
      <c r="B55" s="3">
        <v>45688</v>
      </c>
      <c r="C55" s="3">
        <v>45772</v>
      </c>
      <c r="D55">
        <v>37</v>
      </c>
      <c r="E55">
        <v>6</v>
      </c>
      <c r="F55">
        <v>2</v>
      </c>
      <c r="G55" s="2">
        <v>4200</v>
      </c>
      <c r="H55" s="4">
        <v>0</v>
      </c>
      <c r="I55" s="2">
        <v>4200</v>
      </c>
      <c r="J55" t="s">
        <v>257</v>
      </c>
      <c r="K55" t="s">
        <v>254</v>
      </c>
      <c r="L55">
        <v>5</v>
      </c>
      <c r="M55" t="str">
        <f>_xlfn.XLOOKUP(E55,tPacotes[ID_Pacote],tPacotes[Pacote])</f>
        <v>Foz do Iguaçu</v>
      </c>
      <c r="N55" t="str">
        <f>_xlfn.XLOOKUP(E55,tPacotes[ID_Pacote],tPacotes[Categoria])</f>
        <v>Natureza</v>
      </c>
      <c r="O55" t="str">
        <f>_xlfn.XLOOKUP(D55,tClientes[ID_Cliente],tClientes[UF])</f>
        <v>DF</v>
      </c>
    </row>
    <row r="56" spans="1:15" x14ac:dyDescent="0.3">
      <c r="A56">
        <v>55</v>
      </c>
      <c r="B56" s="3">
        <v>45689</v>
      </c>
      <c r="C56" s="3">
        <v>45704</v>
      </c>
      <c r="D56">
        <v>64</v>
      </c>
      <c r="E56">
        <v>8</v>
      </c>
      <c r="F56">
        <v>2</v>
      </c>
      <c r="G56" s="2">
        <v>11800</v>
      </c>
      <c r="H56" s="4">
        <v>0</v>
      </c>
      <c r="I56" s="2">
        <v>11800</v>
      </c>
      <c r="J56" t="s">
        <v>255</v>
      </c>
      <c r="K56" t="s">
        <v>254</v>
      </c>
      <c r="L56">
        <v>2</v>
      </c>
      <c r="M56" t="str">
        <f>_xlfn.XLOOKUP(E56,tPacotes[ID_Pacote],tPacotes[Pacote])</f>
        <v>Santiago e Neve</v>
      </c>
      <c r="N56" t="str">
        <f>_xlfn.XLOOKUP(E56,tPacotes[ID_Pacote],tPacotes[Categoria])</f>
        <v>Inverno</v>
      </c>
      <c r="O56" t="str">
        <f>_xlfn.XLOOKUP(D56,tClientes[ID_Cliente],tClientes[UF])</f>
        <v>PE</v>
      </c>
    </row>
    <row r="57" spans="1:15" x14ac:dyDescent="0.3">
      <c r="A57">
        <v>56</v>
      </c>
      <c r="B57" s="3">
        <v>45689</v>
      </c>
      <c r="C57" s="3">
        <v>45747</v>
      </c>
      <c r="D57">
        <v>52</v>
      </c>
      <c r="E57">
        <v>5</v>
      </c>
      <c r="F57">
        <v>3</v>
      </c>
      <c r="G57" s="2">
        <v>10200</v>
      </c>
      <c r="H57" s="4">
        <v>0</v>
      </c>
      <c r="I57" s="2">
        <v>10200</v>
      </c>
      <c r="J57" t="s">
        <v>255</v>
      </c>
      <c r="K57" t="s">
        <v>254</v>
      </c>
      <c r="L57">
        <v>3</v>
      </c>
      <c r="M57" t="str">
        <f>_xlfn.XLOOKUP(E57,tPacotes[ID_Pacote],tPacotes[Pacote])</f>
        <v>Bonito Aventura</v>
      </c>
      <c r="N57" t="str">
        <f>_xlfn.XLOOKUP(E57,tPacotes[ID_Pacote],tPacotes[Categoria])</f>
        <v>Aventura</v>
      </c>
      <c r="O57" t="str">
        <f>_xlfn.XLOOKUP(D57,tClientes[ID_Cliente],tClientes[UF])</f>
        <v>SP</v>
      </c>
    </row>
    <row r="58" spans="1:15" x14ac:dyDescent="0.3">
      <c r="A58">
        <v>57</v>
      </c>
      <c r="B58" s="3">
        <v>45689</v>
      </c>
      <c r="C58" s="3">
        <v>45699</v>
      </c>
      <c r="D58">
        <v>65</v>
      </c>
      <c r="E58">
        <v>1</v>
      </c>
      <c r="F58">
        <v>2</v>
      </c>
      <c r="G58" s="2">
        <v>6400</v>
      </c>
      <c r="H58" s="4">
        <v>0</v>
      </c>
      <c r="I58" s="2">
        <v>6400</v>
      </c>
      <c r="J58" t="s">
        <v>257</v>
      </c>
      <c r="K58" t="s">
        <v>258</v>
      </c>
      <c r="M58" t="str">
        <f>_xlfn.XLOOKUP(E58,tPacotes[ID_Pacote],tPacotes[Pacote])</f>
        <v>Nordeste Encantado</v>
      </c>
      <c r="N58" t="str">
        <f>_xlfn.XLOOKUP(E58,tPacotes[ID_Pacote],tPacotes[Categoria])</f>
        <v>Praia</v>
      </c>
      <c r="O58" t="str">
        <f>_xlfn.XLOOKUP(D58,tClientes[ID_Cliente],tClientes[UF])</f>
        <v>SP</v>
      </c>
    </row>
    <row r="59" spans="1:15" x14ac:dyDescent="0.3">
      <c r="A59">
        <v>58</v>
      </c>
      <c r="B59" s="3">
        <v>45691</v>
      </c>
      <c r="C59" s="3">
        <v>45734</v>
      </c>
      <c r="D59">
        <v>26</v>
      </c>
      <c r="E59">
        <v>3</v>
      </c>
      <c r="F59">
        <v>2</v>
      </c>
      <c r="G59" s="2">
        <v>5200</v>
      </c>
      <c r="H59" s="4">
        <v>0</v>
      </c>
      <c r="I59" s="2">
        <v>5200</v>
      </c>
      <c r="J59" t="s">
        <v>253</v>
      </c>
      <c r="K59" t="s">
        <v>254</v>
      </c>
      <c r="L59">
        <v>5</v>
      </c>
      <c r="M59" t="str">
        <f>_xlfn.XLOOKUP(E59,tPacotes[ID_Pacote],tPacotes[Pacote])</f>
        <v>Serra Gaúcha</v>
      </c>
      <c r="N59" t="str">
        <f>_xlfn.XLOOKUP(E59,tPacotes[ID_Pacote],tPacotes[Categoria])</f>
        <v>Inverno</v>
      </c>
      <c r="O59" t="str">
        <f>_xlfn.XLOOKUP(D59,tClientes[ID_Cliente],tClientes[UF])</f>
        <v>SP</v>
      </c>
    </row>
    <row r="60" spans="1:15" x14ac:dyDescent="0.3">
      <c r="A60">
        <v>59</v>
      </c>
      <c r="B60" s="3">
        <v>45692</v>
      </c>
      <c r="C60" s="3">
        <v>45725</v>
      </c>
      <c r="D60">
        <v>198</v>
      </c>
      <c r="E60">
        <v>14</v>
      </c>
      <c r="F60">
        <v>2</v>
      </c>
      <c r="G60" s="2">
        <v>5800</v>
      </c>
      <c r="H60" s="4">
        <v>0</v>
      </c>
      <c r="I60" s="2">
        <v>5800</v>
      </c>
      <c r="J60" t="s">
        <v>257</v>
      </c>
      <c r="K60" t="s">
        <v>254</v>
      </c>
      <c r="L60">
        <v>5</v>
      </c>
      <c r="M60" t="str">
        <f>_xlfn.XLOOKUP(E60,tPacotes[ID_Pacote],tPacotes[Pacote])</f>
        <v>Lençóis Maranhenses</v>
      </c>
      <c r="N60" t="str">
        <f>_xlfn.XLOOKUP(E60,tPacotes[ID_Pacote],tPacotes[Categoria])</f>
        <v>Natureza</v>
      </c>
      <c r="O60" t="str">
        <f>_xlfn.XLOOKUP(D60,tClientes[ID_Cliente],tClientes[UF])</f>
        <v>SP</v>
      </c>
    </row>
    <row r="61" spans="1:15" x14ac:dyDescent="0.3">
      <c r="A61">
        <v>60</v>
      </c>
      <c r="B61" s="3">
        <v>45692</v>
      </c>
      <c r="C61" s="3">
        <v>45794</v>
      </c>
      <c r="D61">
        <v>13</v>
      </c>
      <c r="E61">
        <v>14</v>
      </c>
      <c r="F61">
        <v>2</v>
      </c>
      <c r="G61" s="2">
        <v>5800</v>
      </c>
      <c r="H61" s="4">
        <v>0</v>
      </c>
      <c r="I61" s="2">
        <v>5800</v>
      </c>
      <c r="J61" t="s">
        <v>257</v>
      </c>
      <c r="K61" t="s">
        <v>258</v>
      </c>
      <c r="M61" t="str">
        <f>_xlfn.XLOOKUP(E61,tPacotes[ID_Pacote],tPacotes[Pacote])</f>
        <v>Lençóis Maranhenses</v>
      </c>
      <c r="N61" t="str">
        <f>_xlfn.XLOOKUP(E61,tPacotes[ID_Pacote],tPacotes[Categoria])</f>
        <v>Natureza</v>
      </c>
      <c r="O61" t="str">
        <f>_xlfn.XLOOKUP(D61,tClientes[ID_Cliente],tClientes[UF])</f>
        <v>RS</v>
      </c>
    </row>
    <row r="62" spans="1:15" x14ac:dyDescent="0.3">
      <c r="A62">
        <v>61</v>
      </c>
      <c r="B62" s="3">
        <v>45692</v>
      </c>
      <c r="C62" s="3">
        <v>45695</v>
      </c>
      <c r="D62">
        <v>141</v>
      </c>
      <c r="E62">
        <v>11</v>
      </c>
      <c r="F62">
        <v>2</v>
      </c>
      <c r="G62" s="2">
        <v>31600</v>
      </c>
      <c r="H62" s="4">
        <v>0</v>
      </c>
      <c r="I62" s="2">
        <v>31600</v>
      </c>
      <c r="J62" t="s">
        <v>253</v>
      </c>
      <c r="K62" t="s">
        <v>258</v>
      </c>
      <c r="M62" t="str">
        <f>_xlfn.XLOOKUP(E62,tPacotes[ID_Pacote],tPacotes[Pacote])</f>
        <v>Paris e Londres</v>
      </c>
      <c r="N62" t="str">
        <f>_xlfn.XLOOKUP(E62,tPacotes[ID_Pacote],tPacotes[Categoria])</f>
        <v>Cultural</v>
      </c>
      <c r="O62" t="str">
        <f>_xlfn.XLOOKUP(D62,tClientes[ID_Cliente],tClientes[UF])</f>
        <v>DF</v>
      </c>
    </row>
    <row r="63" spans="1:15" x14ac:dyDescent="0.3">
      <c r="A63">
        <v>62</v>
      </c>
      <c r="B63" s="3">
        <v>45693</v>
      </c>
      <c r="C63" s="3">
        <v>45746</v>
      </c>
      <c r="D63">
        <v>33</v>
      </c>
      <c r="E63">
        <v>12</v>
      </c>
      <c r="F63">
        <v>2</v>
      </c>
      <c r="G63" s="2">
        <v>24800</v>
      </c>
      <c r="H63" s="4">
        <v>0</v>
      </c>
      <c r="I63" s="2">
        <v>24800</v>
      </c>
      <c r="J63" t="s">
        <v>253</v>
      </c>
      <c r="K63" t="s">
        <v>254</v>
      </c>
      <c r="L63">
        <v>5</v>
      </c>
      <c r="M63" t="str">
        <f>_xlfn.XLOOKUP(E63,tPacotes[ID_Pacote],tPacotes[Pacote])</f>
        <v>Lisboa e Porto</v>
      </c>
      <c r="N63" t="str">
        <f>_xlfn.XLOOKUP(E63,tPacotes[ID_Pacote],tPacotes[Categoria])</f>
        <v>Cultural</v>
      </c>
      <c r="O63" t="str">
        <f>_xlfn.XLOOKUP(D63,tClientes[ID_Cliente],tClientes[UF])</f>
        <v>PR</v>
      </c>
    </row>
    <row r="64" spans="1:15" x14ac:dyDescent="0.3">
      <c r="A64">
        <v>63</v>
      </c>
      <c r="B64" s="3">
        <v>45693</v>
      </c>
      <c r="C64" s="3">
        <v>45706</v>
      </c>
      <c r="D64">
        <v>184</v>
      </c>
      <c r="E64">
        <v>10</v>
      </c>
      <c r="F64">
        <v>2</v>
      </c>
      <c r="G64" s="2">
        <v>23000</v>
      </c>
      <c r="H64" s="4">
        <v>0.05</v>
      </c>
      <c r="I64" s="2">
        <v>21850</v>
      </c>
      <c r="J64" t="s">
        <v>253</v>
      </c>
      <c r="K64" t="s">
        <v>254</v>
      </c>
      <c r="L64">
        <v>4</v>
      </c>
      <c r="M64" t="str">
        <f>_xlfn.XLOOKUP(E64,tPacotes[ID_Pacote],tPacotes[Pacote])</f>
        <v>Orlando Parques</v>
      </c>
      <c r="N64" t="str">
        <f>_xlfn.XLOOKUP(E64,tPacotes[ID_Pacote],tPacotes[Categoria])</f>
        <v>Parques</v>
      </c>
      <c r="O64" t="str">
        <f>_xlfn.XLOOKUP(D64,tClientes[ID_Cliente],tClientes[UF])</f>
        <v>SP</v>
      </c>
    </row>
    <row r="65" spans="1:15" x14ac:dyDescent="0.3">
      <c r="A65">
        <v>64</v>
      </c>
      <c r="B65" s="3">
        <v>45694</v>
      </c>
      <c r="C65" s="3">
        <v>45784</v>
      </c>
      <c r="D65">
        <v>29</v>
      </c>
      <c r="E65">
        <v>1</v>
      </c>
      <c r="F65">
        <v>1</v>
      </c>
      <c r="G65" s="2">
        <v>3200</v>
      </c>
      <c r="H65" s="4">
        <v>0</v>
      </c>
      <c r="I65" s="2">
        <v>3200</v>
      </c>
      <c r="J65" t="s">
        <v>253</v>
      </c>
      <c r="K65" t="s">
        <v>258</v>
      </c>
      <c r="M65" t="str">
        <f>_xlfn.XLOOKUP(E65,tPacotes[ID_Pacote],tPacotes[Pacote])</f>
        <v>Nordeste Encantado</v>
      </c>
      <c r="N65" t="str">
        <f>_xlfn.XLOOKUP(E65,tPacotes[ID_Pacote],tPacotes[Categoria])</f>
        <v>Praia</v>
      </c>
      <c r="O65" t="str">
        <f>_xlfn.XLOOKUP(D65,tClientes[ID_Cliente],tClientes[UF])</f>
        <v>SP</v>
      </c>
    </row>
    <row r="66" spans="1:15" x14ac:dyDescent="0.3">
      <c r="A66">
        <v>65</v>
      </c>
      <c r="B66" s="3">
        <v>45696</v>
      </c>
      <c r="C66" s="3">
        <v>45853</v>
      </c>
      <c r="D66">
        <v>200</v>
      </c>
      <c r="E66">
        <v>6</v>
      </c>
      <c r="F66">
        <v>2</v>
      </c>
      <c r="G66" s="2">
        <v>4200</v>
      </c>
      <c r="H66" s="4">
        <v>0.05</v>
      </c>
      <c r="I66" s="2">
        <v>3990</v>
      </c>
      <c r="J66" t="s">
        <v>253</v>
      </c>
      <c r="K66" t="s">
        <v>254</v>
      </c>
      <c r="L66">
        <v>5</v>
      </c>
      <c r="M66" t="str">
        <f>_xlfn.XLOOKUP(E66,tPacotes[ID_Pacote],tPacotes[Pacote])</f>
        <v>Foz do Iguaçu</v>
      </c>
      <c r="N66" t="str">
        <f>_xlfn.XLOOKUP(E66,tPacotes[ID_Pacote],tPacotes[Categoria])</f>
        <v>Natureza</v>
      </c>
      <c r="O66" t="str">
        <f>_xlfn.XLOOKUP(D66,tClientes[ID_Cliente],tClientes[UF])</f>
        <v>PR</v>
      </c>
    </row>
    <row r="67" spans="1:15" x14ac:dyDescent="0.3">
      <c r="A67">
        <v>66</v>
      </c>
      <c r="B67" s="3">
        <v>45696</v>
      </c>
      <c r="C67" s="3">
        <v>45871</v>
      </c>
      <c r="D67">
        <v>120</v>
      </c>
      <c r="E67">
        <v>3</v>
      </c>
      <c r="F67">
        <v>1</v>
      </c>
      <c r="G67" s="2">
        <v>2600</v>
      </c>
      <c r="H67" s="4">
        <v>0</v>
      </c>
      <c r="I67" s="2">
        <v>2600</v>
      </c>
      <c r="J67" t="s">
        <v>257</v>
      </c>
      <c r="K67" t="s">
        <v>254</v>
      </c>
      <c r="L67">
        <v>4</v>
      </c>
      <c r="M67" t="str">
        <f>_xlfn.XLOOKUP(E67,tPacotes[ID_Pacote],tPacotes[Pacote])</f>
        <v>Serra Gaúcha</v>
      </c>
      <c r="N67" t="str">
        <f>_xlfn.XLOOKUP(E67,tPacotes[ID_Pacote],tPacotes[Categoria])</f>
        <v>Inverno</v>
      </c>
      <c r="O67" t="str">
        <f>_xlfn.XLOOKUP(D67,tClientes[ID_Cliente],tClientes[UF])</f>
        <v>PR</v>
      </c>
    </row>
    <row r="68" spans="1:15" x14ac:dyDescent="0.3">
      <c r="A68">
        <v>67</v>
      </c>
      <c r="B68" s="3">
        <v>45698</v>
      </c>
      <c r="C68" s="3">
        <v>45738</v>
      </c>
      <c r="D68">
        <v>111</v>
      </c>
      <c r="E68">
        <v>8</v>
      </c>
      <c r="F68">
        <v>2</v>
      </c>
      <c r="G68" s="2">
        <v>11800</v>
      </c>
      <c r="H68" s="4">
        <v>0.05</v>
      </c>
      <c r="I68" s="2">
        <v>11210</v>
      </c>
      <c r="J68" t="s">
        <v>253</v>
      </c>
      <c r="K68" t="s">
        <v>258</v>
      </c>
      <c r="M68" t="str">
        <f>_xlfn.XLOOKUP(E68,tPacotes[ID_Pacote],tPacotes[Pacote])</f>
        <v>Santiago e Neve</v>
      </c>
      <c r="N68" t="str">
        <f>_xlfn.XLOOKUP(E68,tPacotes[ID_Pacote],tPacotes[Categoria])</f>
        <v>Inverno</v>
      </c>
      <c r="O68" t="str">
        <f>_xlfn.XLOOKUP(D68,tClientes[ID_Cliente],tClientes[UF])</f>
        <v>RJ</v>
      </c>
    </row>
    <row r="69" spans="1:15" x14ac:dyDescent="0.3">
      <c r="A69">
        <v>68</v>
      </c>
      <c r="B69" s="3">
        <v>45698</v>
      </c>
      <c r="C69" s="3">
        <v>45704</v>
      </c>
      <c r="D69">
        <v>116</v>
      </c>
      <c r="E69">
        <v>2</v>
      </c>
      <c r="F69">
        <v>3</v>
      </c>
      <c r="G69" s="2">
        <v>5400</v>
      </c>
      <c r="H69" s="4">
        <v>0</v>
      </c>
      <c r="I69" s="2">
        <v>5400</v>
      </c>
      <c r="J69" t="s">
        <v>253</v>
      </c>
      <c r="K69" t="s">
        <v>254</v>
      </c>
      <c r="L69">
        <v>5</v>
      </c>
      <c r="M69" t="str">
        <f>_xlfn.XLOOKUP(E69,tPacotes[ID_Pacote],tPacotes[Pacote])</f>
        <v>Rio Cidade Maravilhosa</v>
      </c>
      <c r="N69" t="str">
        <f>_xlfn.XLOOKUP(E69,tPacotes[ID_Pacote],tPacotes[Categoria])</f>
        <v>Cultural</v>
      </c>
      <c r="O69" t="str">
        <f>_xlfn.XLOOKUP(D69,tClientes[ID_Cliente],tClientes[UF])</f>
        <v>RJ</v>
      </c>
    </row>
    <row r="70" spans="1:15" x14ac:dyDescent="0.3">
      <c r="A70">
        <v>69</v>
      </c>
      <c r="B70" s="3">
        <v>45699</v>
      </c>
      <c r="C70" s="3">
        <v>45712</v>
      </c>
      <c r="D70">
        <v>22</v>
      </c>
      <c r="E70">
        <v>8</v>
      </c>
      <c r="F70">
        <v>3</v>
      </c>
      <c r="G70" s="2">
        <v>17700</v>
      </c>
      <c r="H70" s="4">
        <v>0.05</v>
      </c>
      <c r="I70" s="2">
        <v>16815</v>
      </c>
      <c r="J70" t="s">
        <v>255</v>
      </c>
      <c r="K70" t="s">
        <v>254</v>
      </c>
      <c r="L70">
        <v>1</v>
      </c>
      <c r="M70" t="str">
        <f>_xlfn.XLOOKUP(E70,tPacotes[ID_Pacote],tPacotes[Pacote])</f>
        <v>Santiago e Neve</v>
      </c>
      <c r="N70" t="str">
        <f>_xlfn.XLOOKUP(E70,tPacotes[ID_Pacote],tPacotes[Categoria])</f>
        <v>Inverno</v>
      </c>
      <c r="O70" t="str">
        <f>_xlfn.XLOOKUP(D70,tClientes[ID_Cliente],tClientes[UF])</f>
        <v>SP</v>
      </c>
    </row>
    <row r="71" spans="1:15" x14ac:dyDescent="0.3">
      <c r="A71">
        <v>70</v>
      </c>
      <c r="B71" s="3">
        <v>45699</v>
      </c>
      <c r="C71" s="3">
        <v>45741</v>
      </c>
      <c r="D71">
        <v>76</v>
      </c>
      <c r="E71">
        <v>14</v>
      </c>
      <c r="F71">
        <v>3</v>
      </c>
      <c r="G71" s="2">
        <v>8700</v>
      </c>
      <c r="H71" s="4">
        <v>0</v>
      </c>
      <c r="I71" s="2">
        <v>8700</v>
      </c>
      <c r="J71" t="s">
        <v>253</v>
      </c>
      <c r="K71" t="s">
        <v>254</v>
      </c>
      <c r="L71">
        <v>5</v>
      </c>
      <c r="M71" t="str">
        <f>_xlfn.XLOOKUP(E71,tPacotes[ID_Pacote],tPacotes[Pacote])</f>
        <v>Lençóis Maranhenses</v>
      </c>
      <c r="N71" t="str">
        <f>_xlfn.XLOOKUP(E71,tPacotes[ID_Pacote],tPacotes[Categoria])</f>
        <v>Natureza</v>
      </c>
      <c r="O71" t="str">
        <f>_xlfn.XLOOKUP(D71,tClientes[ID_Cliente],tClientes[UF])</f>
        <v>DF</v>
      </c>
    </row>
    <row r="72" spans="1:15" x14ac:dyDescent="0.3">
      <c r="A72">
        <v>71</v>
      </c>
      <c r="B72" s="3">
        <v>45699</v>
      </c>
      <c r="C72" s="3">
        <v>45841</v>
      </c>
      <c r="D72">
        <v>158</v>
      </c>
      <c r="E72">
        <v>1</v>
      </c>
      <c r="F72">
        <v>4</v>
      </c>
      <c r="G72" s="2">
        <v>12800</v>
      </c>
      <c r="H72" s="4">
        <v>0.1</v>
      </c>
      <c r="I72" s="2">
        <v>11520</v>
      </c>
      <c r="J72" t="s">
        <v>255</v>
      </c>
      <c r="K72" t="s">
        <v>254</v>
      </c>
      <c r="L72">
        <v>3</v>
      </c>
      <c r="M72" t="str">
        <f>_xlfn.XLOOKUP(E72,tPacotes[ID_Pacote],tPacotes[Pacote])</f>
        <v>Nordeste Encantado</v>
      </c>
      <c r="N72" t="str">
        <f>_xlfn.XLOOKUP(E72,tPacotes[ID_Pacote],tPacotes[Categoria])</f>
        <v>Praia</v>
      </c>
      <c r="O72" t="str">
        <f>_xlfn.XLOOKUP(D72,tClientes[ID_Cliente],tClientes[UF])</f>
        <v>RS</v>
      </c>
    </row>
    <row r="73" spans="1:15" x14ac:dyDescent="0.3">
      <c r="A73">
        <v>72</v>
      </c>
      <c r="B73" s="3">
        <v>45699</v>
      </c>
      <c r="C73" s="3">
        <v>45833</v>
      </c>
      <c r="D73">
        <v>169</v>
      </c>
      <c r="E73">
        <v>9</v>
      </c>
      <c r="F73">
        <v>4</v>
      </c>
      <c r="G73" s="2">
        <v>35600</v>
      </c>
      <c r="H73" s="4">
        <v>0</v>
      </c>
      <c r="I73" s="2">
        <v>35600</v>
      </c>
      <c r="J73" t="s">
        <v>257</v>
      </c>
      <c r="K73" t="s">
        <v>254</v>
      </c>
      <c r="L73">
        <v>5</v>
      </c>
      <c r="M73" t="str">
        <f>_xlfn.XLOOKUP(E73,tPacotes[ID_Pacote],tPacotes[Pacote])</f>
        <v>Cancún All Inclusive</v>
      </c>
      <c r="N73" t="str">
        <f>_xlfn.XLOOKUP(E73,tPacotes[ID_Pacote],tPacotes[Categoria])</f>
        <v>Praia</v>
      </c>
      <c r="O73" t="str">
        <f>_xlfn.XLOOKUP(D73,tClientes[ID_Cliente],tClientes[UF])</f>
        <v>BA</v>
      </c>
    </row>
    <row r="74" spans="1:15" x14ac:dyDescent="0.3">
      <c r="A74">
        <v>73</v>
      </c>
      <c r="B74" s="3">
        <v>45701</v>
      </c>
      <c r="C74" s="3">
        <v>45870</v>
      </c>
      <c r="D74">
        <v>37</v>
      </c>
      <c r="E74">
        <v>3</v>
      </c>
      <c r="F74">
        <v>3</v>
      </c>
      <c r="G74" s="2">
        <v>7800</v>
      </c>
      <c r="H74" s="4">
        <v>0</v>
      </c>
      <c r="I74" s="2">
        <v>7800</v>
      </c>
      <c r="J74" t="s">
        <v>255</v>
      </c>
      <c r="K74" t="s">
        <v>254</v>
      </c>
      <c r="L74">
        <v>4</v>
      </c>
      <c r="M74" t="str">
        <f>_xlfn.XLOOKUP(E74,tPacotes[ID_Pacote],tPacotes[Pacote])</f>
        <v>Serra Gaúcha</v>
      </c>
      <c r="N74" t="str">
        <f>_xlfn.XLOOKUP(E74,tPacotes[ID_Pacote],tPacotes[Categoria])</f>
        <v>Inverno</v>
      </c>
      <c r="O74" t="str">
        <f>_xlfn.XLOOKUP(D74,tClientes[ID_Cliente],tClientes[UF])</f>
        <v>DF</v>
      </c>
    </row>
    <row r="75" spans="1:15" x14ac:dyDescent="0.3">
      <c r="A75">
        <v>74</v>
      </c>
      <c r="B75" s="3">
        <v>45701</v>
      </c>
      <c r="C75" s="3">
        <v>45813</v>
      </c>
      <c r="D75">
        <v>94</v>
      </c>
      <c r="E75">
        <v>6</v>
      </c>
      <c r="F75">
        <v>2</v>
      </c>
      <c r="G75" s="2">
        <v>4200</v>
      </c>
      <c r="H75" s="4">
        <v>0</v>
      </c>
      <c r="I75" s="2">
        <v>4200</v>
      </c>
      <c r="J75" t="s">
        <v>253</v>
      </c>
      <c r="K75" t="s">
        <v>254</v>
      </c>
      <c r="L75">
        <v>4</v>
      </c>
      <c r="M75" t="str">
        <f>_xlfn.XLOOKUP(E75,tPacotes[ID_Pacote],tPacotes[Pacote])</f>
        <v>Foz do Iguaçu</v>
      </c>
      <c r="N75" t="str">
        <f>_xlfn.XLOOKUP(E75,tPacotes[ID_Pacote],tPacotes[Categoria])</f>
        <v>Natureza</v>
      </c>
      <c r="O75" t="str">
        <f>_xlfn.XLOOKUP(D75,tClientes[ID_Cliente],tClientes[UF])</f>
        <v>RJ</v>
      </c>
    </row>
    <row r="76" spans="1:15" x14ac:dyDescent="0.3">
      <c r="A76">
        <v>75</v>
      </c>
      <c r="B76" s="3">
        <v>45701</v>
      </c>
      <c r="C76" s="3">
        <v>45714</v>
      </c>
      <c r="D76">
        <v>54</v>
      </c>
      <c r="E76">
        <v>4</v>
      </c>
      <c r="F76">
        <v>2</v>
      </c>
      <c r="G76" s="2">
        <v>13800</v>
      </c>
      <c r="H76" s="4">
        <v>0.05</v>
      </c>
      <c r="I76" s="2">
        <v>13110</v>
      </c>
      <c r="J76" t="s">
        <v>253</v>
      </c>
      <c r="K76" t="s">
        <v>254</v>
      </c>
      <c r="L76">
        <v>4</v>
      </c>
      <c r="M76" t="str">
        <f>_xlfn.XLOOKUP(E76,tPacotes[ID_Pacote],tPacotes[Pacote])</f>
        <v>Fernando de Noronha</v>
      </c>
      <c r="N76" t="str">
        <f>_xlfn.XLOOKUP(E76,tPacotes[ID_Pacote],tPacotes[Categoria])</f>
        <v>Praia</v>
      </c>
      <c r="O76" t="str">
        <f>_xlfn.XLOOKUP(D76,tClientes[ID_Cliente],tClientes[UF])</f>
        <v>RJ</v>
      </c>
    </row>
    <row r="77" spans="1:15" x14ac:dyDescent="0.3">
      <c r="A77">
        <v>76</v>
      </c>
      <c r="B77" s="3">
        <v>45701</v>
      </c>
      <c r="C77" s="3">
        <v>45735</v>
      </c>
      <c r="D77">
        <v>122</v>
      </c>
      <c r="E77">
        <v>2</v>
      </c>
      <c r="F77">
        <v>3</v>
      </c>
      <c r="G77" s="2">
        <v>5400</v>
      </c>
      <c r="H77" s="4">
        <v>0</v>
      </c>
      <c r="I77" s="2">
        <v>5400</v>
      </c>
      <c r="J77" t="s">
        <v>257</v>
      </c>
      <c r="K77" t="s">
        <v>254</v>
      </c>
      <c r="L77">
        <v>4</v>
      </c>
      <c r="M77" t="str">
        <f>_xlfn.XLOOKUP(E77,tPacotes[ID_Pacote],tPacotes[Pacote])</f>
        <v>Rio Cidade Maravilhosa</v>
      </c>
      <c r="N77" t="str">
        <f>_xlfn.XLOOKUP(E77,tPacotes[ID_Pacote],tPacotes[Categoria])</f>
        <v>Cultural</v>
      </c>
      <c r="O77" t="str">
        <f>_xlfn.XLOOKUP(D77,tClientes[ID_Cliente],tClientes[UF])</f>
        <v>PR</v>
      </c>
    </row>
    <row r="78" spans="1:15" x14ac:dyDescent="0.3">
      <c r="A78">
        <v>77</v>
      </c>
      <c r="B78" s="3">
        <v>45701</v>
      </c>
      <c r="C78" s="3">
        <v>45719</v>
      </c>
      <c r="D78">
        <v>70</v>
      </c>
      <c r="E78">
        <v>6</v>
      </c>
      <c r="F78">
        <v>3</v>
      </c>
      <c r="G78" s="2">
        <v>6300</v>
      </c>
      <c r="H78" s="4">
        <v>0</v>
      </c>
      <c r="I78" s="2">
        <v>6300</v>
      </c>
      <c r="J78" t="s">
        <v>255</v>
      </c>
      <c r="K78" t="s">
        <v>254</v>
      </c>
      <c r="L78">
        <v>4</v>
      </c>
      <c r="M78" t="str">
        <f>_xlfn.XLOOKUP(E78,tPacotes[ID_Pacote],tPacotes[Pacote])</f>
        <v>Foz do Iguaçu</v>
      </c>
      <c r="N78" t="str">
        <f>_xlfn.XLOOKUP(E78,tPacotes[ID_Pacote],tPacotes[Categoria])</f>
        <v>Natureza</v>
      </c>
      <c r="O78" t="str">
        <f>_xlfn.XLOOKUP(D78,tClientes[ID_Cliente],tClientes[UF])</f>
        <v>MG</v>
      </c>
    </row>
    <row r="79" spans="1:15" x14ac:dyDescent="0.3">
      <c r="A79">
        <v>78</v>
      </c>
      <c r="B79" s="3">
        <v>45701</v>
      </c>
      <c r="C79" s="3">
        <v>45766</v>
      </c>
      <c r="D79">
        <v>186</v>
      </c>
      <c r="E79">
        <v>7</v>
      </c>
      <c r="F79">
        <v>1</v>
      </c>
      <c r="G79" s="2">
        <v>4200</v>
      </c>
      <c r="H79" s="4">
        <v>0</v>
      </c>
      <c r="I79" s="2">
        <v>4200</v>
      </c>
      <c r="J79" t="s">
        <v>253</v>
      </c>
      <c r="K79" t="s">
        <v>254</v>
      </c>
      <c r="L79">
        <v>3</v>
      </c>
      <c r="M79" t="str">
        <f>_xlfn.XLOOKUP(E79,tPacotes[ID_Pacote],tPacotes[Pacote])</f>
        <v>Buenos Aires Clássica</v>
      </c>
      <c r="N79" t="str">
        <f>_xlfn.XLOOKUP(E79,tPacotes[ID_Pacote],tPacotes[Categoria])</f>
        <v>Cultural</v>
      </c>
      <c r="O79" t="str">
        <f>_xlfn.XLOOKUP(D79,tClientes[ID_Cliente],tClientes[UF])</f>
        <v>RJ</v>
      </c>
    </row>
    <row r="80" spans="1:15" x14ac:dyDescent="0.3">
      <c r="A80">
        <v>79</v>
      </c>
      <c r="B80" s="3">
        <v>45702</v>
      </c>
      <c r="C80" s="3">
        <v>45712</v>
      </c>
      <c r="D80">
        <v>159</v>
      </c>
      <c r="E80">
        <v>6</v>
      </c>
      <c r="F80">
        <v>1</v>
      </c>
      <c r="G80" s="2">
        <v>2100</v>
      </c>
      <c r="H80" s="4">
        <v>0</v>
      </c>
      <c r="I80" s="2">
        <v>2100</v>
      </c>
      <c r="J80" t="s">
        <v>257</v>
      </c>
      <c r="K80" t="s">
        <v>254</v>
      </c>
      <c r="L80">
        <v>5</v>
      </c>
      <c r="M80" t="str">
        <f>_xlfn.XLOOKUP(E80,tPacotes[ID_Pacote],tPacotes[Pacote])</f>
        <v>Foz do Iguaçu</v>
      </c>
      <c r="N80" t="str">
        <f>_xlfn.XLOOKUP(E80,tPacotes[ID_Pacote],tPacotes[Categoria])</f>
        <v>Natureza</v>
      </c>
      <c r="O80" t="str">
        <f>_xlfn.XLOOKUP(D80,tClientes[ID_Cliente],tClientes[UF])</f>
        <v>SP</v>
      </c>
    </row>
    <row r="81" spans="1:15" x14ac:dyDescent="0.3">
      <c r="A81">
        <v>80</v>
      </c>
      <c r="B81" s="3">
        <v>45702</v>
      </c>
      <c r="C81" s="3">
        <v>45718</v>
      </c>
      <c r="D81">
        <v>93</v>
      </c>
      <c r="E81">
        <v>3</v>
      </c>
      <c r="F81">
        <v>3</v>
      </c>
      <c r="G81" s="2">
        <v>7800</v>
      </c>
      <c r="H81" s="4">
        <v>0</v>
      </c>
      <c r="I81" s="2">
        <v>7800</v>
      </c>
      <c r="J81" t="s">
        <v>253</v>
      </c>
      <c r="K81" t="s">
        <v>254</v>
      </c>
      <c r="L81">
        <v>4</v>
      </c>
      <c r="M81" t="str">
        <f>_xlfn.XLOOKUP(E81,tPacotes[ID_Pacote],tPacotes[Pacote])</f>
        <v>Serra Gaúcha</v>
      </c>
      <c r="N81" t="str">
        <f>_xlfn.XLOOKUP(E81,tPacotes[ID_Pacote],tPacotes[Categoria])</f>
        <v>Inverno</v>
      </c>
      <c r="O81" t="str">
        <f>_xlfn.XLOOKUP(D81,tClientes[ID_Cliente],tClientes[UF])</f>
        <v>DF</v>
      </c>
    </row>
    <row r="82" spans="1:15" x14ac:dyDescent="0.3">
      <c r="A82">
        <v>81</v>
      </c>
      <c r="B82" s="3">
        <v>45704</v>
      </c>
      <c r="C82" s="3">
        <v>45710</v>
      </c>
      <c r="D82">
        <v>20</v>
      </c>
      <c r="E82">
        <v>11</v>
      </c>
      <c r="F82">
        <v>2</v>
      </c>
      <c r="G82" s="2">
        <v>31600</v>
      </c>
      <c r="H82" s="4">
        <v>0</v>
      </c>
      <c r="I82" s="2">
        <v>31600</v>
      </c>
      <c r="J82" t="s">
        <v>255</v>
      </c>
      <c r="K82" t="s">
        <v>254</v>
      </c>
      <c r="L82">
        <v>5</v>
      </c>
      <c r="M82" t="str">
        <f>_xlfn.XLOOKUP(E82,tPacotes[ID_Pacote],tPacotes[Pacote])</f>
        <v>Paris e Londres</v>
      </c>
      <c r="N82" t="str">
        <f>_xlfn.XLOOKUP(E82,tPacotes[ID_Pacote],tPacotes[Categoria])</f>
        <v>Cultural</v>
      </c>
      <c r="O82" t="str">
        <f>_xlfn.XLOOKUP(D82,tClientes[ID_Cliente],tClientes[UF])</f>
        <v>PR</v>
      </c>
    </row>
    <row r="83" spans="1:15" x14ac:dyDescent="0.3">
      <c r="A83">
        <v>82</v>
      </c>
      <c r="B83" s="3">
        <v>45704</v>
      </c>
      <c r="C83" s="3">
        <v>45763</v>
      </c>
      <c r="D83">
        <v>53</v>
      </c>
      <c r="E83">
        <v>4</v>
      </c>
      <c r="F83">
        <v>1</v>
      </c>
      <c r="G83" s="2">
        <v>6900</v>
      </c>
      <c r="H83" s="4">
        <v>0</v>
      </c>
      <c r="I83" s="2">
        <v>6900</v>
      </c>
      <c r="J83" t="s">
        <v>256</v>
      </c>
      <c r="K83" t="s">
        <v>258</v>
      </c>
      <c r="M83" t="str">
        <f>_xlfn.XLOOKUP(E83,tPacotes[ID_Pacote],tPacotes[Pacote])</f>
        <v>Fernando de Noronha</v>
      </c>
      <c r="N83" t="str">
        <f>_xlfn.XLOOKUP(E83,tPacotes[ID_Pacote],tPacotes[Categoria])</f>
        <v>Praia</v>
      </c>
      <c r="O83" t="str">
        <f>_xlfn.XLOOKUP(D83,tClientes[ID_Cliente],tClientes[UF])</f>
        <v>RJ</v>
      </c>
    </row>
    <row r="84" spans="1:15" x14ac:dyDescent="0.3">
      <c r="A84">
        <v>83</v>
      </c>
      <c r="B84" s="3">
        <v>45705</v>
      </c>
      <c r="C84" s="3">
        <v>45882</v>
      </c>
      <c r="D84">
        <v>122</v>
      </c>
      <c r="E84">
        <v>2</v>
      </c>
      <c r="F84">
        <v>2</v>
      </c>
      <c r="G84" s="2">
        <v>3600</v>
      </c>
      <c r="H84" s="4">
        <v>0.05</v>
      </c>
      <c r="I84" s="2">
        <v>3420</v>
      </c>
      <c r="J84" t="s">
        <v>257</v>
      </c>
      <c r="K84" t="s">
        <v>254</v>
      </c>
      <c r="L84">
        <v>4</v>
      </c>
      <c r="M84" t="str">
        <f>_xlfn.XLOOKUP(E84,tPacotes[ID_Pacote],tPacotes[Pacote])</f>
        <v>Rio Cidade Maravilhosa</v>
      </c>
      <c r="N84" t="str">
        <f>_xlfn.XLOOKUP(E84,tPacotes[ID_Pacote],tPacotes[Categoria])</f>
        <v>Cultural</v>
      </c>
      <c r="O84" t="str">
        <f>_xlfn.XLOOKUP(D84,tClientes[ID_Cliente],tClientes[UF])</f>
        <v>PR</v>
      </c>
    </row>
    <row r="85" spans="1:15" x14ac:dyDescent="0.3">
      <c r="A85">
        <v>84</v>
      </c>
      <c r="B85" s="3">
        <v>45705</v>
      </c>
      <c r="C85" s="3">
        <v>45714</v>
      </c>
      <c r="D85">
        <v>130</v>
      </c>
      <c r="E85">
        <v>9</v>
      </c>
      <c r="F85">
        <v>2</v>
      </c>
      <c r="G85" s="2">
        <v>17800</v>
      </c>
      <c r="H85" s="4">
        <v>0</v>
      </c>
      <c r="I85" s="2">
        <v>17800</v>
      </c>
      <c r="J85" t="s">
        <v>253</v>
      </c>
      <c r="K85" t="s">
        <v>254</v>
      </c>
      <c r="L85">
        <v>2</v>
      </c>
      <c r="M85" t="str">
        <f>_xlfn.XLOOKUP(E85,tPacotes[ID_Pacote],tPacotes[Pacote])</f>
        <v>Cancún All Inclusive</v>
      </c>
      <c r="N85" t="str">
        <f>_xlfn.XLOOKUP(E85,tPacotes[ID_Pacote],tPacotes[Categoria])</f>
        <v>Praia</v>
      </c>
      <c r="O85" t="str">
        <f>_xlfn.XLOOKUP(D85,tClientes[ID_Cliente],tClientes[UF])</f>
        <v>SP</v>
      </c>
    </row>
    <row r="86" spans="1:15" x14ac:dyDescent="0.3">
      <c r="A86">
        <v>85</v>
      </c>
      <c r="B86" s="3">
        <v>45706</v>
      </c>
      <c r="C86" s="3">
        <v>45718</v>
      </c>
      <c r="D86">
        <v>52</v>
      </c>
      <c r="E86">
        <v>5</v>
      </c>
      <c r="F86">
        <v>1</v>
      </c>
      <c r="G86" s="2">
        <v>3400</v>
      </c>
      <c r="H86" s="4">
        <v>0.15</v>
      </c>
      <c r="I86" s="2">
        <v>2890</v>
      </c>
      <c r="J86" t="s">
        <v>255</v>
      </c>
      <c r="K86" t="s">
        <v>254</v>
      </c>
      <c r="L86">
        <v>2</v>
      </c>
      <c r="M86" t="str">
        <f>_xlfn.XLOOKUP(E86,tPacotes[ID_Pacote],tPacotes[Pacote])</f>
        <v>Bonito Aventura</v>
      </c>
      <c r="N86" t="str">
        <f>_xlfn.XLOOKUP(E86,tPacotes[ID_Pacote],tPacotes[Categoria])</f>
        <v>Aventura</v>
      </c>
      <c r="O86" t="str">
        <f>_xlfn.XLOOKUP(D86,tClientes[ID_Cliente],tClientes[UF])</f>
        <v>SP</v>
      </c>
    </row>
    <row r="87" spans="1:15" x14ac:dyDescent="0.3">
      <c r="A87">
        <v>86</v>
      </c>
      <c r="B87" s="3">
        <v>45707</v>
      </c>
      <c r="C87" s="3">
        <v>45849</v>
      </c>
      <c r="D87">
        <v>133</v>
      </c>
      <c r="E87">
        <v>3</v>
      </c>
      <c r="F87">
        <v>4</v>
      </c>
      <c r="G87" s="2">
        <v>10400</v>
      </c>
      <c r="H87" s="4">
        <v>0.05</v>
      </c>
      <c r="I87" s="2">
        <v>9880</v>
      </c>
      <c r="J87" t="s">
        <v>255</v>
      </c>
      <c r="K87" t="s">
        <v>254</v>
      </c>
      <c r="L87">
        <v>3</v>
      </c>
      <c r="M87" t="str">
        <f>_xlfn.XLOOKUP(E87,tPacotes[ID_Pacote],tPacotes[Pacote])</f>
        <v>Serra Gaúcha</v>
      </c>
      <c r="N87" t="str">
        <f>_xlfn.XLOOKUP(E87,tPacotes[ID_Pacote],tPacotes[Categoria])</f>
        <v>Inverno</v>
      </c>
      <c r="O87" t="str">
        <f>_xlfn.XLOOKUP(D87,tClientes[ID_Cliente],tClientes[UF])</f>
        <v>SP</v>
      </c>
    </row>
    <row r="88" spans="1:15" x14ac:dyDescent="0.3">
      <c r="A88">
        <v>87</v>
      </c>
      <c r="B88" s="3">
        <v>45707</v>
      </c>
      <c r="C88" s="3">
        <v>45726</v>
      </c>
      <c r="D88">
        <v>144</v>
      </c>
      <c r="E88">
        <v>14</v>
      </c>
      <c r="F88">
        <v>1</v>
      </c>
      <c r="G88" s="2">
        <v>2900</v>
      </c>
      <c r="H88" s="4">
        <v>0</v>
      </c>
      <c r="I88" s="2">
        <v>2900</v>
      </c>
      <c r="J88" t="s">
        <v>256</v>
      </c>
      <c r="K88" t="s">
        <v>258</v>
      </c>
      <c r="M88" t="str">
        <f>_xlfn.XLOOKUP(E88,tPacotes[ID_Pacote],tPacotes[Pacote])</f>
        <v>Lençóis Maranhenses</v>
      </c>
      <c r="N88" t="str">
        <f>_xlfn.XLOOKUP(E88,tPacotes[ID_Pacote],tPacotes[Categoria])</f>
        <v>Natureza</v>
      </c>
      <c r="O88" t="str">
        <f>_xlfn.XLOOKUP(D88,tClientes[ID_Cliente],tClientes[UF])</f>
        <v>DF</v>
      </c>
    </row>
    <row r="89" spans="1:15" x14ac:dyDescent="0.3">
      <c r="A89">
        <v>88</v>
      </c>
      <c r="B89" s="3">
        <v>45708</v>
      </c>
      <c r="C89" s="3">
        <v>45760</v>
      </c>
      <c r="D89">
        <v>185</v>
      </c>
      <c r="E89">
        <v>15</v>
      </c>
      <c r="F89">
        <v>4</v>
      </c>
      <c r="G89" s="2">
        <v>12400</v>
      </c>
      <c r="H89" s="4">
        <v>0.1</v>
      </c>
      <c r="I89" s="2">
        <v>11160</v>
      </c>
      <c r="J89" t="s">
        <v>255</v>
      </c>
      <c r="K89" t="s">
        <v>254</v>
      </c>
      <c r="L89">
        <v>4</v>
      </c>
      <c r="M89" t="str">
        <f>_xlfn.XLOOKUP(E89,tPacotes[ID_Pacote],tPacotes[Pacote])</f>
        <v>Jericoacoara</v>
      </c>
      <c r="N89" t="str">
        <f>_xlfn.XLOOKUP(E89,tPacotes[ID_Pacote],tPacotes[Categoria])</f>
        <v>Praia</v>
      </c>
      <c r="O89" t="str">
        <f>_xlfn.XLOOKUP(D89,tClientes[ID_Cliente],tClientes[UF])</f>
        <v>SP</v>
      </c>
    </row>
    <row r="90" spans="1:15" x14ac:dyDescent="0.3">
      <c r="A90">
        <v>89</v>
      </c>
      <c r="B90" s="3">
        <v>45709</v>
      </c>
      <c r="C90" s="3">
        <v>45722</v>
      </c>
      <c r="D90">
        <v>102</v>
      </c>
      <c r="E90">
        <v>5</v>
      </c>
      <c r="F90">
        <v>2</v>
      </c>
      <c r="G90" s="2">
        <v>6800</v>
      </c>
      <c r="H90" s="4">
        <v>0.1</v>
      </c>
      <c r="I90" s="2">
        <v>6120</v>
      </c>
      <c r="J90" t="s">
        <v>257</v>
      </c>
      <c r="K90" t="s">
        <v>254</v>
      </c>
      <c r="L90">
        <v>5</v>
      </c>
      <c r="M90" t="str">
        <f>_xlfn.XLOOKUP(E90,tPacotes[ID_Pacote],tPacotes[Pacote])</f>
        <v>Bonito Aventura</v>
      </c>
      <c r="N90" t="str">
        <f>_xlfn.XLOOKUP(E90,tPacotes[ID_Pacote],tPacotes[Categoria])</f>
        <v>Aventura</v>
      </c>
      <c r="O90" t="str">
        <f>_xlfn.XLOOKUP(D90,tClientes[ID_Cliente],tClientes[UF])</f>
        <v>PR</v>
      </c>
    </row>
    <row r="91" spans="1:15" x14ac:dyDescent="0.3">
      <c r="A91">
        <v>90</v>
      </c>
      <c r="B91" s="3">
        <v>45710</v>
      </c>
      <c r="C91" s="3">
        <v>45727</v>
      </c>
      <c r="D91">
        <v>74</v>
      </c>
      <c r="E91">
        <v>15</v>
      </c>
      <c r="F91">
        <v>4</v>
      </c>
      <c r="G91" s="2">
        <v>12400</v>
      </c>
      <c r="H91" s="4">
        <v>0.05</v>
      </c>
      <c r="I91" s="2">
        <v>11780</v>
      </c>
      <c r="J91" t="s">
        <v>253</v>
      </c>
      <c r="K91" t="s">
        <v>254</v>
      </c>
      <c r="L91">
        <v>5</v>
      </c>
      <c r="M91" t="str">
        <f>_xlfn.XLOOKUP(E91,tPacotes[ID_Pacote],tPacotes[Pacote])</f>
        <v>Jericoacoara</v>
      </c>
      <c r="N91" t="str">
        <f>_xlfn.XLOOKUP(E91,tPacotes[ID_Pacote],tPacotes[Categoria])</f>
        <v>Praia</v>
      </c>
      <c r="O91" t="str">
        <f>_xlfn.XLOOKUP(D91,tClientes[ID_Cliente],tClientes[UF])</f>
        <v>SP</v>
      </c>
    </row>
    <row r="92" spans="1:15" x14ac:dyDescent="0.3">
      <c r="A92">
        <v>91</v>
      </c>
      <c r="B92" s="3">
        <v>45710</v>
      </c>
      <c r="C92" s="3">
        <v>45727</v>
      </c>
      <c r="D92">
        <v>25</v>
      </c>
      <c r="E92">
        <v>7</v>
      </c>
      <c r="F92">
        <v>4</v>
      </c>
      <c r="G92" s="2">
        <v>16800</v>
      </c>
      <c r="H92" s="4">
        <v>0</v>
      </c>
      <c r="I92" s="2">
        <v>16800</v>
      </c>
      <c r="J92" t="s">
        <v>255</v>
      </c>
      <c r="K92" t="s">
        <v>254</v>
      </c>
      <c r="L92">
        <v>1</v>
      </c>
      <c r="M92" t="str">
        <f>_xlfn.XLOOKUP(E92,tPacotes[ID_Pacote],tPacotes[Pacote])</f>
        <v>Buenos Aires Clássica</v>
      </c>
      <c r="N92" t="str">
        <f>_xlfn.XLOOKUP(E92,tPacotes[ID_Pacote],tPacotes[Categoria])</f>
        <v>Cultural</v>
      </c>
      <c r="O92" t="str">
        <f>_xlfn.XLOOKUP(D92,tClientes[ID_Cliente],tClientes[UF])</f>
        <v>PE</v>
      </c>
    </row>
    <row r="93" spans="1:15" x14ac:dyDescent="0.3">
      <c r="A93">
        <v>92</v>
      </c>
      <c r="B93" s="3">
        <v>45711</v>
      </c>
      <c r="C93" s="3">
        <v>45885</v>
      </c>
      <c r="D93">
        <v>3</v>
      </c>
      <c r="E93">
        <v>10</v>
      </c>
      <c r="F93">
        <v>3</v>
      </c>
      <c r="G93" s="2">
        <v>34500</v>
      </c>
      <c r="H93" s="4">
        <v>0</v>
      </c>
      <c r="I93" s="2">
        <v>34500</v>
      </c>
      <c r="J93" t="s">
        <v>257</v>
      </c>
      <c r="K93" t="s">
        <v>254</v>
      </c>
      <c r="L93">
        <v>5</v>
      </c>
      <c r="M93" t="str">
        <f>_xlfn.XLOOKUP(E93,tPacotes[ID_Pacote],tPacotes[Pacote])</f>
        <v>Orlando Parques</v>
      </c>
      <c r="N93" t="str">
        <f>_xlfn.XLOOKUP(E93,tPacotes[ID_Pacote],tPacotes[Categoria])</f>
        <v>Parques</v>
      </c>
      <c r="O93" t="str">
        <f>_xlfn.XLOOKUP(D93,tClientes[ID_Cliente],tClientes[UF])</f>
        <v>SP</v>
      </c>
    </row>
    <row r="94" spans="1:15" x14ac:dyDescent="0.3">
      <c r="A94">
        <v>93</v>
      </c>
      <c r="B94" s="3">
        <v>45711</v>
      </c>
      <c r="C94" s="3">
        <v>45747</v>
      </c>
      <c r="D94">
        <v>87</v>
      </c>
      <c r="E94">
        <v>11</v>
      </c>
      <c r="F94">
        <v>3</v>
      </c>
      <c r="G94" s="2">
        <v>47400</v>
      </c>
      <c r="H94" s="4">
        <v>0.05</v>
      </c>
      <c r="I94" s="2">
        <v>45030</v>
      </c>
      <c r="J94" t="s">
        <v>255</v>
      </c>
      <c r="K94" t="s">
        <v>258</v>
      </c>
      <c r="M94" t="str">
        <f>_xlfn.XLOOKUP(E94,tPacotes[ID_Pacote],tPacotes[Pacote])</f>
        <v>Paris e Londres</v>
      </c>
      <c r="N94" t="str">
        <f>_xlfn.XLOOKUP(E94,tPacotes[ID_Pacote],tPacotes[Categoria])</f>
        <v>Cultural</v>
      </c>
      <c r="O94" t="str">
        <f>_xlfn.XLOOKUP(D94,tClientes[ID_Cliente],tClientes[UF])</f>
        <v>SP</v>
      </c>
    </row>
    <row r="95" spans="1:15" x14ac:dyDescent="0.3">
      <c r="A95">
        <v>94</v>
      </c>
      <c r="B95" s="3">
        <v>45712</v>
      </c>
      <c r="C95" s="3">
        <v>45731</v>
      </c>
      <c r="D95">
        <v>135</v>
      </c>
      <c r="E95">
        <v>7</v>
      </c>
      <c r="F95">
        <v>2</v>
      </c>
      <c r="G95" s="2">
        <v>8400</v>
      </c>
      <c r="H95" s="4">
        <v>0.05</v>
      </c>
      <c r="I95" s="2">
        <v>7980</v>
      </c>
      <c r="J95" t="s">
        <v>255</v>
      </c>
      <c r="K95" t="s">
        <v>254</v>
      </c>
      <c r="L95">
        <v>4</v>
      </c>
      <c r="M95" t="str">
        <f>_xlfn.XLOOKUP(E95,tPacotes[ID_Pacote],tPacotes[Pacote])</f>
        <v>Buenos Aires Clássica</v>
      </c>
      <c r="N95" t="str">
        <f>_xlfn.XLOOKUP(E95,tPacotes[ID_Pacote],tPacotes[Categoria])</f>
        <v>Cultural</v>
      </c>
      <c r="O95" t="str">
        <f>_xlfn.XLOOKUP(D95,tClientes[ID_Cliente],tClientes[UF])</f>
        <v>RJ</v>
      </c>
    </row>
    <row r="96" spans="1:15" x14ac:dyDescent="0.3">
      <c r="A96">
        <v>95</v>
      </c>
      <c r="B96" s="3">
        <v>45713</v>
      </c>
      <c r="C96" s="3">
        <v>45791</v>
      </c>
      <c r="D96">
        <v>52</v>
      </c>
      <c r="E96">
        <v>7</v>
      </c>
      <c r="F96">
        <v>4</v>
      </c>
      <c r="G96" s="2">
        <v>16800</v>
      </c>
      <c r="H96" s="4">
        <v>0</v>
      </c>
      <c r="I96" s="2">
        <v>16800</v>
      </c>
      <c r="J96" t="s">
        <v>255</v>
      </c>
      <c r="K96" t="s">
        <v>254</v>
      </c>
      <c r="L96">
        <v>5</v>
      </c>
      <c r="M96" t="str">
        <f>_xlfn.XLOOKUP(E96,tPacotes[ID_Pacote],tPacotes[Pacote])</f>
        <v>Buenos Aires Clássica</v>
      </c>
      <c r="N96" t="str">
        <f>_xlfn.XLOOKUP(E96,tPacotes[ID_Pacote],tPacotes[Categoria])</f>
        <v>Cultural</v>
      </c>
      <c r="O96" t="str">
        <f>_xlfn.XLOOKUP(D96,tClientes[ID_Cliente],tClientes[UF])</f>
        <v>SP</v>
      </c>
    </row>
    <row r="97" spans="1:15" x14ac:dyDescent="0.3">
      <c r="A97">
        <v>96</v>
      </c>
      <c r="B97" s="3">
        <v>45713</v>
      </c>
      <c r="C97" s="3">
        <v>45719</v>
      </c>
      <c r="D97">
        <v>19</v>
      </c>
      <c r="E97">
        <v>1</v>
      </c>
      <c r="F97">
        <v>4</v>
      </c>
      <c r="G97" s="2">
        <v>12800</v>
      </c>
      <c r="H97" s="4">
        <v>0.1</v>
      </c>
      <c r="I97" s="2">
        <v>11520</v>
      </c>
      <c r="J97" t="s">
        <v>253</v>
      </c>
      <c r="K97" t="s">
        <v>254</v>
      </c>
      <c r="L97">
        <v>4</v>
      </c>
      <c r="M97" t="str">
        <f>_xlfn.XLOOKUP(E97,tPacotes[ID_Pacote],tPacotes[Pacote])</f>
        <v>Nordeste Encantado</v>
      </c>
      <c r="N97" t="str">
        <f>_xlfn.XLOOKUP(E97,tPacotes[ID_Pacote],tPacotes[Categoria])</f>
        <v>Praia</v>
      </c>
      <c r="O97" t="str">
        <f>_xlfn.XLOOKUP(D97,tClientes[ID_Cliente],tClientes[UF])</f>
        <v>SP</v>
      </c>
    </row>
    <row r="98" spans="1:15" x14ac:dyDescent="0.3">
      <c r="A98">
        <v>97</v>
      </c>
      <c r="B98" s="3">
        <v>45714</v>
      </c>
      <c r="C98" s="3">
        <v>45784</v>
      </c>
      <c r="D98">
        <v>137</v>
      </c>
      <c r="E98">
        <v>12</v>
      </c>
      <c r="F98">
        <v>2</v>
      </c>
      <c r="G98" s="2">
        <v>24800</v>
      </c>
      <c r="H98" s="4">
        <v>0</v>
      </c>
      <c r="I98" s="2">
        <v>24800</v>
      </c>
      <c r="J98" t="s">
        <v>253</v>
      </c>
      <c r="K98" t="s">
        <v>254</v>
      </c>
      <c r="L98">
        <v>5</v>
      </c>
      <c r="M98" t="str">
        <f>_xlfn.XLOOKUP(E98,tPacotes[ID_Pacote],tPacotes[Pacote])</f>
        <v>Lisboa e Porto</v>
      </c>
      <c r="N98" t="str">
        <f>_xlfn.XLOOKUP(E98,tPacotes[ID_Pacote],tPacotes[Categoria])</f>
        <v>Cultural</v>
      </c>
      <c r="O98" t="str">
        <f>_xlfn.XLOOKUP(D98,tClientes[ID_Cliente],tClientes[UF])</f>
        <v>SP</v>
      </c>
    </row>
    <row r="99" spans="1:15" x14ac:dyDescent="0.3">
      <c r="A99">
        <v>98</v>
      </c>
      <c r="B99" s="3">
        <v>45714</v>
      </c>
      <c r="C99" s="3">
        <v>45794</v>
      </c>
      <c r="D99">
        <v>142</v>
      </c>
      <c r="E99">
        <v>2</v>
      </c>
      <c r="F99">
        <v>2</v>
      </c>
      <c r="G99" s="2">
        <v>3600</v>
      </c>
      <c r="H99" s="4">
        <v>0</v>
      </c>
      <c r="I99" s="2">
        <v>3600</v>
      </c>
      <c r="J99" t="s">
        <v>257</v>
      </c>
      <c r="K99" t="s">
        <v>254</v>
      </c>
      <c r="L99">
        <v>3</v>
      </c>
      <c r="M99" t="str">
        <f>_xlfn.XLOOKUP(E99,tPacotes[ID_Pacote],tPacotes[Pacote])</f>
        <v>Rio Cidade Maravilhosa</v>
      </c>
      <c r="N99" t="str">
        <f>_xlfn.XLOOKUP(E99,tPacotes[ID_Pacote],tPacotes[Categoria])</f>
        <v>Cultural</v>
      </c>
      <c r="O99" t="str">
        <f>_xlfn.XLOOKUP(D99,tClientes[ID_Cliente],tClientes[UF])</f>
        <v>RJ</v>
      </c>
    </row>
    <row r="100" spans="1:15" x14ac:dyDescent="0.3">
      <c r="A100">
        <v>99</v>
      </c>
      <c r="B100" s="3">
        <v>45714</v>
      </c>
      <c r="C100" s="3">
        <v>45734</v>
      </c>
      <c r="D100">
        <v>51</v>
      </c>
      <c r="E100">
        <v>1</v>
      </c>
      <c r="F100">
        <v>2</v>
      </c>
      <c r="G100" s="2">
        <v>6400</v>
      </c>
      <c r="H100" s="4">
        <v>0.1</v>
      </c>
      <c r="I100" s="2">
        <v>5760</v>
      </c>
      <c r="J100" t="s">
        <v>256</v>
      </c>
      <c r="K100" t="s">
        <v>254</v>
      </c>
      <c r="L100">
        <v>4</v>
      </c>
      <c r="M100" t="str">
        <f>_xlfn.XLOOKUP(E100,tPacotes[ID_Pacote],tPacotes[Pacote])</f>
        <v>Nordeste Encantado</v>
      </c>
      <c r="N100" t="str">
        <f>_xlfn.XLOOKUP(E100,tPacotes[ID_Pacote],tPacotes[Categoria])</f>
        <v>Praia</v>
      </c>
      <c r="O100" t="str">
        <f>_xlfn.XLOOKUP(D100,tClientes[ID_Cliente],tClientes[UF])</f>
        <v>RJ</v>
      </c>
    </row>
    <row r="101" spans="1:15" x14ac:dyDescent="0.3">
      <c r="A101">
        <v>100</v>
      </c>
      <c r="B101" s="3">
        <v>45715</v>
      </c>
      <c r="C101" s="3">
        <v>45730</v>
      </c>
      <c r="D101">
        <v>64</v>
      </c>
      <c r="E101">
        <v>5</v>
      </c>
      <c r="F101">
        <v>3</v>
      </c>
      <c r="G101" s="2">
        <v>10200</v>
      </c>
      <c r="H101" s="4">
        <v>0.1</v>
      </c>
      <c r="I101" s="2">
        <v>9180</v>
      </c>
      <c r="J101" t="s">
        <v>253</v>
      </c>
      <c r="K101" t="s">
        <v>254</v>
      </c>
      <c r="L101">
        <v>4</v>
      </c>
      <c r="M101" t="str">
        <f>_xlfn.XLOOKUP(E101,tPacotes[ID_Pacote],tPacotes[Pacote])</f>
        <v>Bonito Aventura</v>
      </c>
      <c r="N101" t="str">
        <f>_xlfn.XLOOKUP(E101,tPacotes[ID_Pacote],tPacotes[Categoria])</f>
        <v>Aventura</v>
      </c>
      <c r="O101" t="str">
        <f>_xlfn.XLOOKUP(D101,tClientes[ID_Cliente],tClientes[UF])</f>
        <v>PE</v>
      </c>
    </row>
    <row r="102" spans="1:15" x14ac:dyDescent="0.3">
      <c r="A102">
        <v>101</v>
      </c>
      <c r="B102" s="3">
        <v>45716</v>
      </c>
      <c r="C102" s="3">
        <v>45741</v>
      </c>
      <c r="D102">
        <v>41</v>
      </c>
      <c r="E102">
        <v>11</v>
      </c>
      <c r="F102">
        <v>2</v>
      </c>
      <c r="G102" s="2">
        <v>31600</v>
      </c>
      <c r="H102" s="4">
        <v>0</v>
      </c>
      <c r="I102" s="2">
        <v>31600</v>
      </c>
      <c r="J102" t="s">
        <v>253</v>
      </c>
      <c r="K102" t="s">
        <v>254</v>
      </c>
      <c r="L102">
        <v>5</v>
      </c>
      <c r="M102" t="str">
        <f>_xlfn.XLOOKUP(E102,tPacotes[ID_Pacote],tPacotes[Pacote])</f>
        <v>Paris e Londres</v>
      </c>
      <c r="N102" t="str">
        <f>_xlfn.XLOOKUP(E102,tPacotes[ID_Pacote],tPacotes[Categoria])</f>
        <v>Cultural</v>
      </c>
      <c r="O102" t="str">
        <f>_xlfn.XLOOKUP(D102,tClientes[ID_Cliente],tClientes[UF])</f>
        <v>RS</v>
      </c>
    </row>
    <row r="103" spans="1:15" x14ac:dyDescent="0.3">
      <c r="A103">
        <v>102</v>
      </c>
      <c r="B103" s="3">
        <v>45716</v>
      </c>
      <c r="C103" s="3">
        <v>45735</v>
      </c>
      <c r="D103">
        <v>125</v>
      </c>
      <c r="E103">
        <v>1</v>
      </c>
      <c r="F103">
        <v>2</v>
      </c>
      <c r="G103" s="2">
        <v>6400</v>
      </c>
      <c r="H103" s="4">
        <v>0</v>
      </c>
      <c r="I103" s="2">
        <v>6400</v>
      </c>
      <c r="J103" t="s">
        <v>253</v>
      </c>
      <c r="K103" t="s">
        <v>254</v>
      </c>
      <c r="L103">
        <v>3</v>
      </c>
      <c r="M103" t="str">
        <f>_xlfn.XLOOKUP(E103,tPacotes[ID_Pacote],tPacotes[Pacote])</f>
        <v>Nordeste Encantado</v>
      </c>
      <c r="N103" t="str">
        <f>_xlfn.XLOOKUP(E103,tPacotes[ID_Pacote],tPacotes[Categoria])</f>
        <v>Praia</v>
      </c>
      <c r="O103" t="str">
        <f>_xlfn.XLOOKUP(D103,tClientes[ID_Cliente],tClientes[UF])</f>
        <v>MG</v>
      </c>
    </row>
    <row r="104" spans="1:15" x14ac:dyDescent="0.3">
      <c r="A104">
        <v>103</v>
      </c>
      <c r="B104" s="3">
        <v>45716</v>
      </c>
      <c r="C104" s="3">
        <v>45793</v>
      </c>
      <c r="D104">
        <v>29</v>
      </c>
      <c r="E104">
        <v>3</v>
      </c>
      <c r="F104">
        <v>1</v>
      </c>
      <c r="G104" s="2">
        <v>2600</v>
      </c>
      <c r="H104" s="4">
        <v>0</v>
      </c>
      <c r="I104" s="2">
        <v>2600</v>
      </c>
      <c r="J104" t="s">
        <v>253</v>
      </c>
      <c r="K104" t="s">
        <v>258</v>
      </c>
      <c r="M104" t="str">
        <f>_xlfn.XLOOKUP(E104,tPacotes[ID_Pacote],tPacotes[Pacote])</f>
        <v>Serra Gaúcha</v>
      </c>
      <c r="N104" t="str">
        <f>_xlfn.XLOOKUP(E104,tPacotes[ID_Pacote],tPacotes[Categoria])</f>
        <v>Inverno</v>
      </c>
      <c r="O104" t="str">
        <f>_xlfn.XLOOKUP(D104,tClientes[ID_Cliente],tClientes[UF])</f>
        <v>SP</v>
      </c>
    </row>
    <row r="105" spans="1:15" x14ac:dyDescent="0.3">
      <c r="A105">
        <v>104</v>
      </c>
      <c r="B105" s="3">
        <v>45717</v>
      </c>
      <c r="C105" s="3">
        <v>45851</v>
      </c>
      <c r="D105">
        <v>26</v>
      </c>
      <c r="E105">
        <v>13</v>
      </c>
      <c r="F105">
        <v>2</v>
      </c>
      <c r="G105" s="2">
        <v>14600</v>
      </c>
      <c r="H105" s="4">
        <v>0.1</v>
      </c>
      <c r="I105" s="2">
        <v>13140</v>
      </c>
      <c r="J105" t="s">
        <v>255</v>
      </c>
      <c r="K105" t="s">
        <v>254</v>
      </c>
      <c r="L105">
        <v>4</v>
      </c>
      <c r="M105" t="str">
        <f>_xlfn.XLOOKUP(E105,tPacotes[ID_Pacote],tPacotes[Pacote])</f>
        <v>Machu Picchu</v>
      </c>
      <c r="N105" t="str">
        <f>_xlfn.XLOOKUP(E105,tPacotes[ID_Pacote],tPacotes[Categoria])</f>
        <v>Aventura</v>
      </c>
      <c r="O105" t="str">
        <f>_xlfn.XLOOKUP(D105,tClientes[ID_Cliente],tClientes[UF])</f>
        <v>SP</v>
      </c>
    </row>
    <row r="106" spans="1:15" x14ac:dyDescent="0.3">
      <c r="A106">
        <v>105</v>
      </c>
      <c r="B106" s="3">
        <v>45717</v>
      </c>
      <c r="C106" s="3">
        <v>45735</v>
      </c>
      <c r="D106">
        <v>68</v>
      </c>
      <c r="E106">
        <v>15</v>
      </c>
      <c r="F106">
        <v>1</v>
      </c>
      <c r="G106" s="2">
        <v>3100</v>
      </c>
      <c r="H106" s="4">
        <v>0.15</v>
      </c>
      <c r="I106" s="2">
        <v>2635</v>
      </c>
      <c r="J106" t="s">
        <v>253</v>
      </c>
      <c r="K106" t="s">
        <v>254</v>
      </c>
      <c r="L106">
        <v>5</v>
      </c>
      <c r="M106" t="str">
        <f>_xlfn.XLOOKUP(E106,tPacotes[ID_Pacote],tPacotes[Pacote])</f>
        <v>Jericoacoara</v>
      </c>
      <c r="N106" t="str">
        <f>_xlfn.XLOOKUP(E106,tPacotes[ID_Pacote],tPacotes[Categoria])</f>
        <v>Praia</v>
      </c>
      <c r="O106" t="str">
        <f>_xlfn.XLOOKUP(D106,tClientes[ID_Cliente],tClientes[UF])</f>
        <v>BA</v>
      </c>
    </row>
    <row r="107" spans="1:15" x14ac:dyDescent="0.3">
      <c r="A107">
        <v>106</v>
      </c>
      <c r="B107" s="3">
        <v>45719</v>
      </c>
      <c r="C107" s="3">
        <v>45772</v>
      </c>
      <c r="D107">
        <v>171</v>
      </c>
      <c r="E107">
        <v>4</v>
      </c>
      <c r="F107">
        <v>1</v>
      </c>
      <c r="G107" s="2">
        <v>6900</v>
      </c>
      <c r="H107" s="4">
        <v>0</v>
      </c>
      <c r="I107" s="2">
        <v>6900</v>
      </c>
      <c r="J107" t="s">
        <v>253</v>
      </c>
      <c r="K107" t="s">
        <v>254</v>
      </c>
      <c r="L107">
        <v>5</v>
      </c>
      <c r="M107" t="str">
        <f>_xlfn.XLOOKUP(E107,tPacotes[ID_Pacote],tPacotes[Pacote])</f>
        <v>Fernando de Noronha</v>
      </c>
      <c r="N107" t="str">
        <f>_xlfn.XLOOKUP(E107,tPacotes[ID_Pacote],tPacotes[Categoria])</f>
        <v>Praia</v>
      </c>
      <c r="O107" t="str">
        <f>_xlfn.XLOOKUP(D107,tClientes[ID_Cliente],tClientes[UF])</f>
        <v>SP</v>
      </c>
    </row>
    <row r="108" spans="1:15" x14ac:dyDescent="0.3">
      <c r="A108">
        <v>107</v>
      </c>
      <c r="B108" s="3">
        <v>45719</v>
      </c>
      <c r="C108" s="3">
        <v>45817</v>
      </c>
      <c r="D108">
        <v>168</v>
      </c>
      <c r="E108">
        <v>12</v>
      </c>
      <c r="F108">
        <v>1</v>
      </c>
      <c r="G108" s="2">
        <v>12400</v>
      </c>
      <c r="H108" s="4">
        <v>0.05</v>
      </c>
      <c r="I108" s="2">
        <v>11780</v>
      </c>
      <c r="J108" t="s">
        <v>255</v>
      </c>
      <c r="K108" t="s">
        <v>254</v>
      </c>
      <c r="L108">
        <v>4</v>
      </c>
      <c r="M108" t="str">
        <f>_xlfn.XLOOKUP(E108,tPacotes[ID_Pacote],tPacotes[Pacote])</f>
        <v>Lisboa e Porto</v>
      </c>
      <c r="N108" t="str">
        <f>_xlfn.XLOOKUP(E108,tPacotes[ID_Pacote],tPacotes[Categoria])</f>
        <v>Cultural</v>
      </c>
      <c r="O108" t="str">
        <f>_xlfn.XLOOKUP(D108,tClientes[ID_Cliente],tClientes[UF])</f>
        <v>SP</v>
      </c>
    </row>
    <row r="109" spans="1:15" x14ac:dyDescent="0.3">
      <c r="A109">
        <v>108</v>
      </c>
      <c r="B109" s="3">
        <v>45719</v>
      </c>
      <c r="C109" s="3">
        <v>45858</v>
      </c>
      <c r="D109">
        <v>8</v>
      </c>
      <c r="E109">
        <v>8</v>
      </c>
      <c r="F109">
        <v>4</v>
      </c>
      <c r="G109" s="2">
        <v>23600</v>
      </c>
      <c r="H109" s="4">
        <v>0.1</v>
      </c>
      <c r="I109" s="2">
        <v>21240</v>
      </c>
      <c r="J109" t="s">
        <v>253</v>
      </c>
      <c r="K109" t="s">
        <v>254</v>
      </c>
      <c r="L109">
        <v>5</v>
      </c>
      <c r="M109" t="str">
        <f>_xlfn.XLOOKUP(E109,tPacotes[ID_Pacote],tPacotes[Pacote])</f>
        <v>Santiago e Neve</v>
      </c>
      <c r="N109" t="str">
        <f>_xlfn.XLOOKUP(E109,tPacotes[ID_Pacote],tPacotes[Categoria])</f>
        <v>Inverno</v>
      </c>
      <c r="O109" t="str">
        <f>_xlfn.XLOOKUP(D109,tClientes[ID_Cliente],tClientes[UF])</f>
        <v>SP</v>
      </c>
    </row>
    <row r="110" spans="1:15" x14ac:dyDescent="0.3">
      <c r="A110">
        <v>109</v>
      </c>
      <c r="B110" s="3">
        <v>45720</v>
      </c>
      <c r="C110" s="3">
        <v>45763</v>
      </c>
      <c r="D110">
        <v>108</v>
      </c>
      <c r="E110">
        <v>1</v>
      </c>
      <c r="F110">
        <v>1</v>
      </c>
      <c r="G110" s="2">
        <v>3200</v>
      </c>
      <c r="H110" s="4">
        <v>0</v>
      </c>
      <c r="I110" s="2">
        <v>3200</v>
      </c>
      <c r="J110" t="s">
        <v>253</v>
      </c>
      <c r="K110" t="s">
        <v>258</v>
      </c>
      <c r="M110" t="str">
        <f>_xlfn.XLOOKUP(E110,tPacotes[ID_Pacote],tPacotes[Pacote])</f>
        <v>Nordeste Encantado</v>
      </c>
      <c r="N110" t="str">
        <f>_xlfn.XLOOKUP(E110,tPacotes[ID_Pacote],tPacotes[Categoria])</f>
        <v>Praia</v>
      </c>
      <c r="O110" t="str">
        <f>_xlfn.XLOOKUP(D110,tClientes[ID_Cliente],tClientes[UF])</f>
        <v>MG</v>
      </c>
    </row>
    <row r="111" spans="1:15" x14ac:dyDescent="0.3">
      <c r="A111">
        <v>110</v>
      </c>
      <c r="B111" s="3">
        <v>45720</v>
      </c>
      <c r="C111" s="3">
        <v>45863</v>
      </c>
      <c r="D111">
        <v>21</v>
      </c>
      <c r="E111">
        <v>2</v>
      </c>
      <c r="F111">
        <v>2</v>
      </c>
      <c r="G111" s="2">
        <v>3600</v>
      </c>
      <c r="H111" s="4">
        <v>0.1</v>
      </c>
      <c r="I111" s="2">
        <v>3240</v>
      </c>
      <c r="J111" t="s">
        <v>255</v>
      </c>
      <c r="K111" t="s">
        <v>254</v>
      </c>
      <c r="L111">
        <v>4</v>
      </c>
      <c r="M111" t="str">
        <f>_xlfn.XLOOKUP(E111,tPacotes[ID_Pacote],tPacotes[Pacote])</f>
        <v>Rio Cidade Maravilhosa</v>
      </c>
      <c r="N111" t="str">
        <f>_xlfn.XLOOKUP(E111,tPacotes[ID_Pacote],tPacotes[Categoria])</f>
        <v>Cultural</v>
      </c>
      <c r="O111" t="str">
        <f>_xlfn.XLOOKUP(D111,tClientes[ID_Cliente],tClientes[UF])</f>
        <v>MG</v>
      </c>
    </row>
    <row r="112" spans="1:15" x14ac:dyDescent="0.3">
      <c r="A112">
        <v>111</v>
      </c>
      <c r="B112" s="3">
        <v>45721</v>
      </c>
      <c r="C112" s="3">
        <v>45734</v>
      </c>
      <c r="D112">
        <v>19</v>
      </c>
      <c r="E112">
        <v>12</v>
      </c>
      <c r="F112">
        <v>2</v>
      </c>
      <c r="G112" s="2">
        <v>24800</v>
      </c>
      <c r="H112" s="4">
        <v>0.1</v>
      </c>
      <c r="I112" s="2">
        <v>22320</v>
      </c>
      <c r="J112" t="s">
        <v>257</v>
      </c>
      <c r="K112" t="s">
        <v>254</v>
      </c>
      <c r="L112">
        <v>5</v>
      </c>
      <c r="M112" t="str">
        <f>_xlfn.XLOOKUP(E112,tPacotes[ID_Pacote],tPacotes[Pacote])</f>
        <v>Lisboa e Porto</v>
      </c>
      <c r="N112" t="str">
        <f>_xlfn.XLOOKUP(E112,tPacotes[ID_Pacote],tPacotes[Categoria])</f>
        <v>Cultural</v>
      </c>
      <c r="O112" t="str">
        <f>_xlfn.XLOOKUP(D112,tClientes[ID_Cliente],tClientes[UF])</f>
        <v>SP</v>
      </c>
    </row>
    <row r="113" spans="1:15" x14ac:dyDescent="0.3">
      <c r="A113">
        <v>112</v>
      </c>
      <c r="B113" s="3">
        <v>45722</v>
      </c>
      <c r="C113" s="3">
        <v>45825</v>
      </c>
      <c r="D113">
        <v>135</v>
      </c>
      <c r="E113">
        <v>9</v>
      </c>
      <c r="F113">
        <v>2</v>
      </c>
      <c r="G113" s="2">
        <v>17800</v>
      </c>
      <c r="H113" s="4">
        <v>0</v>
      </c>
      <c r="I113" s="2">
        <v>17800</v>
      </c>
      <c r="J113" t="s">
        <v>257</v>
      </c>
      <c r="K113" t="s">
        <v>254</v>
      </c>
      <c r="L113">
        <v>4</v>
      </c>
      <c r="M113" t="str">
        <f>_xlfn.XLOOKUP(E113,tPacotes[ID_Pacote],tPacotes[Pacote])</f>
        <v>Cancún All Inclusive</v>
      </c>
      <c r="N113" t="str">
        <f>_xlfn.XLOOKUP(E113,tPacotes[ID_Pacote],tPacotes[Categoria])</f>
        <v>Praia</v>
      </c>
      <c r="O113" t="str">
        <f>_xlfn.XLOOKUP(D113,tClientes[ID_Cliente],tClientes[UF])</f>
        <v>RJ</v>
      </c>
    </row>
    <row r="114" spans="1:15" x14ac:dyDescent="0.3">
      <c r="A114">
        <v>113</v>
      </c>
      <c r="B114" s="3">
        <v>45723</v>
      </c>
      <c r="C114" s="3">
        <v>45742</v>
      </c>
      <c r="D114">
        <v>22</v>
      </c>
      <c r="E114">
        <v>15</v>
      </c>
      <c r="F114">
        <v>1</v>
      </c>
      <c r="G114" s="2">
        <v>3100</v>
      </c>
      <c r="H114" s="4">
        <v>0</v>
      </c>
      <c r="I114" s="2">
        <v>3100</v>
      </c>
      <c r="J114" t="s">
        <v>255</v>
      </c>
      <c r="K114" t="s">
        <v>254</v>
      </c>
      <c r="L114">
        <v>5</v>
      </c>
      <c r="M114" t="str">
        <f>_xlfn.XLOOKUP(E114,tPacotes[ID_Pacote],tPacotes[Pacote])</f>
        <v>Jericoacoara</v>
      </c>
      <c r="N114" t="str">
        <f>_xlfn.XLOOKUP(E114,tPacotes[ID_Pacote],tPacotes[Categoria])</f>
        <v>Praia</v>
      </c>
      <c r="O114" t="str">
        <f>_xlfn.XLOOKUP(D114,tClientes[ID_Cliente],tClientes[UF])</f>
        <v>SP</v>
      </c>
    </row>
    <row r="115" spans="1:15" x14ac:dyDescent="0.3">
      <c r="A115">
        <v>114</v>
      </c>
      <c r="B115" s="3">
        <v>45724</v>
      </c>
      <c r="C115" s="3">
        <v>45752</v>
      </c>
      <c r="D115">
        <v>156</v>
      </c>
      <c r="E115">
        <v>3</v>
      </c>
      <c r="F115">
        <v>1</v>
      </c>
      <c r="G115" s="2">
        <v>2600</v>
      </c>
      <c r="H115" s="4">
        <v>0.1</v>
      </c>
      <c r="I115" s="2">
        <v>2340</v>
      </c>
      <c r="J115" t="s">
        <v>253</v>
      </c>
      <c r="K115" t="s">
        <v>254</v>
      </c>
      <c r="L115">
        <v>4</v>
      </c>
      <c r="M115" t="str">
        <f>_xlfn.XLOOKUP(E115,tPacotes[ID_Pacote],tPacotes[Pacote])</f>
        <v>Serra Gaúcha</v>
      </c>
      <c r="N115" t="str">
        <f>_xlfn.XLOOKUP(E115,tPacotes[ID_Pacote],tPacotes[Categoria])</f>
        <v>Inverno</v>
      </c>
      <c r="O115" t="str">
        <f>_xlfn.XLOOKUP(D115,tClientes[ID_Cliente],tClientes[UF])</f>
        <v>SP</v>
      </c>
    </row>
    <row r="116" spans="1:15" x14ac:dyDescent="0.3">
      <c r="A116">
        <v>115</v>
      </c>
      <c r="B116" s="3">
        <v>45725</v>
      </c>
      <c r="C116" s="3">
        <v>45758</v>
      </c>
      <c r="D116">
        <v>188</v>
      </c>
      <c r="E116">
        <v>15</v>
      </c>
      <c r="F116">
        <v>1</v>
      </c>
      <c r="G116" s="2">
        <v>3100</v>
      </c>
      <c r="H116" s="4">
        <v>0</v>
      </c>
      <c r="I116" s="2">
        <v>3100</v>
      </c>
      <c r="J116" t="s">
        <v>256</v>
      </c>
      <c r="K116" t="s">
        <v>254</v>
      </c>
      <c r="L116">
        <v>5</v>
      </c>
      <c r="M116" t="str">
        <f>_xlfn.XLOOKUP(E116,tPacotes[ID_Pacote],tPacotes[Pacote])</f>
        <v>Jericoacoara</v>
      </c>
      <c r="N116" t="str">
        <f>_xlfn.XLOOKUP(E116,tPacotes[ID_Pacote],tPacotes[Categoria])</f>
        <v>Praia</v>
      </c>
      <c r="O116" t="str">
        <f>_xlfn.XLOOKUP(D116,tClientes[ID_Cliente],tClientes[UF])</f>
        <v>SP</v>
      </c>
    </row>
    <row r="117" spans="1:15" x14ac:dyDescent="0.3">
      <c r="A117">
        <v>116</v>
      </c>
      <c r="B117" s="3">
        <v>45725</v>
      </c>
      <c r="C117" s="3">
        <v>45740</v>
      </c>
      <c r="D117">
        <v>194</v>
      </c>
      <c r="E117">
        <v>14</v>
      </c>
      <c r="F117">
        <v>2</v>
      </c>
      <c r="G117" s="2">
        <v>5800</v>
      </c>
      <c r="H117" s="4">
        <v>0.15</v>
      </c>
      <c r="I117" s="2">
        <v>4930</v>
      </c>
      <c r="J117" t="s">
        <v>253</v>
      </c>
      <c r="K117" t="s">
        <v>258</v>
      </c>
      <c r="M117" t="str">
        <f>_xlfn.XLOOKUP(E117,tPacotes[ID_Pacote],tPacotes[Pacote])</f>
        <v>Lençóis Maranhenses</v>
      </c>
      <c r="N117" t="str">
        <f>_xlfn.XLOOKUP(E117,tPacotes[ID_Pacote],tPacotes[Categoria])</f>
        <v>Natureza</v>
      </c>
      <c r="O117" t="str">
        <f>_xlfn.XLOOKUP(D117,tClientes[ID_Cliente],tClientes[UF])</f>
        <v>DF</v>
      </c>
    </row>
    <row r="118" spans="1:15" x14ac:dyDescent="0.3">
      <c r="A118">
        <v>117</v>
      </c>
      <c r="B118" s="3">
        <v>45725</v>
      </c>
      <c r="C118" s="3">
        <v>45806</v>
      </c>
      <c r="D118">
        <v>6</v>
      </c>
      <c r="E118">
        <v>14</v>
      </c>
      <c r="F118">
        <v>1</v>
      </c>
      <c r="G118" s="2">
        <v>2900</v>
      </c>
      <c r="H118" s="4">
        <v>0.1</v>
      </c>
      <c r="I118" s="2">
        <v>2610</v>
      </c>
      <c r="J118" t="s">
        <v>253</v>
      </c>
      <c r="K118" t="s">
        <v>258</v>
      </c>
      <c r="M118" t="str">
        <f>_xlfn.XLOOKUP(E118,tPacotes[ID_Pacote],tPacotes[Pacote])</f>
        <v>Lençóis Maranhenses</v>
      </c>
      <c r="N118" t="str">
        <f>_xlfn.XLOOKUP(E118,tPacotes[ID_Pacote],tPacotes[Categoria])</f>
        <v>Natureza</v>
      </c>
      <c r="O118" t="str">
        <f>_xlfn.XLOOKUP(D118,tClientes[ID_Cliente],tClientes[UF])</f>
        <v>SP</v>
      </c>
    </row>
    <row r="119" spans="1:15" x14ac:dyDescent="0.3">
      <c r="A119">
        <v>118</v>
      </c>
      <c r="B119" s="3">
        <v>45726</v>
      </c>
      <c r="C119" s="3">
        <v>45777</v>
      </c>
      <c r="D119">
        <v>100</v>
      </c>
      <c r="E119">
        <v>1</v>
      </c>
      <c r="F119">
        <v>2</v>
      </c>
      <c r="G119" s="2">
        <v>6400</v>
      </c>
      <c r="H119" s="4">
        <v>0</v>
      </c>
      <c r="I119" s="2">
        <v>6400</v>
      </c>
      <c r="J119" t="s">
        <v>253</v>
      </c>
      <c r="K119" t="s">
        <v>258</v>
      </c>
      <c r="M119" t="str">
        <f>_xlfn.XLOOKUP(E119,tPacotes[ID_Pacote],tPacotes[Pacote])</f>
        <v>Nordeste Encantado</v>
      </c>
      <c r="N119" t="str">
        <f>_xlfn.XLOOKUP(E119,tPacotes[ID_Pacote],tPacotes[Categoria])</f>
        <v>Praia</v>
      </c>
      <c r="O119" t="str">
        <f>_xlfn.XLOOKUP(D119,tClientes[ID_Cliente],tClientes[UF])</f>
        <v>SP</v>
      </c>
    </row>
    <row r="120" spans="1:15" x14ac:dyDescent="0.3">
      <c r="A120">
        <v>119</v>
      </c>
      <c r="B120" s="3">
        <v>45726</v>
      </c>
      <c r="C120" s="3">
        <v>45745</v>
      </c>
      <c r="D120">
        <v>155</v>
      </c>
      <c r="E120">
        <v>11</v>
      </c>
      <c r="F120">
        <v>1</v>
      </c>
      <c r="G120" s="2">
        <v>15800</v>
      </c>
      <c r="H120" s="4">
        <v>0</v>
      </c>
      <c r="I120" s="2">
        <v>15800</v>
      </c>
      <c r="J120" t="s">
        <v>256</v>
      </c>
      <c r="K120" t="s">
        <v>254</v>
      </c>
      <c r="L120">
        <v>5</v>
      </c>
      <c r="M120" t="str">
        <f>_xlfn.XLOOKUP(E120,tPacotes[ID_Pacote],tPacotes[Pacote])</f>
        <v>Paris e Londres</v>
      </c>
      <c r="N120" t="str">
        <f>_xlfn.XLOOKUP(E120,tPacotes[ID_Pacote],tPacotes[Categoria])</f>
        <v>Cultural</v>
      </c>
      <c r="O120" t="str">
        <f>_xlfn.XLOOKUP(D120,tClientes[ID_Cliente],tClientes[UF])</f>
        <v>SP</v>
      </c>
    </row>
    <row r="121" spans="1:15" x14ac:dyDescent="0.3">
      <c r="A121">
        <v>120</v>
      </c>
      <c r="B121" s="3">
        <v>45726</v>
      </c>
      <c r="C121" s="3">
        <v>45893</v>
      </c>
      <c r="D121">
        <v>179</v>
      </c>
      <c r="E121">
        <v>8</v>
      </c>
      <c r="F121">
        <v>4</v>
      </c>
      <c r="G121" s="2">
        <v>23600</v>
      </c>
      <c r="H121" s="4">
        <v>0</v>
      </c>
      <c r="I121" s="2">
        <v>23600</v>
      </c>
      <c r="J121" t="s">
        <v>257</v>
      </c>
      <c r="K121" t="s">
        <v>254</v>
      </c>
      <c r="L121">
        <v>1</v>
      </c>
      <c r="M121" t="str">
        <f>_xlfn.XLOOKUP(E121,tPacotes[ID_Pacote],tPacotes[Pacote])</f>
        <v>Santiago e Neve</v>
      </c>
      <c r="N121" t="str">
        <f>_xlfn.XLOOKUP(E121,tPacotes[ID_Pacote],tPacotes[Categoria])</f>
        <v>Inverno</v>
      </c>
      <c r="O121" t="str">
        <f>_xlfn.XLOOKUP(D121,tClientes[ID_Cliente],tClientes[UF])</f>
        <v>SP</v>
      </c>
    </row>
    <row r="122" spans="1:15" x14ac:dyDescent="0.3">
      <c r="A122">
        <v>121</v>
      </c>
      <c r="B122" s="3">
        <v>45726</v>
      </c>
      <c r="C122" s="3">
        <v>45811</v>
      </c>
      <c r="D122">
        <v>115</v>
      </c>
      <c r="E122">
        <v>15</v>
      </c>
      <c r="F122">
        <v>2</v>
      </c>
      <c r="G122" s="2">
        <v>6200</v>
      </c>
      <c r="H122" s="4">
        <v>0</v>
      </c>
      <c r="I122" s="2">
        <v>6200</v>
      </c>
      <c r="J122" t="s">
        <v>255</v>
      </c>
      <c r="K122" t="s">
        <v>254</v>
      </c>
      <c r="L122">
        <v>4</v>
      </c>
      <c r="M122" t="str">
        <f>_xlfn.XLOOKUP(E122,tPacotes[ID_Pacote],tPacotes[Pacote])</f>
        <v>Jericoacoara</v>
      </c>
      <c r="N122" t="str">
        <f>_xlfn.XLOOKUP(E122,tPacotes[ID_Pacote],tPacotes[Categoria])</f>
        <v>Praia</v>
      </c>
      <c r="O122" t="str">
        <f>_xlfn.XLOOKUP(D122,tClientes[ID_Cliente],tClientes[UF])</f>
        <v>SP</v>
      </c>
    </row>
    <row r="123" spans="1:15" x14ac:dyDescent="0.3">
      <c r="A123">
        <v>122</v>
      </c>
      <c r="B123" s="3">
        <v>45727</v>
      </c>
      <c r="C123" s="3">
        <v>45765</v>
      </c>
      <c r="D123">
        <v>82</v>
      </c>
      <c r="E123">
        <v>13</v>
      </c>
      <c r="F123">
        <v>2</v>
      </c>
      <c r="G123" s="2">
        <v>14600</v>
      </c>
      <c r="H123" s="4">
        <v>0.05</v>
      </c>
      <c r="I123" s="2">
        <v>13870</v>
      </c>
      <c r="J123" t="s">
        <v>255</v>
      </c>
      <c r="K123" t="s">
        <v>254</v>
      </c>
      <c r="L123">
        <v>1</v>
      </c>
      <c r="M123" t="str">
        <f>_xlfn.XLOOKUP(E123,tPacotes[ID_Pacote],tPacotes[Pacote])</f>
        <v>Machu Picchu</v>
      </c>
      <c r="N123" t="str">
        <f>_xlfn.XLOOKUP(E123,tPacotes[ID_Pacote],tPacotes[Categoria])</f>
        <v>Aventura</v>
      </c>
      <c r="O123" t="str">
        <f>_xlfn.XLOOKUP(D123,tClientes[ID_Cliente],tClientes[UF])</f>
        <v>SP</v>
      </c>
    </row>
    <row r="124" spans="1:15" x14ac:dyDescent="0.3">
      <c r="A124">
        <v>123</v>
      </c>
      <c r="B124" s="3">
        <v>45729</v>
      </c>
      <c r="C124" s="3">
        <v>45757</v>
      </c>
      <c r="D124">
        <v>25</v>
      </c>
      <c r="E124">
        <v>14</v>
      </c>
      <c r="F124">
        <v>1</v>
      </c>
      <c r="G124" s="2">
        <v>2900</v>
      </c>
      <c r="H124" s="4">
        <v>0.05</v>
      </c>
      <c r="I124" s="2">
        <v>2755</v>
      </c>
      <c r="J124" t="s">
        <v>253</v>
      </c>
      <c r="K124" t="s">
        <v>254</v>
      </c>
      <c r="L124">
        <v>3</v>
      </c>
      <c r="M124" t="str">
        <f>_xlfn.XLOOKUP(E124,tPacotes[ID_Pacote],tPacotes[Pacote])</f>
        <v>Lençóis Maranhenses</v>
      </c>
      <c r="N124" t="str">
        <f>_xlfn.XLOOKUP(E124,tPacotes[ID_Pacote],tPacotes[Categoria])</f>
        <v>Natureza</v>
      </c>
      <c r="O124" t="str">
        <f>_xlfn.XLOOKUP(D124,tClientes[ID_Cliente],tClientes[UF])</f>
        <v>PE</v>
      </c>
    </row>
    <row r="125" spans="1:15" x14ac:dyDescent="0.3">
      <c r="A125">
        <v>124</v>
      </c>
      <c r="B125" s="3">
        <v>45729</v>
      </c>
      <c r="C125" s="3">
        <v>45822</v>
      </c>
      <c r="D125">
        <v>112</v>
      </c>
      <c r="E125">
        <v>8</v>
      </c>
      <c r="F125">
        <v>2</v>
      </c>
      <c r="G125" s="2">
        <v>11800</v>
      </c>
      <c r="H125" s="4">
        <v>0.1</v>
      </c>
      <c r="I125" s="2">
        <v>10620</v>
      </c>
      <c r="J125" t="s">
        <v>253</v>
      </c>
      <c r="K125" t="s">
        <v>258</v>
      </c>
      <c r="M125" t="str">
        <f>_xlfn.XLOOKUP(E125,tPacotes[ID_Pacote],tPacotes[Pacote])</f>
        <v>Santiago e Neve</v>
      </c>
      <c r="N125" t="str">
        <f>_xlfn.XLOOKUP(E125,tPacotes[ID_Pacote],tPacotes[Categoria])</f>
        <v>Inverno</v>
      </c>
      <c r="O125" t="str">
        <f>_xlfn.XLOOKUP(D125,tClientes[ID_Cliente],tClientes[UF])</f>
        <v>SP</v>
      </c>
    </row>
    <row r="126" spans="1:15" x14ac:dyDescent="0.3">
      <c r="A126">
        <v>125</v>
      </c>
      <c r="B126" s="3">
        <v>45729</v>
      </c>
      <c r="C126" s="3">
        <v>45741</v>
      </c>
      <c r="D126">
        <v>197</v>
      </c>
      <c r="E126">
        <v>15</v>
      </c>
      <c r="F126">
        <v>4</v>
      </c>
      <c r="G126" s="2">
        <v>12400</v>
      </c>
      <c r="H126" s="4">
        <v>0</v>
      </c>
      <c r="I126" s="2">
        <v>12400</v>
      </c>
      <c r="J126" t="s">
        <v>253</v>
      </c>
      <c r="K126" t="s">
        <v>254</v>
      </c>
      <c r="L126">
        <v>4</v>
      </c>
      <c r="M126" t="str">
        <f>_xlfn.XLOOKUP(E126,tPacotes[ID_Pacote],tPacotes[Pacote])</f>
        <v>Jericoacoara</v>
      </c>
      <c r="N126" t="str">
        <f>_xlfn.XLOOKUP(E126,tPacotes[ID_Pacote],tPacotes[Categoria])</f>
        <v>Praia</v>
      </c>
      <c r="O126" t="str">
        <f>_xlfn.XLOOKUP(D126,tClientes[ID_Cliente],tClientes[UF])</f>
        <v>SP</v>
      </c>
    </row>
    <row r="127" spans="1:15" x14ac:dyDescent="0.3">
      <c r="A127">
        <v>126</v>
      </c>
      <c r="B127" s="3">
        <v>45730</v>
      </c>
      <c r="C127" s="3">
        <v>45746</v>
      </c>
      <c r="D127">
        <v>137</v>
      </c>
      <c r="E127">
        <v>3</v>
      </c>
      <c r="F127">
        <v>2</v>
      </c>
      <c r="G127" s="2">
        <v>5200</v>
      </c>
      <c r="H127" s="4">
        <v>0.05</v>
      </c>
      <c r="I127" s="2">
        <v>4940</v>
      </c>
      <c r="J127" t="s">
        <v>255</v>
      </c>
      <c r="K127" t="s">
        <v>254</v>
      </c>
      <c r="L127">
        <v>5</v>
      </c>
      <c r="M127" t="str">
        <f>_xlfn.XLOOKUP(E127,tPacotes[ID_Pacote],tPacotes[Pacote])</f>
        <v>Serra Gaúcha</v>
      </c>
      <c r="N127" t="str">
        <f>_xlfn.XLOOKUP(E127,tPacotes[ID_Pacote],tPacotes[Categoria])</f>
        <v>Inverno</v>
      </c>
      <c r="O127" t="str">
        <f>_xlfn.XLOOKUP(D127,tClientes[ID_Cliente],tClientes[UF])</f>
        <v>SP</v>
      </c>
    </row>
    <row r="128" spans="1:15" x14ac:dyDescent="0.3">
      <c r="A128">
        <v>127</v>
      </c>
      <c r="B128" s="3">
        <v>45732</v>
      </c>
      <c r="C128" s="3">
        <v>45878</v>
      </c>
      <c r="D128">
        <v>17</v>
      </c>
      <c r="E128">
        <v>2</v>
      </c>
      <c r="F128">
        <v>1</v>
      </c>
      <c r="G128" s="2">
        <v>1800</v>
      </c>
      <c r="H128" s="4">
        <v>0</v>
      </c>
      <c r="I128" s="2">
        <v>1800</v>
      </c>
      <c r="J128" t="s">
        <v>253</v>
      </c>
      <c r="K128" t="s">
        <v>254</v>
      </c>
      <c r="L128">
        <v>4</v>
      </c>
      <c r="M128" t="str">
        <f>_xlfn.XLOOKUP(E128,tPacotes[ID_Pacote],tPacotes[Pacote])</f>
        <v>Rio Cidade Maravilhosa</v>
      </c>
      <c r="N128" t="str">
        <f>_xlfn.XLOOKUP(E128,tPacotes[ID_Pacote],tPacotes[Categoria])</f>
        <v>Cultural</v>
      </c>
      <c r="O128" t="str">
        <f>_xlfn.XLOOKUP(D128,tClientes[ID_Cliente],tClientes[UF])</f>
        <v>RJ</v>
      </c>
    </row>
    <row r="129" spans="1:15" x14ac:dyDescent="0.3">
      <c r="A129">
        <v>128</v>
      </c>
      <c r="B129" s="3">
        <v>45732</v>
      </c>
      <c r="C129" s="3">
        <v>45745</v>
      </c>
      <c r="D129">
        <v>78</v>
      </c>
      <c r="E129">
        <v>7</v>
      </c>
      <c r="F129">
        <v>1</v>
      </c>
      <c r="G129" s="2">
        <v>4200</v>
      </c>
      <c r="H129" s="4">
        <v>0.15</v>
      </c>
      <c r="I129" s="2">
        <v>3570</v>
      </c>
      <c r="J129" t="s">
        <v>253</v>
      </c>
      <c r="K129" t="s">
        <v>254</v>
      </c>
      <c r="L129">
        <v>5</v>
      </c>
      <c r="M129" t="str">
        <f>_xlfn.XLOOKUP(E129,tPacotes[ID_Pacote],tPacotes[Pacote])</f>
        <v>Buenos Aires Clássica</v>
      </c>
      <c r="N129" t="str">
        <f>_xlfn.XLOOKUP(E129,tPacotes[ID_Pacote],tPacotes[Categoria])</f>
        <v>Cultural</v>
      </c>
      <c r="O129" t="str">
        <f>_xlfn.XLOOKUP(D129,tClientes[ID_Cliente],tClientes[UF])</f>
        <v>PR</v>
      </c>
    </row>
    <row r="130" spans="1:15" x14ac:dyDescent="0.3">
      <c r="A130">
        <v>129</v>
      </c>
      <c r="B130" s="3">
        <v>45733</v>
      </c>
      <c r="C130" s="3">
        <v>45738</v>
      </c>
      <c r="D130">
        <v>2</v>
      </c>
      <c r="E130">
        <v>15</v>
      </c>
      <c r="F130">
        <v>2</v>
      </c>
      <c r="G130" s="2">
        <v>6200</v>
      </c>
      <c r="H130" s="4">
        <v>0.1</v>
      </c>
      <c r="I130" s="2">
        <v>5580</v>
      </c>
      <c r="J130" t="s">
        <v>257</v>
      </c>
      <c r="K130" t="s">
        <v>254</v>
      </c>
      <c r="L130">
        <v>4</v>
      </c>
      <c r="M130" t="str">
        <f>_xlfn.XLOOKUP(E130,tPacotes[ID_Pacote],tPacotes[Pacote])</f>
        <v>Jericoacoara</v>
      </c>
      <c r="N130" t="str">
        <f>_xlfn.XLOOKUP(E130,tPacotes[ID_Pacote],tPacotes[Categoria])</f>
        <v>Praia</v>
      </c>
      <c r="O130" t="str">
        <f>_xlfn.XLOOKUP(D130,tClientes[ID_Cliente],tClientes[UF])</f>
        <v>RJ</v>
      </c>
    </row>
    <row r="131" spans="1:15" x14ac:dyDescent="0.3">
      <c r="A131">
        <v>130</v>
      </c>
      <c r="B131" s="3">
        <v>45734</v>
      </c>
      <c r="C131" s="3">
        <v>45788</v>
      </c>
      <c r="D131">
        <v>175</v>
      </c>
      <c r="E131">
        <v>1</v>
      </c>
      <c r="F131">
        <v>2</v>
      </c>
      <c r="G131" s="2">
        <v>6400</v>
      </c>
      <c r="H131" s="4">
        <v>0.1</v>
      </c>
      <c r="I131" s="2">
        <v>5760</v>
      </c>
      <c r="J131" t="s">
        <v>256</v>
      </c>
      <c r="K131" t="s">
        <v>254</v>
      </c>
      <c r="L131">
        <v>5</v>
      </c>
      <c r="M131" t="str">
        <f>_xlfn.XLOOKUP(E131,tPacotes[ID_Pacote],tPacotes[Pacote])</f>
        <v>Nordeste Encantado</v>
      </c>
      <c r="N131" t="str">
        <f>_xlfn.XLOOKUP(E131,tPacotes[ID_Pacote],tPacotes[Categoria])</f>
        <v>Praia</v>
      </c>
      <c r="O131" t="str">
        <f>_xlfn.XLOOKUP(D131,tClientes[ID_Cliente],tClientes[UF])</f>
        <v>BA</v>
      </c>
    </row>
    <row r="132" spans="1:15" x14ac:dyDescent="0.3">
      <c r="A132">
        <v>131</v>
      </c>
      <c r="B132" s="3">
        <v>45734</v>
      </c>
      <c r="C132" s="3">
        <v>45745</v>
      </c>
      <c r="D132">
        <v>130</v>
      </c>
      <c r="E132">
        <v>15</v>
      </c>
      <c r="F132">
        <v>2</v>
      </c>
      <c r="G132" s="2">
        <v>6200</v>
      </c>
      <c r="H132" s="4">
        <v>0</v>
      </c>
      <c r="I132" s="2">
        <v>6200</v>
      </c>
      <c r="J132" t="s">
        <v>255</v>
      </c>
      <c r="K132" t="s">
        <v>258</v>
      </c>
      <c r="M132" t="str">
        <f>_xlfn.XLOOKUP(E132,tPacotes[ID_Pacote],tPacotes[Pacote])</f>
        <v>Jericoacoara</v>
      </c>
      <c r="N132" t="str">
        <f>_xlfn.XLOOKUP(E132,tPacotes[ID_Pacote],tPacotes[Categoria])</f>
        <v>Praia</v>
      </c>
      <c r="O132" t="str">
        <f>_xlfn.XLOOKUP(D132,tClientes[ID_Cliente],tClientes[UF])</f>
        <v>SP</v>
      </c>
    </row>
    <row r="133" spans="1:15" x14ac:dyDescent="0.3">
      <c r="A133">
        <v>132</v>
      </c>
      <c r="B133" s="3">
        <v>45734</v>
      </c>
      <c r="C133" s="3">
        <v>45741</v>
      </c>
      <c r="D133">
        <v>171</v>
      </c>
      <c r="E133">
        <v>7</v>
      </c>
      <c r="F133">
        <v>1</v>
      </c>
      <c r="G133" s="2">
        <v>4200</v>
      </c>
      <c r="H133" s="4">
        <v>0.05</v>
      </c>
      <c r="I133" s="2">
        <v>3990</v>
      </c>
      <c r="J133" t="s">
        <v>255</v>
      </c>
      <c r="K133" t="s">
        <v>254</v>
      </c>
      <c r="L133">
        <v>5</v>
      </c>
      <c r="M133" t="str">
        <f>_xlfn.XLOOKUP(E133,tPacotes[ID_Pacote],tPacotes[Pacote])</f>
        <v>Buenos Aires Clássica</v>
      </c>
      <c r="N133" t="str">
        <f>_xlfn.XLOOKUP(E133,tPacotes[ID_Pacote],tPacotes[Categoria])</f>
        <v>Cultural</v>
      </c>
      <c r="O133" t="str">
        <f>_xlfn.XLOOKUP(D133,tClientes[ID_Cliente],tClientes[UF])</f>
        <v>SP</v>
      </c>
    </row>
    <row r="134" spans="1:15" x14ac:dyDescent="0.3">
      <c r="A134">
        <v>133</v>
      </c>
      <c r="B134" s="3">
        <v>45734</v>
      </c>
      <c r="C134" s="3">
        <v>45737</v>
      </c>
      <c r="D134">
        <v>142</v>
      </c>
      <c r="E134">
        <v>7</v>
      </c>
      <c r="F134">
        <v>2</v>
      </c>
      <c r="G134" s="2">
        <v>8400</v>
      </c>
      <c r="H134" s="4">
        <v>0.15</v>
      </c>
      <c r="I134" s="2">
        <v>7140</v>
      </c>
      <c r="J134" t="s">
        <v>253</v>
      </c>
      <c r="K134" t="s">
        <v>254</v>
      </c>
      <c r="L134">
        <v>5</v>
      </c>
      <c r="M134" t="str">
        <f>_xlfn.XLOOKUP(E134,tPacotes[ID_Pacote],tPacotes[Pacote])</f>
        <v>Buenos Aires Clássica</v>
      </c>
      <c r="N134" t="str">
        <f>_xlfn.XLOOKUP(E134,tPacotes[ID_Pacote],tPacotes[Categoria])</f>
        <v>Cultural</v>
      </c>
      <c r="O134" t="str">
        <f>_xlfn.XLOOKUP(D134,tClientes[ID_Cliente],tClientes[UF])</f>
        <v>RJ</v>
      </c>
    </row>
    <row r="135" spans="1:15" x14ac:dyDescent="0.3">
      <c r="A135">
        <v>134</v>
      </c>
      <c r="B135" s="3">
        <v>45737</v>
      </c>
      <c r="C135" s="3">
        <v>45832</v>
      </c>
      <c r="D135">
        <v>56</v>
      </c>
      <c r="E135">
        <v>4</v>
      </c>
      <c r="F135">
        <v>1</v>
      </c>
      <c r="G135" s="2">
        <v>6900</v>
      </c>
      <c r="H135" s="4">
        <v>0</v>
      </c>
      <c r="I135" s="2">
        <v>6900</v>
      </c>
      <c r="J135" t="s">
        <v>253</v>
      </c>
      <c r="K135" t="s">
        <v>254</v>
      </c>
      <c r="L135">
        <v>4</v>
      </c>
      <c r="M135" t="str">
        <f>_xlfn.XLOOKUP(E135,tPacotes[ID_Pacote],tPacotes[Pacote])</f>
        <v>Fernando de Noronha</v>
      </c>
      <c r="N135" t="str">
        <f>_xlfn.XLOOKUP(E135,tPacotes[ID_Pacote],tPacotes[Categoria])</f>
        <v>Praia</v>
      </c>
      <c r="O135" t="str">
        <f>_xlfn.XLOOKUP(D135,tClientes[ID_Cliente],tClientes[UF])</f>
        <v>RS</v>
      </c>
    </row>
    <row r="136" spans="1:15" x14ac:dyDescent="0.3">
      <c r="A136">
        <v>135</v>
      </c>
      <c r="B136" s="3">
        <v>45738</v>
      </c>
      <c r="C136" s="3">
        <v>45763</v>
      </c>
      <c r="D136">
        <v>180</v>
      </c>
      <c r="E136">
        <v>4</v>
      </c>
      <c r="F136">
        <v>2</v>
      </c>
      <c r="G136" s="2">
        <v>13800</v>
      </c>
      <c r="H136" s="4">
        <v>0.1</v>
      </c>
      <c r="I136" s="2">
        <v>12420</v>
      </c>
      <c r="J136" t="s">
        <v>257</v>
      </c>
      <c r="K136" t="s">
        <v>254</v>
      </c>
      <c r="L136">
        <v>4</v>
      </c>
      <c r="M136" t="str">
        <f>_xlfn.XLOOKUP(E136,tPacotes[ID_Pacote],tPacotes[Pacote])</f>
        <v>Fernando de Noronha</v>
      </c>
      <c r="N136" t="str">
        <f>_xlfn.XLOOKUP(E136,tPacotes[ID_Pacote],tPacotes[Categoria])</f>
        <v>Praia</v>
      </c>
      <c r="O136" t="str">
        <f>_xlfn.XLOOKUP(D136,tClientes[ID_Cliente],tClientes[UF])</f>
        <v>PR</v>
      </c>
    </row>
    <row r="137" spans="1:15" x14ac:dyDescent="0.3">
      <c r="A137">
        <v>136</v>
      </c>
      <c r="B137" s="3">
        <v>45738</v>
      </c>
      <c r="C137" s="3">
        <v>45791</v>
      </c>
      <c r="D137">
        <v>79</v>
      </c>
      <c r="E137">
        <v>5</v>
      </c>
      <c r="F137">
        <v>1</v>
      </c>
      <c r="G137" s="2">
        <v>3400</v>
      </c>
      <c r="H137" s="4">
        <v>0</v>
      </c>
      <c r="I137" s="2">
        <v>3400</v>
      </c>
      <c r="J137" t="s">
        <v>256</v>
      </c>
      <c r="K137" t="s">
        <v>254</v>
      </c>
      <c r="L137">
        <v>5</v>
      </c>
      <c r="M137" t="str">
        <f>_xlfn.XLOOKUP(E137,tPacotes[ID_Pacote],tPacotes[Pacote])</f>
        <v>Bonito Aventura</v>
      </c>
      <c r="N137" t="str">
        <f>_xlfn.XLOOKUP(E137,tPacotes[ID_Pacote],tPacotes[Categoria])</f>
        <v>Aventura</v>
      </c>
      <c r="O137" t="str">
        <f>_xlfn.XLOOKUP(D137,tClientes[ID_Cliente],tClientes[UF])</f>
        <v>RJ</v>
      </c>
    </row>
    <row r="138" spans="1:15" x14ac:dyDescent="0.3">
      <c r="A138">
        <v>137</v>
      </c>
      <c r="B138" s="3">
        <v>45738</v>
      </c>
      <c r="C138" s="3">
        <v>45750</v>
      </c>
      <c r="D138">
        <v>76</v>
      </c>
      <c r="E138">
        <v>3</v>
      </c>
      <c r="F138">
        <v>1</v>
      </c>
      <c r="G138" s="2">
        <v>2600</v>
      </c>
      <c r="H138" s="4">
        <v>0</v>
      </c>
      <c r="I138" s="2">
        <v>2600</v>
      </c>
      <c r="J138" t="s">
        <v>255</v>
      </c>
      <c r="K138" t="s">
        <v>258</v>
      </c>
      <c r="M138" t="str">
        <f>_xlfn.XLOOKUP(E138,tPacotes[ID_Pacote],tPacotes[Pacote])</f>
        <v>Serra Gaúcha</v>
      </c>
      <c r="N138" t="str">
        <f>_xlfn.XLOOKUP(E138,tPacotes[ID_Pacote],tPacotes[Categoria])</f>
        <v>Inverno</v>
      </c>
      <c r="O138" t="str">
        <f>_xlfn.XLOOKUP(D138,tClientes[ID_Cliente],tClientes[UF])</f>
        <v>DF</v>
      </c>
    </row>
    <row r="139" spans="1:15" x14ac:dyDescent="0.3">
      <c r="A139">
        <v>138</v>
      </c>
      <c r="B139" s="3">
        <v>45740</v>
      </c>
      <c r="C139" s="3">
        <v>45767</v>
      </c>
      <c r="D139">
        <v>179</v>
      </c>
      <c r="E139">
        <v>6</v>
      </c>
      <c r="F139">
        <v>2</v>
      </c>
      <c r="G139" s="2">
        <v>4200</v>
      </c>
      <c r="H139" s="4">
        <v>0</v>
      </c>
      <c r="I139" s="2">
        <v>4200</v>
      </c>
      <c r="J139" t="s">
        <v>253</v>
      </c>
      <c r="K139" t="s">
        <v>258</v>
      </c>
      <c r="M139" t="str">
        <f>_xlfn.XLOOKUP(E139,tPacotes[ID_Pacote],tPacotes[Pacote])</f>
        <v>Foz do Iguaçu</v>
      </c>
      <c r="N139" t="str">
        <f>_xlfn.XLOOKUP(E139,tPacotes[ID_Pacote],tPacotes[Categoria])</f>
        <v>Natureza</v>
      </c>
      <c r="O139" t="str">
        <f>_xlfn.XLOOKUP(D139,tClientes[ID_Cliente],tClientes[UF])</f>
        <v>SP</v>
      </c>
    </row>
    <row r="140" spans="1:15" x14ac:dyDescent="0.3">
      <c r="A140">
        <v>139</v>
      </c>
      <c r="B140" s="3">
        <v>45740</v>
      </c>
      <c r="C140" s="3">
        <v>45759</v>
      </c>
      <c r="D140">
        <v>9</v>
      </c>
      <c r="E140">
        <v>8</v>
      </c>
      <c r="F140">
        <v>1</v>
      </c>
      <c r="G140" s="2">
        <v>5900</v>
      </c>
      <c r="H140" s="4">
        <v>0</v>
      </c>
      <c r="I140" s="2">
        <v>5900</v>
      </c>
      <c r="J140" t="s">
        <v>255</v>
      </c>
      <c r="K140" t="s">
        <v>254</v>
      </c>
      <c r="L140">
        <v>5</v>
      </c>
      <c r="M140" t="str">
        <f>_xlfn.XLOOKUP(E140,tPacotes[ID_Pacote],tPacotes[Pacote])</f>
        <v>Santiago e Neve</v>
      </c>
      <c r="N140" t="str">
        <f>_xlfn.XLOOKUP(E140,tPacotes[ID_Pacote],tPacotes[Categoria])</f>
        <v>Inverno</v>
      </c>
      <c r="O140" t="str">
        <f>_xlfn.XLOOKUP(D140,tClientes[ID_Cliente],tClientes[UF])</f>
        <v>MG</v>
      </c>
    </row>
    <row r="141" spans="1:15" x14ac:dyDescent="0.3">
      <c r="A141">
        <v>140</v>
      </c>
      <c r="B141" s="3">
        <v>45742</v>
      </c>
      <c r="C141" s="3">
        <v>45815</v>
      </c>
      <c r="D141">
        <v>171</v>
      </c>
      <c r="E141">
        <v>2</v>
      </c>
      <c r="F141">
        <v>1</v>
      </c>
      <c r="G141" s="2">
        <v>1800</v>
      </c>
      <c r="H141" s="4">
        <v>0.1</v>
      </c>
      <c r="I141" s="2">
        <v>1620</v>
      </c>
      <c r="J141" t="s">
        <v>253</v>
      </c>
      <c r="K141" t="s">
        <v>258</v>
      </c>
      <c r="M141" t="str">
        <f>_xlfn.XLOOKUP(E141,tPacotes[ID_Pacote],tPacotes[Pacote])</f>
        <v>Rio Cidade Maravilhosa</v>
      </c>
      <c r="N141" t="str">
        <f>_xlfn.XLOOKUP(E141,tPacotes[ID_Pacote],tPacotes[Categoria])</f>
        <v>Cultural</v>
      </c>
      <c r="O141" t="str">
        <f>_xlfn.XLOOKUP(D141,tClientes[ID_Cliente],tClientes[UF])</f>
        <v>SP</v>
      </c>
    </row>
    <row r="142" spans="1:15" x14ac:dyDescent="0.3">
      <c r="A142">
        <v>141</v>
      </c>
      <c r="B142" s="3">
        <v>45742</v>
      </c>
      <c r="C142" s="3">
        <v>45746</v>
      </c>
      <c r="D142">
        <v>194</v>
      </c>
      <c r="E142">
        <v>6</v>
      </c>
      <c r="F142">
        <v>2</v>
      </c>
      <c r="G142" s="2">
        <v>4200</v>
      </c>
      <c r="H142" s="4">
        <v>0.05</v>
      </c>
      <c r="I142" s="2">
        <v>3990</v>
      </c>
      <c r="J142" t="s">
        <v>255</v>
      </c>
      <c r="K142" t="s">
        <v>254</v>
      </c>
      <c r="L142">
        <v>5</v>
      </c>
      <c r="M142" t="str">
        <f>_xlfn.XLOOKUP(E142,tPacotes[ID_Pacote],tPacotes[Pacote])</f>
        <v>Foz do Iguaçu</v>
      </c>
      <c r="N142" t="str">
        <f>_xlfn.XLOOKUP(E142,tPacotes[ID_Pacote],tPacotes[Categoria])</f>
        <v>Natureza</v>
      </c>
      <c r="O142" t="str">
        <f>_xlfn.XLOOKUP(D142,tClientes[ID_Cliente],tClientes[UF])</f>
        <v>DF</v>
      </c>
    </row>
    <row r="143" spans="1:15" x14ac:dyDescent="0.3">
      <c r="A143">
        <v>142</v>
      </c>
      <c r="B143" s="3">
        <v>45744</v>
      </c>
      <c r="C143" s="3">
        <v>45839</v>
      </c>
      <c r="D143">
        <v>84</v>
      </c>
      <c r="E143">
        <v>2</v>
      </c>
      <c r="F143">
        <v>2</v>
      </c>
      <c r="G143" s="2">
        <v>3600</v>
      </c>
      <c r="H143" s="4">
        <v>0</v>
      </c>
      <c r="I143" s="2">
        <v>3600</v>
      </c>
      <c r="J143" t="s">
        <v>255</v>
      </c>
      <c r="K143" t="s">
        <v>254</v>
      </c>
      <c r="L143">
        <v>5</v>
      </c>
      <c r="M143" t="str">
        <f>_xlfn.XLOOKUP(E143,tPacotes[ID_Pacote],tPacotes[Pacote])</f>
        <v>Rio Cidade Maravilhosa</v>
      </c>
      <c r="N143" t="str">
        <f>_xlfn.XLOOKUP(E143,tPacotes[ID_Pacote],tPacotes[Categoria])</f>
        <v>Cultural</v>
      </c>
      <c r="O143" t="str">
        <f>_xlfn.XLOOKUP(D143,tClientes[ID_Cliente],tClientes[UF])</f>
        <v>RS</v>
      </c>
    </row>
    <row r="144" spans="1:15" x14ac:dyDescent="0.3">
      <c r="A144">
        <v>143</v>
      </c>
      <c r="B144" s="3">
        <v>45746</v>
      </c>
      <c r="C144" s="3">
        <v>45790</v>
      </c>
      <c r="D144">
        <v>166</v>
      </c>
      <c r="E144">
        <v>5</v>
      </c>
      <c r="F144">
        <v>2</v>
      </c>
      <c r="G144" s="2">
        <v>6800</v>
      </c>
      <c r="H144" s="4">
        <v>0</v>
      </c>
      <c r="I144" s="2">
        <v>6800</v>
      </c>
      <c r="J144" t="s">
        <v>255</v>
      </c>
      <c r="K144" t="s">
        <v>254</v>
      </c>
      <c r="L144">
        <v>5</v>
      </c>
      <c r="M144" t="str">
        <f>_xlfn.XLOOKUP(E144,tPacotes[ID_Pacote],tPacotes[Pacote])</f>
        <v>Bonito Aventura</v>
      </c>
      <c r="N144" t="str">
        <f>_xlfn.XLOOKUP(E144,tPacotes[ID_Pacote],tPacotes[Categoria])</f>
        <v>Aventura</v>
      </c>
      <c r="O144" t="str">
        <f>_xlfn.XLOOKUP(D144,tClientes[ID_Cliente],tClientes[UF])</f>
        <v>RJ</v>
      </c>
    </row>
    <row r="145" spans="1:15" x14ac:dyDescent="0.3">
      <c r="A145">
        <v>144</v>
      </c>
      <c r="B145" s="3">
        <v>45746</v>
      </c>
      <c r="C145" s="3">
        <v>45750</v>
      </c>
      <c r="D145">
        <v>36</v>
      </c>
      <c r="E145">
        <v>5</v>
      </c>
      <c r="F145">
        <v>2</v>
      </c>
      <c r="G145" s="2">
        <v>6800</v>
      </c>
      <c r="H145" s="4">
        <v>0</v>
      </c>
      <c r="I145" s="2">
        <v>6800</v>
      </c>
      <c r="J145" t="s">
        <v>257</v>
      </c>
      <c r="K145" t="s">
        <v>254</v>
      </c>
      <c r="L145">
        <v>5</v>
      </c>
      <c r="M145" t="str">
        <f>_xlfn.XLOOKUP(E145,tPacotes[ID_Pacote],tPacotes[Pacote])</f>
        <v>Bonito Aventura</v>
      </c>
      <c r="N145" t="str">
        <f>_xlfn.XLOOKUP(E145,tPacotes[ID_Pacote],tPacotes[Categoria])</f>
        <v>Aventura</v>
      </c>
      <c r="O145" t="str">
        <f>_xlfn.XLOOKUP(D145,tClientes[ID_Cliente],tClientes[UF])</f>
        <v>SP</v>
      </c>
    </row>
    <row r="146" spans="1:15" x14ac:dyDescent="0.3">
      <c r="A146">
        <v>145</v>
      </c>
      <c r="B146" s="3">
        <v>45746</v>
      </c>
      <c r="C146" s="3">
        <v>45783</v>
      </c>
      <c r="D146">
        <v>165</v>
      </c>
      <c r="E146">
        <v>15</v>
      </c>
      <c r="F146">
        <v>2</v>
      </c>
      <c r="G146" s="2">
        <v>6200</v>
      </c>
      <c r="H146" s="4">
        <v>0</v>
      </c>
      <c r="I146" s="2">
        <v>6200</v>
      </c>
      <c r="J146" t="s">
        <v>255</v>
      </c>
      <c r="K146" t="s">
        <v>258</v>
      </c>
      <c r="M146" t="str">
        <f>_xlfn.XLOOKUP(E146,tPacotes[ID_Pacote],tPacotes[Pacote])</f>
        <v>Jericoacoara</v>
      </c>
      <c r="N146" t="str">
        <f>_xlfn.XLOOKUP(E146,tPacotes[ID_Pacote],tPacotes[Categoria])</f>
        <v>Praia</v>
      </c>
      <c r="O146" t="str">
        <f>_xlfn.XLOOKUP(D146,tClientes[ID_Cliente],tClientes[UF])</f>
        <v>SP</v>
      </c>
    </row>
    <row r="147" spans="1:15" x14ac:dyDescent="0.3">
      <c r="A147">
        <v>146</v>
      </c>
      <c r="B147" s="3">
        <v>45747</v>
      </c>
      <c r="C147" s="3">
        <v>45759</v>
      </c>
      <c r="D147">
        <v>162</v>
      </c>
      <c r="E147">
        <v>12</v>
      </c>
      <c r="F147">
        <v>1</v>
      </c>
      <c r="G147" s="2">
        <v>12400</v>
      </c>
      <c r="H147" s="4">
        <v>0</v>
      </c>
      <c r="I147" s="2">
        <v>12400</v>
      </c>
      <c r="J147" t="s">
        <v>255</v>
      </c>
      <c r="K147" t="s">
        <v>254</v>
      </c>
      <c r="L147">
        <v>4</v>
      </c>
      <c r="M147" t="str">
        <f>_xlfn.XLOOKUP(E147,tPacotes[ID_Pacote],tPacotes[Pacote])</f>
        <v>Lisboa e Porto</v>
      </c>
      <c r="N147" t="str">
        <f>_xlfn.XLOOKUP(E147,tPacotes[ID_Pacote],tPacotes[Categoria])</f>
        <v>Cultural</v>
      </c>
      <c r="O147" t="str">
        <f>_xlfn.XLOOKUP(D147,tClientes[ID_Cliente],tClientes[UF])</f>
        <v>SP</v>
      </c>
    </row>
    <row r="148" spans="1:15" x14ac:dyDescent="0.3">
      <c r="A148">
        <v>147</v>
      </c>
      <c r="B148" s="3">
        <v>45747</v>
      </c>
      <c r="C148" s="3">
        <v>45753</v>
      </c>
      <c r="D148">
        <v>35</v>
      </c>
      <c r="E148">
        <v>7</v>
      </c>
      <c r="F148">
        <v>2</v>
      </c>
      <c r="G148" s="2">
        <v>8400</v>
      </c>
      <c r="H148" s="4">
        <v>0.1</v>
      </c>
      <c r="I148" s="2">
        <v>7560</v>
      </c>
      <c r="J148" t="s">
        <v>253</v>
      </c>
      <c r="K148" t="s">
        <v>254</v>
      </c>
      <c r="L148">
        <v>3</v>
      </c>
      <c r="M148" t="str">
        <f>_xlfn.XLOOKUP(E148,tPacotes[ID_Pacote],tPacotes[Pacote])</f>
        <v>Buenos Aires Clássica</v>
      </c>
      <c r="N148" t="str">
        <f>_xlfn.XLOOKUP(E148,tPacotes[ID_Pacote],tPacotes[Categoria])</f>
        <v>Cultural</v>
      </c>
      <c r="O148" t="str">
        <f>_xlfn.XLOOKUP(D148,tClientes[ID_Cliente],tClientes[UF])</f>
        <v>DF</v>
      </c>
    </row>
    <row r="149" spans="1:15" x14ac:dyDescent="0.3">
      <c r="A149">
        <v>148</v>
      </c>
      <c r="B149" s="3">
        <v>45747</v>
      </c>
      <c r="C149" s="3">
        <v>45831</v>
      </c>
      <c r="D149">
        <v>106</v>
      </c>
      <c r="E149">
        <v>3</v>
      </c>
      <c r="F149">
        <v>1</v>
      </c>
      <c r="G149" s="2">
        <v>2600</v>
      </c>
      <c r="H149" s="4">
        <v>0</v>
      </c>
      <c r="I149" s="2">
        <v>2600</v>
      </c>
      <c r="J149" t="s">
        <v>256</v>
      </c>
      <c r="K149" t="s">
        <v>254</v>
      </c>
      <c r="L149">
        <v>5</v>
      </c>
      <c r="M149" t="str">
        <f>_xlfn.XLOOKUP(E149,tPacotes[ID_Pacote],tPacotes[Pacote])</f>
        <v>Serra Gaúcha</v>
      </c>
      <c r="N149" t="str">
        <f>_xlfn.XLOOKUP(E149,tPacotes[ID_Pacote],tPacotes[Categoria])</f>
        <v>Inverno</v>
      </c>
      <c r="O149" t="str">
        <f>_xlfn.XLOOKUP(D149,tClientes[ID_Cliente],tClientes[UF])</f>
        <v>PE</v>
      </c>
    </row>
    <row r="150" spans="1:15" x14ac:dyDescent="0.3">
      <c r="A150">
        <v>149</v>
      </c>
      <c r="B150" s="3">
        <v>45748</v>
      </c>
      <c r="C150" s="3">
        <v>45774</v>
      </c>
      <c r="D150">
        <v>152</v>
      </c>
      <c r="E150">
        <v>1</v>
      </c>
      <c r="F150">
        <v>3</v>
      </c>
      <c r="G150" s="2">
        <v>9600</v>
      </c>
      <c r="H150" s="4">
        <v>0</v>
      </c>
      <c r="I150" s="2">
        <v>9600</v>
      </c>
      <c r="J150" t="s">
        <v>257</v>
      </c>
      <c r="K150" t="s">
        <v>254</v>
      </c>
      <c r="L150">
        <v>4</v>
      </c>
      <c r="M150" t="str">
        <f>_xlfn.XLOOKUP(E150,tPacotes[ID_Pacote],tPacotes[Pacote])</f>
        <v>Nordeste Encantado</v>
      </c>
      <c r="N150" t="str">
        <f>_xlfn.XLOOKUP(E150,tPacotes[ID_Pacote],tPacotes[Categoria])</f>
        <v>Praia</v>
      </c>
      <c r="O150" t="str">
        <f>_xlfn.XLOOKUP(D150,tClientes[ID_Cliente],tClientes[UF])</f>
        <v>SP</v>
      </c>
    </row>
    <row r="151" spans="1:15" x14ac:dyDescent="0.3">
      <c r="A151">
        <v>150</v>
      </c>
      <c r="B151" s="3">
        <v>45749</v>
      </c>
      <c r="C151" s="3">
        <v>45814</v>
      </c>
      <c r="D151">
        <v>25</v>
      </c>
      <c r="E151">
        <v>10</v>
      </c>
      <c r="F151">
        <v>2</v>
      </c>
      <c r="G151" s="2">
        <v>23000</v>
      </c>
      <c r="H151" s="4">
        <v>0</v>
      </c>
      <c r="I151" s="2">
        <v>23000</v>
      </c>
      <c r="J151" t="s">
        <v>257</v>
      </c>
      <c r="K151" t="s">
        <v>254</v>
      </c>
      <c r="L151">
        <v>5</v>
      </c>
      <c r="M151" t="str">
        <f>_xlfn.XLOOKUP(E151,tPacotes[ID_Pacote],tPacotes[Pacote])</f>
        <v>Orlando Parques</v>
      </c>
      <c r="N151" t="str">
        <f>_xlfn.XLOOKUP(E151,tPacotes[ID_Pacote],tPacotes[Categoria])</f>
        <v>Parques</v>
      </c>
      <c r="O151" t="str">
        <f>_xlfn.XLOOKUP(D151,tClientes[ID_Cliente],tClientes[UF])</f>
        <v>PE</v>
      </c>
    </row>
    <row r="152" spans="1:15" x14ac:dyDescent="0.3">
      <c r="A152">
        <v>151</v>
      </c>
      <c r="B152" s="3">
        <v>45750</v>
      </c>
      <c r="C152" s="3">
        <v>45796</v>
      </c>
      <c r="D152">
        <v>83</v>
      </c>
      <c r="E152">
        <v>6</v>
      </c>
      <c r="F152">
        <v>1</v>
      </c>
      <c r="G152" s="2">
        <v>2100</v>
      </c>
      <c r="H152" s="4">
        <v>0</v>
      </c>
      <c r="I152" s="2">
        <v>2100</v>
      </c>
      <c r="J152" t="s">
        <v>253</v>
      </c>
      <c r="K152" t="s">
        <v>254</v>
      </c>
      <c r="L152">
        <v>3</v>
      </c>
      <c r="M152" t="str">
        <f>_xlfn.XLOOKUP(E152,tPacotes[ID_Pacote],tPacotes[Pacote])</f>
        <v>Foz do Iguaçu</v>
      </c>
      <c r="N152" t="str">
        <f>_xlfn.XLOOKUP(E152,tPacotes[ID_Pacote],tPacotes[Categoria])</f>
        <v>Natureza</v>
      </c>
      <c r="O152" t="str">
        <f>_xlfn.XLOOKUP(D152,tClientes[ID_Cliente],tClientes[UF])</f>
        <v>SP</v>
      </c>
    </row>
    <row r="153" spans="1:15" x14ac:dyDescent="0.3">
      <c r="A153">
        <v>152</v>
      </c>
      <c r="B153" s="3">
        <v>45750</v>
      </c>
      <c r="C153" s="3">
        <v>45890</v>
      </c>
      <c r="D153">
        <v>143</v>
      </c>
      <c r="E153">
        <v>13</v>
      </c>
      <c r="F153">
        <v>4</v>
      </c>
      <c r="G153" s="2">
        <v>29200</v>
      </c>
      <c r="H153" s="4">
        <v>0</v>
      </c>
      <c r="I153" s="2">
        <v>29200</v>
      </c>
      <c r="J153" t="s">
        <v>253</v>
      </c>
      <c r="K153" t="s">
        <v>254</v>
      </c>
      <c r="L153">
        <v>5</v>
      </c>
      <c r="M153" t="str">
        <f>_xlfn.XLOOKUP(E153,tPacotes[ID_Pacote],tPacotes[Pacote])</f>
        <v>Machu Picchu</v>
      </c>
      <c r="N153" t="str">
        <f>_xlfn.XLOOKUP(E153,tPacotes[ID_Pacote],tPacotes[Categoria])</f>
        <v>Aventura</v>
      </c>
      <c r="O153" t="str">
        <f>_xlfn.XLOOKUP(D153,tClientes[ID_Cliente],tClientes[UF])</f>
        <v>DF</v>
      </c>
    </row>
    <row r="154" spans="1:15" x14ac:dyDescent="0.3">
      <c r="A154">
        <v>153</v>
      </c>
      <c r="B154" s="3">
        <v>45750</v>
      </c>
      <c r="C154" s="3">
        <v>45754</v>
      </c>
      <c r="D154">
        <v>99</v>
      </c>
      <c r="E154">
        <v>10</v>
      </c>
      <c r="F154">
        <v>4</v>
      </c>
      <c r="G154" s="2">
        <v>46000</v>
      </c>
      <c r="H154" s="4">
        <v>0</v>
      </c>
      <c r="I154" s="2">
        <v>46000</v>
      </c>
      <c r="J154" t="s">
        <v>255</v>
      </c>
      <c r="K154" t="s">
        <v>254</v>
      </c>
      <c r="L154">
        <v>3</v>
      </c>
      <c r="M154" t="str">
        <f>_xlfn.XLOOKUP(E154,tPacotes[ID_Pacote],tPacotes[Pacote])</f>
        <v>Orlando Parques</v>
      </c>
      <c r="N154" t="str">
        <f>_xlfn.XLOOKUP(E154,tPacotes[ID_Pacote],tPacotes[Categoria])</f>
        <v>Parques</v>
      </c>
      <c r="O154" t="str">
        <f>_xlfn.XLOOKUP(D154,tClientes[ID_Cliente],tClientes[UF])</f>
        <v>SP</v>
      </c>
    </row>
    <row r="155" spans="1:15" x14ac:dyDescent="0.3">
      <c r="A155">
        <v>154</v>
      </c>
      <c r="B155" s="3">
        <v>45751</v>
      </c>
      <c r="C155" s="3">
        <v>45784</v>
      </c>
      <c r="D155">
        <v>127</v>
      </c>
      <c r="E155">
        <v>7</v>
      </c>
      <c r="F155">
        <v>5</v>
      </c>
      <c r="G155" s="2">
        <v>21000</v>
      </c>
      <c r="H155" s="4">
        <v>0.1</v>
      </c>
      <c r="I155" s="2">
        <v>18900</v>
      </c>
      <c r="J155" t="s">
        <v>253</v>
      </c>
      <c r="K155" t="s">
        <v>258</v>
      </c>
      <c r="M155" t="str">
        <f>_xlfn.XLOOKUP(E155,tPacotes[ID_Pacote],tPacotes[Pacote])</f>
        <v>Buenos Aires Clássica</v>
      </c>
      <c r="N155" t="str">
        <f>_xlfn.XLOOKUP(E155,tPacotes[ID_Pacote],tPacotes[Categoria])</f>
        <v>Cultural</v>
      </c>
      <c r="O155" t="str">
        <f>_xlfn.XLOOKUP(D155,tClientes[ID_Cliente],tClientes[UF])</f>
        <v>SP</v>
      </c>
    </row>
    <row r="156" spans="1:15" x14ac:dyDescent="0.3">
      <c r="A156">
        <v>155</v>
      </c>
      <c r="B156" s="3">
        <v>45751</v>
      </c>
      <c r="C156" s="3">
        <v>45762</v>
      </c>
      <c r="D156">
        <v>31</v>
      </c>
      <c r="E156">
        <v>11</v>
      </c>
      <c r="F156">
        <v>4</v>
      </c>
      <c r="G156" s="2">
        <v>63200</v>
      </c>
      <c r="H156" s="4">
        <v>0.05</v>
      </c>
      <c r="I156" s="2">
        <v>60040</v>
      </c>
      <c r="J156" t="s">
        <v>257</v>
      </c>
      <c r="K156" t="s">
        <v>258</v>
      </c>
      <c r="M156" t="str">
        <f>_xlfn.XLOOKUP(E156,tPacotes[ID_Pacote],tPacotes[Pacote])</f>
        <v>Paris e Londres</v>
      </c>
      <c r="N156" t="str">
        <f>_xlfn.XLOOKUP(E156,tPacotes[ID_Pacote],tPacotes[Categoria])</f>
        <v>Cultural</v>
      </c>
      <c r="O156" t="str">
        <f>_xlfn.XLOOKUP(D156,tClientes[ID_Cliente],tClientes[UF])</f>
        <v>SP</v>
      </c>
    </row>
    <row r="157" spans="1:15" x14ac:dyDescent="0.3">
      <c r="A157">
        <v>156</v>
      </c>
      <c r="B157" s="3">
        <v>45751</v>
      </c>
      <c r="C157" s="3">
        <v>45797</v>
      </c>
      <c r="D157">
        <v>2</v>
      </c>
      <c r="E157">
        <v>12</v>
      </c>
      <c r="F157">
        <v>4</v>
      </c>
      <c r="G157" s="2">
        <v>49600</v>
      </c>
      <c r="H157" s="4">
        <v>0</v>
      </c>
      <c r="I157" s="2">
        <v>49600</v>
      </c>
      <c r="J157" t="s">
        <v>253</v>
      </c>
      <c r="K157" t="s">
        <v>258</v>
      </c>
      <c r="M157" t="str">
        <f>_xlfn.XLOOKUP(E157,tPacotes[ID_Pacote],tPacotes[Pacote])</f>
        <v>Lisboa e Porto</v>
      </c>
      <c r="N157" t="str">
        <f>_xlfn.XLOOKUP(E157,tPacotes[ID_Pacote],tPacotes[Categoria])</f>
        <v>Cultural</v>
      </c>
      <c r="O157" t="str">
        <f>_xlfn.XLOOKUP(D157,tClientes[ID_Cliente],tClientes[UF])</f>
        <v>RJ</v>
      </c>
    </row>
    <row r="158" spans="1:15" x14ac:dyDescent="0.3">
      <c r="A158">
        <v>157</v>
      </c>
      <c r="B158" s="3">
        <v>45751</v>
      </c>
      <c r="C158" s="3">
        <v>45821</v>
      </c>
      <c r="D158">
        <v>118</v>
      </c>
      <c r="E158">
        <v>8</v>
      </c>
      <c r="F158">
        <v>2</v>
      </c>
      <c r="G158" s="2">
        <v>11800</v>
      </c>
      <c r="H158" s="4">
        <v>0.15</v>
      </c>
      <c r="I158" s="2">
        <v>10030</v>
      </c>
      <c r="J158" t="s">
        <v>253</v>
      </c>
      <c r="K158" t="s">
        <v>254</v>
      </c>
      <c r="L158">
        <v>5</v>
      </c>
      <c r="M158" t="str">
        <f>_xlfn.XLOOKUP(E158,tPacotes[ID_Pacote],tPacotes[Pacote])</f>
        <v>Santiago e Neve</v>
      </c>
      <c r="N158" t="str">
        <f>_xlfn.XLOOKUP(E158,tPacotes[ID_Pacote],tPacotes[Categoria])</f>
        <v>Inverno</v>
      </c>
      <c r="O158" t="str">
        <f>_xlfn.XLOOKUP(D158,tClientes[ID_Cliente],tClientes[UF])</f>
        <v>SP</v>
      </c>
    </row>
    <row r="159" spans="1:15" x14ac:dyDescent="0.3">
      <c r="A159">
        <v>158</v>
      </c>
      <c r="B159" s="3">
        <v>45751</v>
      </c>
      <c r="C159" s="3">
        <v>45766</v>
      </c>
      <c r="D159">
        <v>192</v>
      </c>
      <c r="E159">
        <v>12</v>
      </c>
      <c r="F159">
        <v>2</v>
      </c>
      <c r="G159" s="2">
        <v>24800</v>
      </c>
      <c r="H159" s="4">
        <v>0</v>
      </c>
      <c r="I159" s="2">
        <v>24800</v>
      </c>
      <c r="J159" t="s">
        <v>253</v>
      </c>
      <c r="K159" t="s">
        <v>254</v>
      </c>
      <c r="L159">
        <v>4</v>
      </c>
      <c r="M159" t="str">
        <f>_xlfn.XLOOKUP(E159,tPacotes[ID_Pacote],tPacotes[Pacote])</f>
        <v>Lisboa e Porto</v>
      </c>
      <c r="N159" t="str">
        <f>_xlfn.XLOOKUP(E159,tPacotes[ID_Pacote],tPacotes[Categoria])</f>
        <v>Cultural</v>
      </c>
      <c r="O159" t="str">
        <f>_xlfn.XLOOKUP(D159,tClientes[ID_Cliente],tClientes[UF])</f>
        <v>SP</v>
      </c>
    </row>
    <row r="160" spans="1:15" x14ac:dyDescent="0.3">
      <c r="A160">
        <v>159</v>
      </c>
      <c r="B160" s="3">
        <v>45752</v>
      </c>
      <c r="C160" s="3">
        <v>45899</v>
      </c>
      <c r="D160">
        <v>90</v>
      </c>
      <c r="E160">
        <v>9</v>
      </c>
      <c r="F160">
        <v>1</v>
      </c>
      <c r="G160" s="2">
        <v>8900</v>
      </c>
      <c r="H160" s="4">
        <v>0.1</v>
      </c>
      <c r="I160" s="2">
        <v>8010</v>
      </c>
      <c r="J160" t="s">
        <v>253</v>
      </c>
      <c r="K160" t="s">
        <v>254</v>
      </c>
      <c r="L160">
        <v>5</v>
      </c>
      <c r="M160" t="str">
        <f>_xlfn.XLOOKUP(E160,tPacotes[ID_Pacote],tPacotes[Pacote])</f>
        <v>Cancún All Inclusive</v>
      </c>
      <c r="N160" t="str">
        <f>_xlfn.XLOOKUP(E160,tPacotes[ID_Pacote],tPacotes[Categoria])</f>
        <v>Praia</v>
      </c>
      <c r="O160" t="str">
        <f>_xlfn.XLOOKUP(D160,tClientes[ID_Cliente],tClientes[UF])</f>
        <v>RS</v>
      </c>
    </row>
    <row r="161" spans="1:15" x14ac:dyDescent="0.3">
      <c r="A161">
        <v>160</v>
      </c>
      <c r="B161" s="3">
        <v>45752</v>
      </c>
      <c r="C161" s="3">
        <v>45797</v>
      </c>
      <c r="D161">
        <v>57</v>
      </c>
      <c r="E161">
        <v>1</v>
      </c>
      <c r="F161">
        <v>2</v>
      </c>
      <c r="G161" s="2">
        <v>6400</v>
      </c>
      <c r="H161" s="4">
        <v>0.05</v>
      </c>
      <c r="I161" s="2">
        <v>6080</v>
      </c>
      <c r="J161" t="s">
        <v>257</v>
      </c>
      <c r="K161" t="s">
        <v>254</v>
      </c>
      <c r="L161">
        <v>4</v>
      </c>
      <c r="M161" t="str">
        <f>_xlfn.XLOOKUP(E161,tPacotes[ID_Pacote],tPacotes[Pacote])</f>
        <v>Nordeste Encantado</v>
      </c>
      <c r="N161" t="str">
        <f>_xlfn.XLOOKUP(E161,tPacotes[ID_Pacote],tPacotes[Categoria])</f>
        <v>Praia</v>
      </c>
      <c r="O161" t="str">
        <f>_xlfn.XLOOKUP(D161,tClientes[ID_Cliente],tClientes[UF])</f>
        <v>MG</v>
      </c>
    </row>
    <row r="162" spans="1:15" x14ac:dyDescent="0.3">
      <c r="A162">
        <v>161</v>
      </c>
      <c r="B162" s="3">
        <v>45752</v>
      </c>
      <c r="C162" s="3">
        <v>45885</v>
      </c>
      <c r="D162">
        <v>128</v>
      </c>
      <c r="E162">
        <v>2</v>
      </c>
      <c r="F162">
        <v>4</v>
      </c>
      <c r="G162" s="2">
        <v>7200</v>
      </c>
      <c r="H162" s="4">
        <v>0</v>
      </c>
      <c r="I162" s="2">
        <v>7200</v>
      </c>
      <c r="J162" t="s">
        <v>257</v>
      </c>
      <c r="K162" t="s">
        <v>254</v>
      </c>
      <c r="L162">
        <v>4</v>
      </c>
      <c r="M162" t="str">
        <f>_xlfn.XLOOKUP(E162,tPacotes[ID_Pacote],tPacotes[Pacote])</f>
        <v>Rio Cidade Maravilhosa</v>
      </c>
      <c r="N162" t="str">
        <f>_xlfn.XLOOKUP(E162,tPacotes[ID_Pacote],tPacotes[Categoria])</f>
        <v>Cultural</v>
      </c>
      <c r="O162" t="str">
        <f>_xlfn.XLOOKUP(D162,tClientes[ID_Cliente],tClientes[UF])</f>
        <v>DF</v>
      </c>
    </row>
    <row r="163" spans="1:15" x14ac:dyDescent="0.3">
      <c r="A163">
        <v>162</v>
      </c>
      <c r="B163" s="3">
        <v>45753</v>
      </c>
      <c r="C163" s="3">
        <v>45888</v>
      </c>
      <c r="D163">
        <v>72</v>
      </c>
      <c r="E163">
        <v>2</v>
      </c>
      <c r="F163">
        <v>3</v>
      </c>
      <c r="G163" s="2">
        <v>5400</v>
      </c>
      <c r="H163" s="4">
        <v>0</v>
      </c>
      <c r="I163" s="2">
        <v>5400</v>
      </c>
      <c r="J163" t="s">
        <v>253</v>
      </c>
      <c r="K163" t="s">
        <v>254</v>
      </c>
      <c r="L163">
        <v>5</v>
      </c>
      <c r="M163" t="str">
        <f>_xlfn.XLOOKUP(E163,tPacotes[ID_Pacote],tPacotes[Pacote])</f>
        <v>Rio Cidade Maravilhosa</v>
      </c>
      <c r="N163" t="str">
        <f>_xlfn.XLOOKUP(E163,tPacotes[ID_Pacote],tPacotes[Categoria])</f>
        <v>Cultural</v>
      </c>
      <c r="O163" t="str">
        <f>_xlfn.XLOOKUP(D163,tClientes[ID_Cliente],tClientes[UF])</f>
        <v>PR</v>
      </c>
    </row>
    <row r="164" spans="1:15" x14ac:dyDescent="0.3">
      <c r="A164">
        <v>163</v>
      </c>
      <c r="B164" s="3">
        <v>45753</v>
      </c>
      <c r="C164" s="3">
        <v>45767</v>
      </c>
      <c r="D164">
        <v>91</v>
      </c>
      <c r="E164">
        <v>7</v>
      </c>
      <c r="F164">
        <v>2</v>
      </c>
      <c r="G164" s="2">
        <v>8400</v>
      </c>
      <c r="H164" s="4">
        <v>0</v>
      </c>
      <c r="I164" s="2">
        <v>8400</v>
      </c>
      <c r="J164" t="s">
        <v>256</v>
      </c>
      <c r="K164" t="s">
        <v>254</v>
      </c>
      <c r="L164">
        <v>3</v>
      </c>
      <c r="M164" t="str">
        <f>_xlfn.XLOOKUP(E164,tPacotes[ID_Pacote],tPacotes[Pacote])</f>
        <v>Buenos Aires Clássica</v>
      </c>
      <c r="N164" t="str">
        <f>_xlfn.XLOOKUP(E164,tPacotes[ID_Pacote],tPacotes[Categoria])</f>
        <v>Cultural</v>
      </c>
      <c r="O164" t="str">
        <f>_xlfn.XLOOKUP(D164,tClientes[ID_Cliente],tClientes[UF])</f>
        <v>SP</v>
      </c>
    </row>
    <row r="165" spans="1:15" x14ac:dyDescent="0.3">
      <c r="A165">
        <v>164</v>
      </c>
      <c r="B165" s="3">
        <v>45753</v>
      </c>
      <c r="C165" s="3">
        <v>45929</v>
      </c>
      <c r="D165">
        <v>40</v>
      </c>
      <c r="E165">
        <v>13</v>
      </c>
      <c r="F165">
        <v>2</v>
      </c>
      <c r="G165" s="2">
        <v>14600</v>
      </c>
      <c r="H165" s="4">
        <v>0.1</v>
      </c>
      <c r="I165" s="2">
        <v>13140</v>
      </c>
      <c r="J165" t="s">
        <v>253</v>
      </c>
      <c r="K165" t="s">
        <v>254</v>
      </c>
      <c r="L165">
        <v>5</v>
      </c>
      <c r="M165" t="str">
        <f>_xlfn.XLOOKUP(E165,tPacotes[ID_Pacote],tPacotes[Pacote])</f>
        <v>Machu Picchu</v>
      </c>
      <c r="N165" t="str">
        <f>_xlfn.XLOOKUP(E165,tPacotes[ID_Pacote],tPacotes[Categoria])</f>
        <v>Aventura</v>
      </c>
      <c r="O165" t="str">
        <f>_xlfn.XLOOKUP(D165,tClientes[ID_Cliente],tClientes[UF])</f>
        <v>RJ</v>
      </c>
    </row>
    <row r="166" spans="1:15" x14ac:dyDescent="0.3">
      <c r="A166">
        <v>165</v>
      </c>
      <c r="B166" s="3">
        <v>45754</v>
      </c>
      <c r="C166" s="3">
        <v>45803</v>
      </c>
      <c r="D166">
        <v>39</v>
      </c>
      <c r="E166">
        <v>1</v>
      </c>
      <c r="F166">
        <v>3</v>
      </c>
      <c r="G166" s="2">
        <v>9600</v>
      </c>
      <c r="H166" s="4">
        <v>0</v>
      </c>
      <c r="I166" s="2">
        <v>9600</v>
      </c>
      <c r="J166" t="s">
        <v>253</v>
      </c>
      <c r="K166" t="s">
        <v>254</v>
      </c>
      <c r="L166">
        <v>4</v>
      </c>
      <c r="M166" t="str">
        <f>_xlfn.XLOOKUP(E166,tPacotes[ID_Pacote],tPacotes[Pacote])</f>
        <v>Nordeste Encantado</v>
      </c>
      <c r="N166" t="str">
        <f>_xlfn.XLOOKUP(E166,tPacotes[ID_Pacote],tPacotes[Categoria])</f>
        <v>Praia</v>
      </c>
      <c r="O166" t="str">
        <f>_xlfn.XLOOKUP(D166,tClientes[ID_Cliente],tClientes[UF])</f>
        <v>RJ</v>
      </c>
    </row>
    <row r="167" spans="1:15" x14ac:dyDescent="0.3">
      <c r="A167">
        <v>166</v>
      </c>
      <c r="B167" s="3">
        <v>45754</v>
      </c>
      <c r="C167" s="3">
        <v>45786</v>
      </c>
      <c r="D167">
        <v>119</v>
      </c>
      <c r="E167">
        <v>2</v>
      </c>
      <c r="F167">
        <v>2</v>
      </c>
      <c r="G167" s="2">
        <v>3600</v>
      </c>
      <c r="H167" s="4">
        <v>0</v>
      </c>
      <c r="I167" s="2">
        <v>3600</v>
      </c>
      <c r="J167" t="s">
        <v>256</v>
      </c>
      <c r="K167" t="s">
        <v>254</v>
      </c>
      <c r="L167">
        <v>3</v>
      </c>
      <c r="M167" t="str">
        <f>_xlfn.XLOOKUP(E167,tPacotes[ID_Pacote],tPacotes[Pacote])</f>
        <v>Rio Cidade Maravilhosa</v>
      </c>
      <c r="N167" t="str">
        <f>_xlfn.XLOOKUP(E167,tPacotes[ID_Pacote],tPacotes[Categoria])</f>
        <v>Cultural</v>
      </c>
      <c r="O167" t="str">
        <f>_xlfn.XLOOKUP(D167,tClientes[ID_Cliente],tClientes[UF])</f>
        <v>SP</v>
      </c>
    </row>
    <row r="168" spans="1:15" x14ac:dyDescent="0.3">
      <c r="A168">
        <v>167</v>
      </c>
      <c r="B168" s="3">
        <v>45754</v>
      </c>
      <c r="C168" s="3">
        <v>45795</v>
      </c>
      <c r="D168">
        <v>53</v>
      </c>
      <c r="E168">
        <v>2</v>
      </c>
      <c r="F168">
        <v>2</v>
      </c>
      <c r="G168" s="2">
        <v>3600</v>
      </c>
      <c r="H168" s="4">
        <v>0</v>
      </c>
      <c r="I168" s="2">
        <v>3600</v>
      </c>
      <c r="J168" t="s">
        <v>256</v>
      </c>
      <c r="K168" t="s">
        <v>254</v>
      </c>
      <c r="L168">
        <v>5</v>
      </c>
      <c r="M168" t="str">
        <f>_xlfn.XLOOKUP(E168,tPacotes[ID_Pacote],tPacotes[Pacote])</f>
        <v>Rio Cidade Maravilhosa</v>
      </c>
      <c r="N168" t="str">
        <f>_xlfn.XLOOKUP(E168,tPacotes[ID_Pacote],tPacotes[Categoria])</f>
        <v>Cultural</v>
      </c>
      <c r="O168" t="str">
        <f>_xlfn.XLOOKUP(D168,tClientes[ID_Cliente],tClientes[UF])</f>
        <v>RJ</v>
      </c>
    </row>
    <row r="169" spans="1:15" x14ac:dyDescent="0.3">
      <c r="A169">
        <v>168</v>
      </c>
      <c r="B169" s="3">
        <v>45755</v>
      </c>
      <c r="C169" s="3">
        <v>45814</v>
      </c>
      <c r="D169">
        <v>29</v>
      </c>
      <c r="E169">
        <v>10</v>
      </c>
      <c r="F169">
        <v>1</v>
      </c>
      <c r="G169" s="2">
        <v>11500</v>
      </c>
      <c r="H169" s="4">
        <v>0</v>
      </c>
      <c r="I169" s="2">
        <v>11500</v>
      </c>
      <c r="J169" t="s">
        <v>256</v>
      </c>
      <c r="K169" t="s">
        <v>254</v>
      </c>
      <c r="L169">
        <v>4</v>
      </c>
      <c r="M169" t="str">
        <f>_xlfn.XLOOKUP(E169,tPacotes[ID_Pacote],tPacotes[Pacote])</f>
        <v>Orlando Parques</v>
      </c>
      <c r="N169" t="str">
        <f>_xlfn.XLOOKUP(E169,tPacotes[ID_Pacote],tPacotes[Categoria])</f>
        <v>Parques</v>
      </c>
      <c r="O169" t="str">
        <f>_xlfn.XLOOKUP(D169,tClientes[ID_Cliente],tClientes[UF])</f>
        <v>SP</v>
      </c>
    </row>
    <row r="170" spans="1:15" x14ac:dyDescent="0.3">
      <c r="A170">
        <v>169</v>
      </c>
      <c r="B170" s="3">
        <v>45755</v>
      </c>
      <c r="C170" s="3">
        <v>45842</v>
      </c>
      <c r="D170">
        <v>14</v>
      </c>
      <c r="E170">
        <v>1</v>
      </c>
      <c r="F170">
        <v>3</v>
      </c>
      <c r="G170" s="2">
        <v>9600</v>
      </c>
      <c r="H170" s="4">
        <v>0</v>
      </c>
      <c r="I170" s="2">
        <v>9600</v>
      </c>
      <c r="J170" t="s">
        <v>253</v>
      </c>
      <c r="K170" t="s">
        <v>254</v>
      </c>
      <c r="L170">
        <v>5</v>
      </c>
      <c r="M170" t="str">
        <f>_xlfn.XLOOKUP(E170,tPacotes[ID_Pacote],tPacotes[Pacote])</f>
        <v>Nordeste Encantado</v>
      </c>
      <c r="N170" t="str">
        <f>_xlfn.XLOOKUP(E170,tPacotes[ID_Pacote],tPacotes[Categoria])</f>
        <v>Praia</v>
      </c>
      <c r="O170" t="str">
        <f>_xlfn.XLOOKUP(D170,tClientes[ID_Cliente],tClientes[UF])</f>
        <v>PE</v>
      </c>
    </row>
    <row r="171" spans="1:15" x14ac:dyDescent="0.3">
      <c r="A171">
        <v>170</v>
      </c>
      <c r="B171" s="3">
        <v>45755</v>
      </c>
      <c r="C171" s="3">
        <v>45871</v>
      </c>
      <c r="D171">
        <v>174</v>
      </c>
      <c r="E171">
        <v>11</v>
      </c>
      <c r="F171">
        <v>3</v>
      </c>
      <c r="G171" s="2">
        <v>47400</v>
      </c>
      <c r="H171" s="4">
        <v>0.1</v>
      </c>
      <c r="I171" s="2">
        <v>42660</v>
      </c>
      <c r="J171" t="s">
        <v>253</v>
      </c>
      <c r="K171" t="s">
        <v>254</v>
      </c>
      <c r="L171">
        <v>3</v>
      </c>
      <c r="M171" t="str">
        <f>_xlfn.XLOOKUP(E171,tPacotes[ID_Pacote],tPacotes[Pacote])</f>
        <v>Paris e Londres</v>
      </c>
      <c r="N171" t="str">
        <f>_xlfn.XLOOKUP(E171,tPacotes[ID_Pacote],tPacotes[Categoria])</f>
        <v>Cultural</v>
      </c>
      <c r="O171" t="str">
        <f>_xlfn.XLOOKUP(D171,tClientes[ID_Cliente],tClientes[UF])</f>
        <v>SP</v>
      </c>
    </row>
    <row r="172" spans="1:15" x14ac:dyDescent="0.3">
      <c r="A172">
        <v>171</v>
      </c>
      <c r="B172" s="3">
        <v>45755</v>
      </c>
      <c r="C172" s="3">
        <v>45919</v>
      </c>
      <c r="D172">
        <v>140</v>
      </c>
      <c r="E172">
        <v>12</v>
      </c>
      <c r="F172">
        <v>2</v>
      </c>
      <c r="G172" s="2">
        <v>24800</v>
      </c>
      <c r="H172" s="4">
        <v>0.1</v>
      </c>
      <c r="I172" s="2">
        <v>22320</v>
      </c>
      <c r="J172" t="s">
        <v>255</v>
      </c>
      <c r="K172" t="s">
        <v>254</v>
      </c>
      <c r="L172">
        <v>2</v>
      </c>
      <c r="M172" t="str">
        <f>_xlfn.XLOOKUP(E172,tPacotes[ID_Pacote],tPacotes[Pacote])</f>
        <v>Lisboa e Porto</v>
      </c>
      <c r="N172" t="str">
        <f>_xlfn.XLOOKUP(E172,tPacotes[ID_Pacote],tPacotes[Categoria])</f>
        <v>Cultural</v>
      </c>
      <c r="O172" t="str">
        <f>_xlfn.XLOOKUP(D172,tClientes[ID_Cliente],tClientes[UF])</f>
        <v>RJ</v>
      </c>
    </row>
    <row r="173" spans="1:15" x14ac:dyDescent="0.3">
      <c r="A173">
        <v>172</v>
      </c>
      <c r="B173" s="3">
        <v>45755</v>
      </c>
      <c r="C173" s="3">
        <v>45773</v>
      </c>
      <c r="D173">
        <v>76</v>
      </c>
      <c r="E173">
        <v>8</v>
      </c>
      <c r="F173">
        <v>1</v>
      </c>
      <c r="G173" s="2">
        <v>5900</v>
      </c>
      <c r="H173" s="4">
        <v>0.1</v>
      </c>
      <c r="I173" s="2">
        <v>5310</v>
      </c>
      <c r="J173" t="s">
        <v>253</v>
      </c>
      <c r="K173" t="s">
        <v>254</v>
      </c>
      <c r="L173">
        <v>4</v>
      </c>
      <c r="M173" t="str">
        <f>_xlfn.XLOOKUP(E173,tPacotes[ID_Pacote],tPacotes[Pacote])</f>
        <v>Santiago e Neve</v>
      </c>
      <c r="N173" t="str">
        <f>_xlfn.XLOOKUP(E173,tPacotes[ID_Pacote],tPacotes[Categoria])</f>
        <v>Inverno</v>
      </c>
      <c r="O173" t="str">
        <f>_xlfn.XLOOKUP(D173,tClientes[ID_Cliente],tClientes[UF])</f>
        <v>DF</v>
      </c>
    </row>
    <row r="174" spans="1:15" x14ac:dyDescent="0.3">
      <c r="A174">
        <v>173</v>
      </c>
      <c r="B174" s="3">
        <v>45756</v>
      </c>
      <c r="C174" s="3">
        <v>45816</v>
      </c>
      <c r="D174">
        <v>136</v>
      </c>
      <c r="E174">
        <v>2</v>
      </c>
      <c r="F174">
        <v>1</v>
      </c>
      <c r="G174" s="2">
        <v>1800</v>
      </c>
      <c r="H174" s="4">
        <v>0.1</v>
      </c>
      <c r="I174" s="2">
        <v>1620</v>
      </c>
      <c r="J174" t="s">
        <v>255</v>
      </c>
      <c r="K174" t="s">
        <v>258</v>
      </c>
      <c r="M174" t="str">
        <f>_xlfn.XLOOKUP(E174,tPacotes[ID_Pacote],tPacotes[Pacote])</f>
        <v>Rio Cidade Maravilhosa</v>
      </c>
      <c r="N174" t="str">
        <f>_xlfn.XLOOKUP(E174,tPacotes[ID_Pacote],tPacotes[Categoria])</f>
        <v>Cultural</v>
      </c>
      <c r="O174" t="str">
        <f>_xlfn.XLOOKUP(D174,tClientes[ID_Cliente],tClientes[UF])</f>
        <v>MG</v>
      </c>
    </row>
    <row r="175" spans="1:15" x14ac:dyDescent="0.3">
      <c r="A175">
        <v>174</v>
      </c>
      <c r="B175" s="3">
        <v>45756</v>
      </c>
      <c r="C175" s="3">
        <v>45899</v>
      </c>
      <c r="D175">
        <v>27</v>
      </c>
      <c r="E175">
        <v>3</v>
      </c>
      <c r="F175">
        <v>1</v>
      </c>
      <c r="G175" s="2">
        <v>2600</v>
      </c>
      <c r="H175" s="4">
        <v>0.1</v>
      </c>
      <c r="I175" s="2">
        <v>2340</v>
      </c>
      <c r="J175" t="s">
        <v>256</v>
      </c>
      <c r="K175" t="s">
        <v>258</v>
      </c>
      <c r="M175" t="str">
        <f>_xlfn.XLOOKUP(E175,tPacotes[ID_Pacote],tPacotes[Pacote])</f>
        <v>Serra Gaúcha</v>
      </c>
      <c r="N175" t="str">
        <f>_xlfn.XLOOKUP(E175,tPacotes[ID_Pacote],tPacotes[Categoria])</f>
        <v>Inverno</v>
      </c>
      <c r="O175" t="str">
        <f>_xlfn.XLOOKUP(D175,tClientes[ID_Cliente],tClientes[UF])</f>
        <v>PR</v>
      </c>
    </row>
    <row r="176" spans="1:15" x14ac:dyDescent="0.3">
      <c r="A176">
        <v>175</v>
      </c>
      <c r="B176" s="3">
        <v>45756</v>
      </c>
      <c r="C176" s="3">
        <v>45765</v>
      </c>
      <c r="D176">
        <v>187</v>
      </c>
      <c r="E176">
        <v>3</v>
      </c>
      <c r="F176">
        <v>2</v>
      </c>
      <c r="G176" s="2">
        <v>5200</v>
      </c>
      <c r="H176" s="4">
        <v>0</v>
      </c>
      <c r="I176" s="2">
        <v>5200</v>
      </c>
      <c r="J176" t="s">
        <v>253</v>
      </c>
      <c r="K176" t="s">
        <v>254</v>
      </c>
      <c r="L176">
        <v>5</v>
      </c>
      <c r="M176" t="str">
        <f>_xlfn.XLOOKUP(E176,tPacotes[ID_Pacote],tPacotes[Pacote])</f>
        <v>Serra Gaúcha</v>
      </c>
      <c r="N176" t="str">
        <f>_xlfn.XLOOKUP(E176,tPacotes[ID_Pacote],tPacotes[Categoria])</f>
        <v>Inverno</v>
      </c>
      <c r="O176" t="str">
        <f>_xlfn.XLOOKUP(D176,tClientes[ID_Cliente],tClientes[UF])</f>
        <v>BA</v>
      </c>
    </row>
    <row r="177" spans="1:15" x14ac:dyDescent="0.3">
      <c r="A177">
        <v>176</v>
      </c>
      <c r="B177" s="3">
        <v>45756</v>
      </c>
      <c r="C177" s="3">
        <v>45913</v>
      </c>
      <c r="D177">
        <v>110</v>
      </c>
      <c r="E177">
        <v>14</v>
      </c>
      <c r="F177">
        <v>3</v>
      </c>
      <c r="G177" s="2">
        <v>8700</v>
      </c>
      <c r="H177" s="4">
        <v>0</v>
      </c>
      <c r="I177" s="2">
        <v>8700</v>
      </c>
      <c r="J177" t="s">
        <v>253</v>
      </c>
      <c r="K177" t="s">
        <v>254</v>
      </c>
      <c r="L177">
        <v>5</v>
      </c>
      <c r="M177" t="str">
        <f>_xlfn.XLOOKUP(E177,tPacotes[ID_Pacote],tPacotes[Pacote])</f>
        <v>Lençóis Maranhenses</v>
      </c>
      <c r="N177" t="str">
        <f>_xlfn.XLOOKUP(E177,tPacotes[ID_Pacote],tPacotes[Categoria])</f>
        <v>Natureza</v>
      </c>
      <c r="O177" t="str">
        <f>_xlfn.XLOOKUP(D177,tClientes[ID_Cliente],tClientes[UF])</f>
        <v>SP</v>
      </c>
    </row>
    <row r="178" spans="1:15" x14ac:dyDescent="0.3">
      <c r="A178">
        <v>177</v>
      </c>
      <c r="B178" s="3">
        <v>45757</v>
      </c>
      <c r="C178" s="3">
        <v>45824</v>
      </c>
      <c r="D178">
        <v>139</v>
      </c>
      <c r="E178">
        <v>1</v>
      </c>
      <c r="F178">
        <v>1</v>
      </c>
      <c r="G178" s="2">
        <v>3200</v>
      </c>
      <c r="H178" s="4">
        <v>0</v>
      </c>
      <c r="I178" s="2">
        <v>3200</v>
      </c>
      <c r="J178" t="s">
        <v>257</v>
      </c>
      <c r="K178" t="s">
        <v>254</v>
      </c>
      <c r="L178">
        <v>3</v>
      </c>
      <c r="M178" t="str">
        <f>_xlfn.XLOOKUP(E178,tPacotes[ID_Pacote],tPacotes[Pacote])</f>
        <v>Nordeste Encantado</v>
      </c>
      <c r="N178" t="str">
        <f>_xlfn.XLOOKUP(E178,tPacotes[ID_Pacote],tPacotes[Categoria])</f>
        <v>Praia</v>
      </c>
      <c r="O178" t="str">
        <f>_xlfn.XLOOKUP(D178,tClientes[ID_Cliente],tClientes[UF])</f>
        <v>SP</v>
      </c>
    </row>
    <row r="179" spans="1:15" x14ac:dyDescent="0.3">
      <c r="A179">
        <v>178</v>
      </c>
      <c r="B179" s="3">
        <v>45758</v>
      </c>
      <c r="C179" s="3">
        <v>45774</v>
      </c>
      <c r="D179">
        <v>181</v>
      </c>
      <c r="E179">
        <v>1</v>
      </c>
      <c r="F179">
        <v>1</v>
      </c>
      <c r="G179" s="2">
        <v>3200</v>
      </c>
      <c r="H179" s="4">
        <v>0.05</v>
      </c>
      <c r="I179" s="2">
        <v>3040</v>
      </c>
      <c r="J179" t="s">
        <v>255</v>
      </c>
      <c r="K179" t="s">
        <v>254</v>
      </c>
      <c r="L179">
        <v>4</v>
      </c>
      <c r="M179" t="str">
        <f>_xlfn.XLOOKUP(E179,tPacotes[ID_Pacote],tPacotes[Pacote])</f>
        <v>Nordeste Encantado</v>
      </c>
      <c r="N179" t="str">
        <f>_xlfn.XLOOKUP(E179,tPacotes[ID_Pacote],tPacotes[Categoria])</f>
        <v>Praia</v>
      </c>
      <c r="O179" t="str">
        <f>_xlfn.XLOOKUP(D179,tClientes[ID_Cliente],tClientes[UF])</f>
        <v>RJ</v>
      </c>
    </row>
    <row r="180" spans="1:15" x14ac:dyDescent="0.3">
      <c r="A180">
        <v>179</v>
      </c>
      <c r="B180" s="3">
        <v>45758</v>
      </c>
      <c r="C180" s="3">
        <v>45797</v>
      </c>
      <c r="D180">
        <v>1</v>
      </c>
      <c r="E180">
        <v>13</v>
      </c>
      <c r="F180">
        <v>3</v>
      </c>
      <c r="G180" s="2">
        <v>21900</v>
      </c>
      <c r="H180" s="4">
        <v>0.05</v>
      </c>
      <c r="I180" s="2">
        <v>20805</v>
      </c>
      <c r="J180" t="s">
        <v>253</v>
      </c>
      <c r="K180" t="s">
        <v>254</v>
      </c>
      <c r="L180">
        <v>5</v>
      </c>
      <c r="M180" t="str">
        <f>_xlfn.XLOOKUP(E180,tPacotes[ID_Pacote],tPacotes[Pacote])</f>
        <v>Machu Picchu</v>
      </c>
      <c r="N180" t="str">
        <f>_xlfn.XLOOKUP(E180,tPacotes[ID_Pacote],tPacotes[Categoria])</f>
        <v>Aventura</v>
      </c>
      <c r="O180" t="str">
        <f>_xlfn.XLOOKUP(D180,tClientes[ID_Cliente],tClientes[UF])</f>
        <v>DF</v>
      </c>
    </row>
    <row r="181" spans="1:15" x14ac:dyDescent="0.3">
      <c r="A181">
        <v>180</v>
      </c>
      <c r="B181" s="3">
        <v>45759</v>
      </c>
      <c r="C181" s="3">
        <v>45817</v>
      </c>
      <c r="D181">
        <v>153</v>
      </c>
      <c r="E181">
        <v>3</v>
      </c>
      <c r="F181">
        <v>2</v>
      </c>
      <c r="G181" s="2">
        <v>5200</v>
      </c>
      <c r="H181" s="4">
        <v>0.15</v>
      </c>
      <c r="I181" s="2">
        <v>4420</v>
      </c>
      <c r="J181" t="s">
        <v>253</v>
      </c>
      <c r="K181" t="s">
        <v>254</v>
      </c>
      <c r="L181">
        <v>3</v>
      </c>
      <c r="M181" t="str">
        <f>_xlfn.XLOOKUP(E181,tPacotes[ID_Pacote],tPacotes[Pacote])</f>
        <v>Serra Gaúcha</v>
      </c>
      <c r="N181" t="str">
        <f>_xlfn.XLOOKUP(E181,tPacotes[ID_Pacote],tPacotes[Categoria])</f>
        <v>Inverno</v>
      </c>
      <c r="O181" t="str">
        <f>_xlfn.XLOOKUP(D181,tClientes[ID_Cliente],tClientes[UF])</f>
        <v>SP</v>
      </c>
    </row>
    <row r="182" spans="1:15" x14ac:dyDescent="0.3">
      <c r="A182">
        <v>181</v>
      </c>
      <c r="B182" s="3">
        <v>45759</v>
      </c>
      <c r="C182" s="3">
        <v>45802</v>
      </c>
      <c r="D182">
        <v>18</v>
      </c>
      <c r="E182">
        <v>6</v>
      </c>
      <c r="F182">
        <v>2</v>
      </c>
      <c r="G182" s="2">
        <v>4200</v>
      </c>
      <c r="H182" s="4">
        <v>0.05</v>
      </c>
      <c r="I182" s="2">
        <v>3990</v>
      </c>
      <c r="J182" t="s">
        <v>253</v>
      </c>
      <c r="K182" t="s">
        <v>254</v>
      </c>
      <c r="L182">
        <v>5</v>
      </c>
      <c r="M182" t="str">
        <f>_xlfn.XLOOKUP(E182,tPacotes[ID_Pacote],tPacotes[Pacote])</f>
        <v>Foz do Iguaçu</v>
      </c>
      <c r="N182" t="str">
        <f>_xlfn.XLOOKUP(E182,tPacotes[ID_Pacote],tPacotes[Categoria])</f>
        <v>Natureza</v>
      </c>
      <c r="O182" t="str">
        <f>_xlfn.XLOOKUP(D182,tClientes[ID_Cliente],tClientes[UF])</f>
        <v>PR</v>
      </c>
    </row>
    <row r="183" spans="1:15" x14ac:dyDescent="0.3">
      <c r="A183">
        <v>182</v>
      </c>
      <c r="B183" s="3">
        <v>45759</v>
      </c>
      <c r="C183" s="3">
        <v>45768</v>
      </c>
      <c r="D183">
        <v>91</v>
      </c>
      <c r="E183">
        <v>10</v>
      </c>
      <c r="F183">
        <v>1</v>
      </c>
      <c r="G183" s="2">
        <v>11500</v>
      </c>
      <c r="H183" s="4">
        <v>0</v>
      </c>
      <c r="I183" s="2">
        <v>11500</v>
      </c>
      <c r="J183" t="s">
        <v>253</v>
      </c>
      <c r="K183" t="s">
        <v>254</v>
      </c>
      <c r="L183">
        <v>4</v>
      </c>
      <c r="M183" t="str">
        <f>_xlfn.XLOOKUP(E183,tPacotes[ID_Pacote],tPacotes[Pacote])</f>
        <v>Orlando Parques</v>
      </c>
      <c r="N183" t="str">
        <f>_xlfn.XLOOKUP(E183,tPacotes[ID_Pacote],tPacotes[Categoria])</f>
        <v>Parques</v>
      </c>
      <c r="O183" t="str">
        <f>_xlfn.XLOOKUP(D183,tClientes[ID_Cliente],tClientes[UF])</f>
        <v>SP</v>
      </c>
    </row>
    <row r="184" spans="1:15" x14ac:dyDescent="0.3">
      <c r="A184">
        <v>183</v>
      </c>
      <c r="B184" s="3">
        <v>45760</v>
      </c>
      <c r="C184" s="3">
        <v>45802</v>
      </c>
      <c r="D184">
        <v>11</v>
      </c>
      <c r="E184">
        <v>1</v>
      </c>
      <c r="F184">
        <v>2</v>
      </c>
      <c r="G184" s="2">
        <v>6400</v>
      </c>
      <c r="H184" s="4">
        <v>0</v>
      </c>
      <c r="I184" s="2">
        <v>6400</v>
      </c>
      <c r="J184" t="s">
        <v>253</v>
      </c>
      <c r="K184" t="s">
        <v>258</v>
      </c>
      <c r="M184" t="str">
        <f>_xlfn.XLOOKUP(E184,tPacotes[ID_Pacote],tPacotes[Pacote])</f>
        <v>Nordeste Encantado</v>
      </c>
      <c r="N184" t="str">
        <f>_xlfn.XLOOKUP(E184,tPacotes[ID_Pacote],tPacotes[Categoria])</f>
        <v>Praia</v>
      </c>
      <c r="O184" t="str">
        <f>_xlfn.XLOOKUP(D184,tClientes[ID_Cliente],tClientes[UF])</f>
        <v>RJ</v>
      </c>
    </row>
    <row r="185" spans="1:15" x14ac:dyDescent="0.3">
      <c r="A185">
        <v>184</v>
      </c>
      <c r="B185" s="3">
        <v>45760</v>
      </c>
      <c r="C185" s="3">
        <v>45816</v>
      </c>
      <c r="D185">
        <v>9</v>
      </c>
      <c r="E185">
        <v>8</v>
      </c>
      <c r="F185">
        <v>4</v>
      </c>
      <c r="G185" s="2">
        <v>23600</v>
      </c>
      <c r="H185" s="4">
        <v>0.05</v>
      </c>
      <c r="I185" s="2">
        <v>22420</v>
      </c>
      <c r="J185" t="s">
        <v>257</v>
      </c>
      <c r="K185" t="s">
        <v>254</v>
      </c>
      <c r="L185">
        <v>3</v>
      </c>
      <c r="M185" t="str">
        <f>_xlfn.XLOOKUP(E185,tPacotes[ID_Pacote],tPacotes[Pacote])</f>
        <v>Santiago e Neve</v>
      </c>
      <c r="N185" t="str">
        <f>_xlfn.XLOOKUP(E185,tPacotes[ID_Pacote],tPacotes[Categoria])</f>
        <v>Inverno</v>
      </c>
      <c r="O185" t="str">
        <f>_xlfn.XLOOKUP(D185,tClientes[ID_Cliente],tClientes[UF])</f>
        <v>MG</v>
      </c>
    </row>
    <row r="186" spans="1:15" x14ac:dyDescent="0.3">
      <c r="A186">
        <v>185</v>
      </c>
      <c r="B186" s="3">
        <v>45761</v>
      </c>
      <c r="C186" s="3">
        <v>45903</v>
      </c>
      <c r="D186">
        <v>170</v>
      </c>
      <c r="E186">
        <v>11</v>
      </c>
      <c r="F186">
        <v>1</v>
      </c>
      <c r="G186" s="2">
        <v>15800</v>
      </c>
      <c r="H186" s="4">
        <v>0.05</v>
      </c>
      <c r="I186" s="2">
        <v>15010</v>
      </c>
      <c r="J186" t="s">
        <v>253</v>
      </c>
      <c r="K186" t="s">
        <v>254</v>
      </c>
      <c r="L186">
        <v>4</v>
      </c>
      <c r="M186" t="str">
        <f>_xlfn.XLOOKUP(E186,tPacotes[ID_Pacote],tPacotes[Pacote])</f>
        <v>Paris e Londres</v>
      </c>
      <c r="N186" t="str">
        <f>_xlfn.XLOOKUP(E186,tPacotes[ID_Pacote],tPacotes[Categoria])</f>
        <v>Cultural</v>
      </c>
      <c r="O186" t="str">
        <f>_xlfn.XLOOKUP(D186,tClientes[ID_Cliente],tClientes[UF])</f>
        <v>SP</v>
      </c>
    </row>
    <row r="187" spans="1:15" x14ac:dyDescent="0.3">
      <c r="A187">
        <v>186</v>
      </c>
      <c r="B187" s="3">
        <v>45761</v>
      </c>
      <c r="C187" s="3">
        <v>45801</v>
      </c>
      <c r="D187">
        <v>71</v>
      </c>
      <c r="E187">
        <v>1</v>
      </c>
      <c r="F187">
        <v>1</v>
      </c>
      <c r="G187" s="2">
        <v>3200</v>
      </c>
      <c r="H187" s="4">
        <v>0.15</v>
      </c>
      <c r="I187" s="2">
        <v>2720</v>
      </c>
      <c r="J187" t="s">
        <v>257</v>
      </c>
      <c r="K187" t="s">
        <v>254</v>
      </c>
      <c r="L187">
        <v>1</v>
      </c>
      <c r="M187" t="str">
        <f>_xlfn.XLOOKUP(E187,tPacotes[ID_Pacote],tPacotes[Pacote])</f>
        <v>Nordeste Encantado</v>
      </c>
      <c r="N187" t="str">
        <f>_xlfn.XLOOKUP(E187,tPacotes[ID_Pacote],tPacotes[Categoria])</f>
        <v>Praia</v>
      </c>
      <c r="O187" t="str">
        <f>_xlfn.XLOOKUP(D187,tClientes[ID_Cliente],tClientes[UF])</f>
        <v>RJ</v>
      </c>
    </row>
    <row r="188" spans="1:15" x14ac:dyDescent="0.3">
      <c r="A188">
        <v>187</v>
      </c>
      <c r="B188" s="3">
        <v>45761</v>
      </c>
      <c r="C188" s="3">
        <v>45804</v>
      </c>
      <c r="D188">
        <v>133</v>
      </c>
      <c r="E188">
        <v>3</v>
      </c>
      <c r="F188">
        <v>1</v>
      </c>
      <c r="G188" s="2">
        <v>2600</v>
      </c>
      <c r="H188" s="4">
        <v>0.1</v>
      </c>
      <c r="I188" s="2">
        <v>2340</v>
      </c>
      <c r="J188" t="s">
        <v>257</v>
      </c>
      <c r="K188" t="s">
        <v>258</v>
      </c>
      <c r="M188" t="str">
        <f>_xlfn.XLOOKUP(E188,tPacotes[ID_Pacote],tPacotes[Pacote])</f>
        <v>Serra Gaúcha</v>
      </c>
      <c r="N188" t="str">
        <f>_xlfn.XLOOKUP(E188,tPacotes[ID_Pacote],tPacotes[Categoria])</f>
        <v>Inverno</v>
      </c>
      <c r="O188" t="str">
        <f>_xlfn.XLOOKUP(D188,tClientes[ID_Cliente],tClientes[UF])</f>
        <v>SP</v>
      </c>
    </row>
    <row r="189" spans="1:15" x14ac:dyDescent="0.3">
      <c r="A189">
        <v>188</v>
      </c>
      <c r="B189" s="3">
        <v>45762</v>
      </c>
      <c r="C189" s="3">
        <v>45771</v>
      </c>
      <c r="D189">
        <v>193</v>
      </c>
      <c r="E189">
        <v>6</v>
      </c>
      <c r="F189">
        <v>1</v>
      </c>
      <c r="G189" s="2">
        <v>2100</v>
      </c>
      <c r="H189" s="4">
        <v>0</v>
      </c>
      <c r="I189" s="2">
        <v>2100</v>
      </c>
      <c r="J189" t="s">
        <v>253</v>
      </c>
      <c r="K189" t="s">
        <v>254</v>
      </c>
      <c r="L189">
        <v>5</v>
      </c>
      <c r="M189" t="str">
        <f>_xlfn.XLOOKUP(E189,tPacotes[ID_Pacote],tPacotes[Pacote])</f>
        <v>Foz do Iguaçu</v>
      </c>
      <c r="N189" t="str">
        <f>_xlfn.XLOOKUP(E189,tPacotes[ID_Pacote],tPacotes[Categoria])</f>
        <v>Natureza</v>
      </c>
      <c r="O189" t="str">
        <f>_xlfn.XLOOKUP(D189,tClientes[ID_Cliente],tClientes[UF])</f>
        <v>SP</v>
      </c>
    </row>
    <row r="190" spans="1:15" x14ac:dyDescent="0.3">
      <c r="A190">
        <v>189</v>
      </c>
      <c r="B190" s="3">
        <v>45762</v>
      </c>
      <c r="C190" s="3">
        <v>45776</v>
      </c>
      <c r="D190">
        <v>40</v>
      </c>
      <c r="E190">
        <v>4</v>
      </c>
      <c r="F190">
        <v>4</v>
      </c>
      <c r="G190" s="2">
        <v>27600</v>
      </c>
      <c r="H190" s="4">
        <v>0</v>
      </c>
      <c r="I190" s="2">
        <v>27600</v>
      </c>
      <c r="J190" t="s">
        <v>255</v>
      </c>
      <c r="K190" t="s">
        <v>254</v>
      </c>
      <c r="L190">
        <v>3</v>
      </c>
      <c r="M190" t="str">
        <f>_xlfn.XLOOKUP(E190,tPacotes[ID_Pacote],tPacotes[Pacote])</f>
        <v>Fernando de Noronha</v>
      </c>
      <c r="N190" t="str">
        <f>_xlfn.XLOOKUP(E190,tPacotes[ID_Pacote],tPacotes[Categoria])</f>
        <v>Praia</v>
      </c>
      <c r="O190" t="str">
        <f>_xlfn.XLOOKUP(D190,tClientes[ID_Cliente],tClientes[UF])</f>
        <v>RJ</v>
      </c>
    </row>
    <row r="191" spans="1:15" x14ac:dyDescent="0.3">
      <c r="A191">
        <v>190</v>
      </c>
      <c r="B191" s="3">
        <v>45762</v>
      </c>
      <c r="C191" s="3">
        <v>45829</v>
      </c>
      <c r="D191">
        <v>65</v>
      </c>
      <c r="E191">
        <v>12</v>
      </c>
      <c r="F191">
        <v>3</v>
      </c>
      <c r="G191" s="2">
        <v>37200</v>
      </c>
      <c r="H191" s="4">
        <v>0</v>
      </c>
      <c r="I191" s="2">
        <v>37200</v>
      </c>
      <c r="J191" t="s">
        <v>255</v>
      </c>
      <c r="K191" t="s">
        <v>254</v>
      </c>
      <c r="L191">
        <v>5</v>
      </c>
      <c r="M191" t="str">
        <f>_xlfn.XLOOKUP(E191,tPacotes[ID_Pacote],tPacotes[Pacote])</f>
        <v>Lisboa e Porto</v>
      </c>
      <c r="N191" t="str">
        <f>_xlfn.XLOOKUP(E191,tPacotes[ID_Pacote],tPacotes[Categoria])</f>
        <v>Cultural</v>
      </c>
      <c r="O191" t="str">
        <f>_xlfn.XLOOKUP(D191,tClientes[ID_Cliente],tClientes[UF])</f>
        <v>SP</v>
      </c>
    </row>
    <row r="192" spans="1:15" x14ac:dyDescent="0.3">
      <c r="A192">
        <v>191</v>
      </c>
      <c r="B192" s="3">
        <v>45765</v>
      </c>
      <c r="C192" s="3">
        <v>45836</v>
      </c>
      <c r="D192">
        <v>62</v>
      </c>
      <c r="E192">
        <v>1</v>
      </c>
      <c r="F192">
        <v>1</v>
      </c>
      <c r="G192" s="2">
        <v>3200</v>
      </c>
      <c r="H192" s="4">
        <v>0.15</v>
      </c>
      <c r="I192" s="2">
        <v>2720</v>
      </c>
      <c r="J192" t="s">
        <v>253</v>
      </c>
      <c r="K192" t="s">
        <v>254</v>
      </c>
      <c r="L192">
        <v>3</v>
      </c>
      <c r="M192" t="str">
        <f>_xlfn.XLOOKUP(E192,tPacotes[ID_Pacote],tPacotes[Pacote])</f>
        <v>Nordeste Encantado</v>
      </c>
      <c r="N192" t="str">
        <f>_xlfn.XLOOKUP(E192,tPacotes[ID_Pacote],tPacotes[Categoria])</f>
        <v>Praia</v>
      </c>
      <c r="O192" t="str">
        <f>_xlfn.XLOOKUP(D192,tClientes[ID_Cliente],tClientes[UF])</f>
        <v>SP</v>
      </c>
    </row>
    <row r="193" spans="1:15" x14ac:dyDescent="0.3">
      <c r="A193">
        <v>192</v>
      </c>
      <c r="B193" s="3">
        <v>45765</v>
      </c>
      <c r="C193" s="3">
        <v>45923</v>
      </c>
      <c r="D193">
        <v>163</v>
      </c>
      <c r="E193">
        <v>9</v>
      </c>
      <c r="F193">
        <v>2</v>
      </c>
      <c r="G193" s="2">
        <v>17800</v>
      </c>
      <c r="H193" s="4">
        <v>0</v>
      </c>
      <c r="I193" s="2">
        <v>17800</v>
      </c>
      <c r="J193" t="s">
        <v>253</v>
      </c>
      <c r="K193" t="s">
        <v>254</v>
      </c>
      <c r="L193">
        <v>2</v>
      </c>
      <c r="M193" t="str">
        <f>_xlfn.XLOOKUP(E193,tPacotes[ID_Pacote],tPacotes[Pacote])</f>
        <v>Cancún All Inclusive</v>
      </c>
      <c r="N193" t="str">
        <f>_xlfn.XLOOKUP(E193,tPacotes[ID_Pacote],tPacotes[Categoria])</f>
        <v>Praia</v>
      </c>
      <c r="O193" t="str">
        <f>_xlfn.XLOOKUP(D193,tClientes[ID_Cliente],tClientes[UF])</f>
        <v>DF</v>
      </c>
    </row>
    <row r="194" spans="1:15" x14ac:dyDescent="0.3">
      <c r="A194">
        <v>193</v>
      </c>
      <c r="B194" s="3">
        <v>45766</v>
      </c>
      <c r="C194" s="3">
        <v>45813</v>
      </c>
      <c r="D194">
        <v>137</v>
      </c>
      <c r="E194">
        <v>7</v>
      </c>
      <c r="F194">
        <v>2</v>
      </c>
      <c r="G194" s="2">
        <v>8400</v>
      </c>
      <c r="H194" s="4">
        <v>0.05</v>
      </c>
      <c r="I194" s="2">
        <v>7980</v>
      </c>
      <c r="J194" t="s">
        <v>253</v>
      </c>
      <c r="K194" t="s">
        <v>254</v>
      </c>
      <c r="L194">
        <v>3</v>
      </c>
      <c r="M194" t="str">
        <f>_xlfn.XLOOKUP(E194,tPacotes[ID_Pacote],tPacotes[Pacote])</f>
        <v>Buenos Aires Clássica</v>
      </c>
      <c r="N194" t="str">
        <f>_xlfn.XLOOKUP(E194,tPacotes[ID_Pacote],tPacotes[Categoria])</f>
        <v>Cultural</v>
      </c>
      <c r="O194" t="str">
        <f>_xlfn.XLOOKUP(D194,tClientes[ID_Cliente],tClientes[UF])</f>
        <v>SP</v>
      </c>
    </row>
    <row r="195" spans="1:15" x14ac:dyDescent="0.3">
      <c r="A195">
        <v>194</v>
      </c>
      <c r="B195" s="3">
        <v>45767</v>
      </c>
      <c r="C195" s="3">
        <v>45868</v>
      </c>
      <c r="D195">
        <v>28</v>
      </c>
      <c r="E195">
        <v>1</v>
      </c>
      <c r="F195">
        <v>4</v>
      </c>
      <c r="G195" s="2">
        <v>12800</v>
      </c>
      <c r="H195" s="4">
        <v>0</v>
      </c>
      <c r="I195" s="2">
        <v>12800</v>
      </c>
      <c r="J195" t="s">
        <v>257</v>
      </c>
      <c r="K195" t="s">
        <v>254</v>
      </c>
      <c r="L195">
        <v>2</v>
      </c>
      <c r="M195" t="str">
        <f>_xlfn.XLOOKUP(E195,tPacotes[ID_Pacote],tPacotes[Pacote])</f>
        <v>Nordeste Encantado</v>
      </c>
      <c r="N195" t="str">
        <f>_xlfn.XLOOKUP(E195,tPacotes[ID_Pacote],tPacotes[Categoria])</f>
        <v>Praia</v>
      </c>
      <c r="O195" t="str">
        <f>_xlfn.XLOOKUP(D195,tClientes[ID_Cliente],tClientes[UF])</f>
        <v>SP</v>
      </c>
    </row>
    <row r="196" spans="1:15" x14ac:dyDescent="0.3">
      <c r="A196">
        <v>195</v>
      </c>
      <c r="B196" s="3">
        <v>45768</v>
      </c>
      <c r="C196" s="3">
        <v>45819</v>
      </c>
      <c r="D196">
        <v>13</v>
      </c>
      <c r="E196">
        <v>5</v>
      </c>
      <c r="F196">
        <v>2</v>
      </c>
      <c r="G196" s="2">
        <v>6800</v>
      </c>
      <c r="H196" s="4">
        <v>0</v>
      </c>
      <c r="I196" s="2">
        <v>6800</v>
      </c>
      <c r="J196" t="s">
        <v>253</v>
      </c>
      <c r="K196" t="s">
        <v>254</v>
      </c>
      <c r="L196">
        <v>5</v>
      </c>
      <c r="M196" t="str">
        <f>_xlfn.XLOOKUP(E196,tPacotes[ID_Pacote],tPacotes[Pacote])</f>
        <v>Bonito Aventura</v>
      </c>
      <c r="N196" t="str">
        <f>_xlfn.XLOOKUP(E196,tPacotes[ID_Pacote],tPacotes[Categoria])</f>
        <v>Aventura</v>
      </c>
      <c r="O196" t="str">
        <f>_xlfn.XLOOKUP(D196,tClientes[ID_Cliente],tClientes[UF])</f>
        <v>RS</v>
      </c>
    </row>
    <row r="197" spans="1:15" x14ac:dyDescent="0.3">
      <c r="A197">
        <v>196</v>
      </c>
      <c r="B197" s="3">
        <v>45769</v>
      </c>
      <c r="C197" s="3">
        <v>45855</v>
      </c>
      <c r="D197">
        <v>18</v>
      </c>
      <c r="E197">
        <v>7</v>
      </c>
      <c r="F197">
        <v>3</v>
      </c>
      <c r="G197" s="2">
        <v>12600</v>
      </c>
      <c r="H197" s="4">
        <v>0</v>
      </c>
      <c r="I197" s="2">
        <v>12600</v>
      </c>
      <c r="J197" t="s">
        <v>253</v>
      </c>
      <c r="K197" t="s">
        <v>254</v>
      </c>
      <c r="L197">
        <v>5</v>
      </c>
      <c r="M197" t="str">
        <f>_xlfn.XLOOKUP(E197,tPacotes[ID_Pacote],tPacotes[Pacote])</f>
        <v>Buenos Aires Clássica</v>
      </c>
      <c r="N197" t="str">
        <f>_xlfn.XLOOKUP(E197,tPacotes[ID_Pacote],tPacotes[Categoria])</f>
        <v>Cultural</v>
      </c>
      <c r="O197" t="str">
        <f>_xlfn.XLOOKUP(D197,tClientes[ID_Cliente],tClientes[UF])</f>
        <v>PR</v>
      </c>
    </row>
    <row r="198" spans="1:15" x14ac:dyDescent="0.3">
      <c r="A198">
        <v>197</v>
      </c>
      <c r="B198" s="3">
        <v>45769</v>
      </c>
      <c r="C198" s="3">
        <v>45873</v>
      </c>
      <c r="D198">
        <v>174</v>
      </c>
      <c r="E198">
        <v>7</v>
      </c>
      <c r="F198">
        <v>2</v>
      </c>
      <c r="G198" s="2">
        <v>8400</v>
      </c>
      <c r="H198" s="4">
        <v>0.05</v>
      </c>
      <c r="I198" s="2">
        <v>7980</v>
      </c>
      <c r="J198" t="s">
        <v>257</v>
      </c>
      <c r="K198" t="s">
        <v>254</v>
      </c>
      <c r="L198">
        <v>5</v>
      </c>
      <c r="M198" t="str">
        <f>_xlfn.XLOOKUP(E198,tPacotes[ID_Pacote],tPacotes[Pacote])</f>
        <v>Buenos Aires Clássica</v>
      </c>
      <c r="N198" t="str">
        <f>_xlfn.XLOOKUP(E198,tPacotes[ID_Pacote],tPacotes[Categoria])</f>
        <v>Cultural</v>
      </c>
      <c r="O198" t="str">
        <f>_xlfn.XLOOKUP(D198,tClientes[ID_Cliente],tClientes[UF])</f>
        <v>SP</v>
      </c>
    </row>
    <row r="199" spans="1:15" x14ac:dyDescent="0.3">
      <c r="A199">
        <v>198</v>
      </c>
      <c r="B199" s="3">
        <v>45769</v>
      </c>
      <c r="C199" s="3">
        <v>45788</v>
      </c>
      <c r="D199">
        <v>93</v>
      </c>
      <c r="E199">
        <v>1</v>
      </c>
      <c r="F199">
        <v>3</v>
      </c>
      <c r="G199" s="2">
        <v>9600</v>
      </c>
      <c r="H199" s="4">
        <v>0</v>
      </c>
      <c r="I199" s="2">
        <v>9600</v>
      </c>
      <c r="J199" t="s">
        <v>253</v>
      </c>
      <c r="K199" t="s">
        <v>254</v>
      </c>
      <c r="L199">
        <v>4</v>
      </c>
      <c r="M199" t="str">
        <f>_xlfn.XLOOKUP(E199,tPacotes[ID_Pacote],tPacotes[Pacote])</f>
        <v>Nordeste Encantado</v>
      </c>
      <c r="N199" t="str">
        <f>_xlfn.XLOOKUP(E199,tPacotes[ID_Pacote],tPacotes[Categoria])</f>
        <v>Praia</v>
      </c>
      <c r="O199" t="str">
        <f>_xlfn.XLOOKUP(D199,tClientes[ID_Cliente],tClientes[UF])</f>
        <v>DF</v>
      </c>
    </row>
    <row r="200" spans="1:15" x14ac:dyDescent="0.3">
      <c r="A200">
        <v>199</v>
      </c>
      <c r="B200" s="3">
        <v>45769</v>
      </c>
      <c r="C200" s="3">
        <v>45814</v>
      </c>
      <c r="D200">
        <v>65</v>
      </c>
      <c r="E200">
        <v>7</v>
      </c>
      <c r="F200">
        <v>2</v>
      </c>
      <c r="G200" s="2">
        <v>8400</v>
      </c>
      <c r="H200" s="4">
        <v>0.1</v>
      </c>
      <c r="I200" s="2">
        <v>7560</v>
      </c>
      <c r="J200" t="s">
        <v>253</v>
      </c>
      <c r="K200" t="s">
        <v>254</v>
      </c>
      <c r="L200">
        <v>5</v>
      </c>
      <c r="M200" t="str">
        <f>_xlfn.XLOOKUP(E200,tPacotes[ID_Pacote],tPacotes[Pacote])</f>
        <v>Buenos Aires Clássica</v>
      </c>
      <c r="N200" t="str">
        <f>_xlfn.XLOOKUP(E200,tPacotes[ID_Pacote],tPacotes[Categoria])</f>
        <v>Cultural</v>
      </c>
      <c r="O200" t="str">
        <f>_xlfn.XLOOKUP(D200,tClientes[ID_Cliente],tClientes[UF])</f>
        <v>SP</v>
      </c>
    </row>
    <row r="201" spans="1:15" x14ac:dyDescent="0.3">
      <c r="A201">
        <v>200</v>
      </c>
      <c r="B201" s="3">
        <v>45770</v>
      </c>
      <c r="C201" s="3">
        <v>45787</v>
      </c>
      <c r="D201">
        <v>167</v>
      </c>
      <c r="E201">
        <v>7</v>
      </c>
      <c r="F201">
        <v>1</v>
      </c>
      <c r="G201" s="2">
        <v>4200</v>
      </c>
      <c r="H201" s="4">
        <v>0.05</v>
      </c>
      <c r="I201" s="2">
        <v>3990</v>
      </c>
      <c r="J201" t="s">
        <v>253</v>
      </c>
      <c r="K201" t="s">
        <v>254</v>
      </c>
      <c r="L201">
        <v>5</v>
      </c>
      <c r="M201" t="str">
        <f>_xlfn.XLOOKUP(E201,tPacotes[ID_Pacote],tPacotes[Pacote])</f>
        <v>Buenos Aires Clássica</v>
      </c>
      <c r="N201" t="str">
        <f>_xlfn.XLOOKUP(E201,tPacotes[ID_Pacote],tPacotes[Categoria])</f>
        <v>Cultural</v>
      </c>
      <c r="O201" t="str">
        <f>_xlfn.XLOOKUP(D201,tClientes[ID_Cliente],tClientes[UF])</f>
        <v>SP</v>
      </c>
    </row>
    <row r="202" spans="1:15" x14ac:dyDescent="0.3">
      <c r="A202">
        <v>201</v>
      </c>
      <c r="B202" s="3">
        <v>45771</v>
      </c>
      <c r="C202" s="3">
        <v>45824</v>
      </c>
      <c r="D202">
        <v>76</v>
      </c>
      <c r="E202">
        <v>9</v>
      </c>
      <c r="F202">
        <v>2</v>
      </c>
      <c r="G202" s="2">
        <v>17800</v>
      </c>
      <c r="H202" s="4">
        <v>0.1</v>
      </c>
      <c r="I202" s="2">
        <v>16020</v>
      </c>
      <c r="J202" t="s">
        <v>257</v>
      </c>
      <c r="K202" t="s">
        <v>254</v>
      </c>
      <c r="L202">
        <v>5</v>
      </c>
      <c r="M202" t="str">
        <f>_xlfn.XLOOKUP(E202,tPacotes[ID_Pacote],tPacotes[Pacote])</f>
        <v>Cancún All Inclusive</v>
      </c>
      <c r="N202" t="str">
        <f>_xlfn.XLOOKUP(E202,tPacotes[ID_Pacote],tPacotes[Categoria])</f>
        <v>Praia</v>
      </c>
      <c r="O202" t="str">
        <f>_xlfn.XLOOKUP(D202,tClientes[ID_Cliente],tClientes[UF])</f>
        <v>DF</v>
      </c>
    </row>
    <row r="203" spans="1:15" x14ac:dyDescent="0.3">
      <c r="A203">
        <v>202</v>
      </c>
      <c r="B203" s="3">
        <v>45771</v>
      </c>
      <c r="C203" s="3">
        <v>45923</v>
      </c>
      <c r="D203">
        <v>26</v>
      </c>
      <c r="E203">
        <v>9</v>
      </c>
      <c r="F203">
        <v>1</v>
      </c>
      <c r="G203" s="2">
        <v>8900</v>
      </c>
      <c r="H203" s="4">
        <v>0</v>
      </c>
      <c r="I203" s="2">
        <v>8900</v>
      </c>
      <c r="J203" t="s">
        <v>253</v>
      </c>
      <c r="K203" t="s">
        <v>258</v>
      </c>
      <c r="M203" t="str">
        <f>_xlfn.XLOOKUP(E203,tPacotes[ID_Pacote],tPacotes[Pacote])</f>
        <v>Cancún All Inclusive</v>
      </c>
      <c r="N203" t="str">
        <f>_xlfn.XLOOKUP(E203,tPacotes[ID_Pacote],tPacotes[Categoria])</f>
        <v>Praia</v>
      </c>
      <c r="O203" t="str">
        <f>_xlfn.XLOOKUP(D203,tClientes[ID_Cliente],tClientes[UF])</f>
        <v>SP</v>
      </c>
    </row>
    <row r="204" spans="1:15" x14ac:dyDescent="0.3">
      <c r="A204">
        <v>203</v>
      </c>
      <c r="B204" s="3">
        <v>45771</v>
      </c>
      <c r="C204" s="3">
        <v>45843</v>
      </c>
      <c r="D204">
        <v>50</v>
      </c>
      <c r="E204">
        <v>2</v>
      </c>
      <c r="F204">
        <v>2</v>
      </c>
      <c r="G204" s="2">
        <v>3600</v>
      </c>
      <c r="H204" s="4">
        <v>0.15</v>
      </c>
      <c r="I204" s="2">
        <v>3060</v>
      </c>
      <c r="J204" t="s">
        <v>253</v>
      </c>
      <c r="K204" t="s">
        <v>254</v>
      </c>
      <c r="L204">
        <v>3</v>
      </c>
      <c r="M204" t="str">
        <f>_xlfn.XLOOKUP(E204,tPacotes[ID_Pacote],tPacotes[Pacote])</f>
        <v>Rio Cidade Maravilhosa</v>
      </c>
      <c r="N204" t="str">
        <f>_xlfn.XLOOKUP(E204,tPacotes[ID_Pacote],tPacotes[Categoria])</f>
        <v>Cultural</v>
      </c>
      <c r="O204" t="str">
        <f>_xlfn.XLOOKUP(D204,tClientes[ID_Cliente],tClientes[UF])</f>
        <v>SP</v>
      </c>
    </row>
    <row r="205" spans="1:15" x14ac:dyDescent="0.3">
      <c r="A205">
        <v>204</v>
      </c>
      <c r="B205" s="3">
        <v>45772</v>
      </c>
      <c r="C205" s="3">
        <v>45852</v>
      </c>
      <c r="D205">
        <v>3</v>
      </c>
      <c r="E205">
        <v>2</v>
      </c>
      <c r="F205">
        <v>3</v>
      </c>
      <c r="G205" s="2">
        <v>5400</v>
      </c>
      <c r="H205" s="4">
        <v>0</v>
      </c>
      <c r="I205" s="2">
        <v>5400</v>
      </c>
      <c r="J205" t="s">
        <v>253</v>
      </c>
      <c r="K205" t="s">
        <v>254</v>
      </c>
      <c r="L205">
        <v>3</v>
      </c>
      <c r="M205" t="str">
        <f>_xlfn.XLOOKUP(E205,tPacotes[ID_Pacote],tPacotes[Pacote])</f>
        <v>Rio Cidade Maravilhosa</v>
      </c>
      <c r="N205" t="str">
        <f>_xlfn.XLOOKUP(E205,tPacotes[ID_Pacote],tPacotes[Categoria])</f>
        <v>Cultural</v>
      </c>
      <c r="O205" t="str">
        <f>_xlfn.XLOOKUP(D205,tClientes[ID_Cliente],tClientes[UF])</f>
        <v>SP</v>
      </c>
    </row>
    <row r="206" spans="1:15" x14ac:dyDescent="0.3">
      <c r="A206">
        <v>205</v>
      </c>
      <c r="B206" s="3">
        <v>45772</v>
      </c>
      <c r="C206" s="3">
        <v>45894</v>
      </c>
      <c r="D206">
        <v>93</v>
      </c>
      <c r="E206">
        <v>1</v>
      </c>
      <c r="F206">
        <v>1</v>
      </c>
      <c r="G206" s="2">
        <v>3200</v>
      </c>
      <c r="H206" s="4">
        <v>0</v>
      </c>
      <c r="I206" s="2">
        <v>3200</v>
      </c>
      <c r="J206" t="s">
        <v>255</v>
      </c>
      <c r="K206" t="s">
        <v>254</v>
      </c>
      <c r="L206">
        <v>5</v>
      </c>
      <c r="M206" t="str">
        <f>_xlfn.XLOOKUP(E206,tPacotes[ID_Pacote],tPacotes[Pacote])</f>
        <v>Nordeste Encantado</v>
      </c>
      <c r="N206" t="str">
        <f>_xlfn.XLOOKUP(E206,tPacotes[ID_Pacote],tPacotes[Categoria])</f>
        <v>Praia</v>
      </c>
      <c r="O206" t="str">
        <f>_xlfn.XLOOKUP(D206,tClientes[ID_Cliente],tClientes[UF])</f>
        <v>DF</v>
      </c>
    </row>
    <row r="207" spans="1:15" x14ac:dyDescent="0.3">
      <c r="A207">
        <v>206</v>
      </c>
      <c r="B207" s="3">
        <v>45772</v>
      </c>
      <c r="C207" s="3">
        <v>45851</v>
      </c>
      <c r="D207">
        <v>135</v>
      </c>
      <c r="E207">
        <v>1</v>
      </c>
      <c r="F207">
        <v>1</v>
      </c>
      <c r="G207" s="2">
        <v>3200</v>
      </c>
      <c r="H207" s="4">
        <v>0</v>
      </c>
      <c r="I207" s="2">
        <v>3200</v>
      </c>
      <c r="J207" t="s">
        <v>253</v>
      </c>
      <c r="K207" t="s">
        <v>254</v>
      </c>
      <c r="L207">
        <v>5</v>
      </c>
      <c r="M207" t="str">
        <f>_xlfn.XLOOKUP(E207,tPacotes[ID_Pacote],tPacotes[Pacote])</f>
        <v>Nordeste Encantado</v>
      </c>
      <c r="N207" t="str">
        <f>_xlfn.XLOOKUP(E207,tPacotes[ID_Pacote],tPacotes[Categoria])</f>
        <v>Praia</v>
      </c>
      <c r="O207" t="str">
        <f>_xlfn.XLOOKUP(D207,tClientes[ID_Cliente],tClientes[UF])</f>
        <v>RJ</v>
      </c>
    </row>
    <row r="208" spans="1:15" x14ac:dyDescent="0.3">
      <c r="A208">
        <v>207</v>
      </c>
      <c r="B208" s="3">
        <v>45773</v>
      </c>
      <c r="C208" s="3">
        <v>45811</v>
      </c>
      <c r="D208">
        <v>166</v>
      </c>
      <c r="E208">
        <v>10</v>
      </c>
      <c r="F208">
        <v>1</v>
      </c>
      <c r="G208" s="2">
        <v>11500</v>
      </c>
      <c r="H208" s="4">
        <v>0</v>
      </c>
      <c r="I208" s="2">
        <v>11500</v>
      </c>
      <c r="J208" t="s">
        <v>253</v>
      </c>
      <c r="K208" t="s">
        <v>254</v>
      </c>
      <c r="L208">
        <v>5</v>
      </c>
      <c r="M208" t="str">
        <f>_xlfn.XLOOKUP(E208,tPacotes[ID_Pacote],tPacotes[Pacote])</f>
        <v>Orlando Parques</v>
      </c>
      <c r="N208" t="str">
        <f>_xlfn.XLOOKUP(E208,tPacotes[ID_Pacote],tPacotes[Categoria])</f>
        <v>Parques</v>
      </c>
      <c r="O208" t="str">
        <f>_xlfn.XLOOKUP(D208,tClientes[ID_Cliente],tClientes[UF])</f>
        <v>RJ</v>
      </c>
    </row>
    <row r="209" spans="1:15" x14ac:dyDescent="0.3">
      <c r="A209">
        <v>208</v>
      </c>
      <c r="B209" s="3">
        <v>45773</v>
      </c>
      <c r="C209" s="3">
        <v>45802</v>
      </c>
      <c r="D209">
        <v>8</v>
      </c>
      <c r="E209">
        <v>7</v>
      </c>
      <c r="F209">
        <v>1</v>
      </c>
      <c r="G209" s="2">
        <v>4200</v>
      </c>
      <c r="H209" s="4">
        <v>0</v>
      </c>
      <c r="I209" s="2">
        <v>4200</v>
      </c>
      <c r="J209" t="s">
        <v>255</v>
      </c>
      <c r="K209" t="s">
        <v>254</v>
      </c>
      <c r="L209">
        <v>4</v>
      </c>
      <c r="M209" t="str">
        <f>_xlfn.XLOOKUP(E209,tPacotes[ID_Pacote],tPacotes[Pacote])</f>
        <v>Buenos Aires Clássica</v>
      </c>
      <c r="N209" t="str">
        <f>_xlfn.XLOOKUP(E209,tPacotes[ID_Pacote],tPacotes[Categoria])</f>
        <v>Cultural</v>
      </c>
      <c r="O209" t="str">
        <f>_xlfn.XLOOKUP(D209,tClientes[ID_Cliente],tClientes[UF])</f>
        <v>SP</v>
      </c>
    </row>
    <row r="210" spans="1:15" x14ac:dyDescent="0.3">
      <c r="A210">
        <v>209</v>
      </c>
      <c r="B210" s="3">
        <v>45773</v>
      </c>
      <c r="C210" s="3">
        <v>45913</v>
      </c>
      <c r="D210">
        <v>68</v>
      </c>
      <c r="E210">
        <v>3</v>
      </c>
      <c r="F210">
        <v>2</v>
      </c>
      <c r="G210" s="2">
        <v>5200</v>
      </c>
      <c r="H210" s="4">
        <v>0</v>
      </c>
      <c r="I210" s="2">
        <v>5200</v>
      </c>
      <c r="J210" t="s">
        <v>253</v>
      </c>
      <c r="K210" t="s">
        <v>254</v>
      </c>
      <c r="L210">
        <v>3</v>
      </c>
      <c r="M210" t="str">
        <f>_xlfn.XLOOKUP(E210,tPacotes[ID_Pacote],tPacotes[Pacote])</f>
        <v>Serra Gaúcha</v>
      </c>
      <c r="N210" t="str">
        <f>_xlfn.XLOOKUP(E210,tPacotes[ID_Pacote],tPacotes[Categoria])</f>
        <v>Inverno</v>
      </c>
      <c r="O210" t="str">
        <f>_xlfn.XLOOKUP(D210,tClientes[ID_Cliente],tClientes[UF])</f>
        <v>BA</v>
      </c>
    </row>
    <row r="211" spans="1:15" x14ac:dyDescent="0.3">
      <c r="A211">
        <v>210</v>
      </c>
      <c r="B211" s="3">
        <v>45773</v>
      </c>
      <c r="C211" s="3">
        <v>45839</v>
      </c>
      <c r="D211">
        <v>172</v>
      </c>
      <c r="E211">
        <v>2</v>
      </c>
      <c r="F211">
        <v>2</v>
      </c>
      <c r="G211" s="2">
        <v>3600</v>
      </c>
      <c r="H211" s="4">
        <v>0</v>
      </c>
      <c r="I211" s="2">
        <v>3600</v>
      </c>
      <c r="J211" t="s">
        <v>257</v>
      </c>
      <c r="K211" t="s">
        <v>254</v>
      </c>
      <c r="L211">
        <v>4</v>
      </c>
      <c r="M211" t="str">
        <f>_xlfn.XLOOKUP(E211,tPacotes[ID_Pacote],tPacotes[Pacote])</f>
        <v>Rio Cidade Maravilhosa</v>
      </c>
      <c r="N211" t="str">
        <f>_xlfn.XLOOKUP(E211,tPacotes[ID_Pacote],tPacotes[Categoria])</f>
        <v>Cultural</v>
      </c>
      <c r="O211" t="str">
        <f>_xlfn.XLOOKUP(D211,tClientes[ID_Cliente],tClientes[UF])</f>
        <v>DF</v>
      </c>
    </row>
    <row r="212" spans="1:15" x14ac:dyDescent="0.3">
      <c r="A212">
        <v>211</v>
      </c>
      <c r="B212" s="3">
        <v>45774</v>
      </c>
      <c r="C212" s="3">
        <v>45781</v>
      </c>
      <c r="D212">
        <v>176</v>
      </c>
      <c r="E212">
        <v>3</v>
      </c>
      <c r="F212">
        <v>2</v>
      </c>
      <c r="G212" s="2">
        <v>5200</v>
      </c>
      <c r="H212" s="4">
        <v>0.15</v>
      </c>
      <c r="I212" s="2">
        <v>4420</v>
      </c>
      <c r="J212" t="s">
        <v>253</v>
      </c>
      <c r="K212" t="s">
        <v>258</v>
      </c>
      <c r="M212" t="str">
        <f>_xlfn.XLOOKUP(E212,tPacotes[ID_Pacote],tPacotes[Pacote])</f>
        <v>Serra Gaúcha</v>
      </c>
      <c r="N212" t="str">
        <f>_xlfn.XLOOKUP(E212,tPacotes[ID_Pacote],tPacotes[Categoria])</f>
        <v>Inverno</v>
      </c>
      <c r="O212" t="str">
        <f>_xlfn.XLOOKUP(D212,tClientes[ID_Cliente],tClientes[UF])</f>
        <v>SP</v>
      </c>
    </row>
    <row r="213" spans="1:15" x14ac:dyDescent="0.3">
      <c r="A213">
        <v>212</v>
      </c>
      <c r="B213" s="3">
        <v>45774</v>
      </c>
      <c r="C213" s="3">
        <v>45793</v>
      </c>
      <c r="D213">
        <v>61</v>
      </c>
      <c r="E213">
        <v>11</v>
      </c>
      <c r="F213">
        <v>2</v>
      </c>
      <c r="G213" s="2">
        <v>31600</v>
      </c>
      <c r="H213" s="4">
        <v>0</v>
      </c>
      <c r="I213" s="2">
        <v>31600</v>
      </c>
      <c r="J213" t="s">
        <v>255</v>
      </c>
      <c r="K213" t="s">
        <v>254</v>
      </c>
      <c r="L213">
        <v>4</v>
      </c>
      <c r="M213" t="str">
        <f>_xlfn.XLOOKUP(E213,tPacotes[ID_Pacote],tPacotes[Pacote])</f>
        <v>Paris e Londres</v>
      </c>
      <c r="N213" t="str">
        <f>_xlfn.XLOOKUP(E213,tPacotes[ID_Pacote],tPacotes[Categoria])</f>
        <v>Cultural</v>
      </c>
      <c r="O213" t="str">
        <f>_xlfn.XLOOKUP(D213,tClientes[ID_Cliente],tClientes[UF])</f>
        <v>DF</v>
      </c>
    </row>
    <row r="214" spans="1:15" x14ac:dyDescent="0.3">
      <c r="A214">
        <v>213</v>
      </c>
      <c r="B214" s="3">
        <v>45775</v>
      </c>
      <c r="C214" s="3">
        <v>45907</v>
      </c>
      <c r="D214">
        <v>13</v>
      </c>
      <c r="E214">
        <v>10</v>
      </c>
      <c r="F214">
        <v>2</v>
      </c>
      <c r="G214" s="2">
        <v>23000</v>
      </c>
      <c r="H214" s="4">
        <v>0</v>
      </c>
      <c r="I214" s="2">
        <v>23000</v>
      </c>
      <c r="J214" t="s">
        <v>255</v>
      </c>
      <c r="K214" t="s">
        <v>258</v>
      </c>
      <c r="M214" t="str">
        <f>_xlfn.XLOOKUP(E214,tPacotes[ID_Pacote],tPacotes[Pacote])</f>
        <v>Orlando Parques</v>
      </c>
      <c r="N214" t="str">
        <f>_xlfn.XLOOKUP(E214,tPacotes[ID_Pacote],tPacotes[Categoria])</f>
        <v>Parques</v>
      </c>
      <c r="O214" t="str">
        <f>_xlfn.XLOOKUP(D214,tClientes[ID_Cliente],tClientes[UF])</f>
        <v>RS</v>
      </c>
    </row>
    <row r="215" spans="1:15" x14ac:dyDescent="0.3">
      <c r="A215">
        <v>214</v>
      </c>
      <c r="B215" s="3">
        <v>45775</v>
      </c>
      <c r="C215" s="3">
        <v>45795</v>
      </c>
      <c r="D215">
        <v>10</v>
      </c>
      <c r="E215">
        <v>15</v>
      </c>
      <c r="F215">
        <v>2</v>
      </c>
      <c r="G215" s="2">
        <v>6200</v>
      </c>
      <c r="H215" s="4">
        <v>0</v>
      </c>
      <c r="I215" s="2">
        <v>6200</v>
      </c>
      <c r="J215" t="s">
        <v>255</v>
      </c>
      <c r="K215" t="s">
        <v>254</v>
      </c>
      <c r="L215">
        <v>4</v>
      </c>
      <c r="M215" t="str">
        <f>_xlfn.XLOOKUP(E215,tPacotes[ID_Pacote],tPacotes[Pacote])</f>
        <v>Jericoacoara</v>
      </c>
      <c r="N215" t="str">
        <f>_xlfn.XLOOKUP(E215,tPacotes[ID_Pacote],tPacotes[Categoria])</f>
        <v>Praia</v>
      </c>
      <c r="O215" t="str">
        <f>_xlfn.XLOOKUP(D215,tClientes[ID_Cliente],tClientes[UF])</f>
        <v>SP</v>
      </c>
    </row>
    <row r="216" spans="1:15" x14ac:dyDescent="0.3">
      <c r="A216">
        <v>215</v>
      </c>
      <c r="B216" s="3">
        <v>45776</v>
      </c>
      <c r="C216" s="3">
        <v>45824</v>
      </c>
      <c r="D216">
        <v>103</v>
      </c>
      <c r="E216">
        <v>3</v>
      </c>
      <c r="F216">
        <v>2</v>
      </c>
      <c r="G216" s="2">
        <v>5200</v>
      </c>
      <c r="H216" s="4">
        <v>0</v>
      </c>
      <c r="I216" s="2">
        <v>5200</v>
      </c>
      <c r="J216" t="s">
        <v>253</v>
      </c>
      <c r="K216" t="s">
        <v>254</v>
      </c>
      <c r="L216">
        <v>5</v>
      </c>
      <c r="M216" t="str">
        <f>_xlfn.XLOOKUP(E216,tPacotes[ID_Pacote],tPacotes[Pacote])</f>
        <v>Serra Gaúcha</v>
      </c>
      <c r="N216" t="str">
        <f>_xlfn.XLOOKUP(E216,tPacotes[ID_Pacote],tPacotes[Categoria])</f>
        <v>Inverno</v>
      </c>
      <c r="O216" t="str">
        <f>_xlfn.XLOOKUP(D216,tClientes[ID_Cliente],tClientes[UF])</f>
        <v>SP</v>
      </c>
    </row>
    <row r="217" spans="1:15" x14ac:dyDescent="0.3">
      <c r="A217">
        <v>216</v>
      </c>
      <c r="B217" s="3">
        <v>45776</v>
      </c>
      <c r="C217" s="3">
        <v>45809</v>
      </c>
      <c r="D217">
        <v>89</v>
      </c>
      <c r="E217">
        <v>2</v>
      </c>
      <c r="F217">
        <v>2</v>
      </c>
      <c r="G217" s="2">
        <v>3600</v>
      </c>
      <c r="H217" s="4">
        <v>0</v>
      </c>
      <c r="I217" s="2">
        <v>3600</v>
      </c>
      <c r="J217" t="s">
        <v>253</v>
      </c>
      <c r="K217" t="s">
        <v>254</v>
      </c>
      <c r="L217">
        <v>4</v>
      </c>
      <c r="M217" t="str">
        <f>_xlfn.XLOOKUP(E217,tPacotes[ID_Pacote],tPacotes[Pacote])</f>
        <v>Rio Cidade Maravilhosa</v>
      </c>
      <c r="N217" t="str">
        <f>_xlfn.XLOOKUP(E217,tPacotes[ID_Pacote],tPacotes[Categoria])</f>
        <v>Cultural</v>
      </c>
      <c r="O217" t="str">
        <f>_xlfn.XLOOKUP(D217,tClientes[ID_Cliente],tClientes[UF])</f>
        <v>MG</v>
      </c>
    </row>
    <row r="218" spans="1:15" x14ac:dyDescent="0.3">
      <c r="A218">
        <v>217</v>
      </c>
      <c r="B218" s="3">
        <v>45778</v>
      </c>
      <c r="C218" s="3">
        <v>45788</v>
      </c>
      <c r="D218">
        <v>118</v>
      </c>
      <c r="E218">
        <v>9</v>
      </c>
      <c r="F218">
        <v>2</v>
      </c>
      <c r="G218" s="2">
        <v>17800</v>
      </c>
      <c r="H218" s="4">
        <v>0</v>
      </c>
      <c r="I218" s="2">
        <v>17800</v>
      </c>
      <c r="J218" t="s">
        <v>253</v>
      </c>
      <c r="K218" t="s">
        <v>254</v>
      </c>
      <c r="L218">
        <v>5</v>
      </c>
      <c r="M218" t="str">
        <f>_xlfn.XLOOKUP(E218,tPacotes[ID_Pacote],tPacotes[Pacote])</f>
        <v>Cancún All Inclusive</v>
      </c>
      <c r="N218" t="str">
        <f>_xlfn.XLOOKUP(E218,tPacotes[ID_Pacote],tPacotes[Categoria])</f>
        <v>Praia</v>
      </c>
      <c r="O218" t="str">
        <f>_xlfn.XLOOKUP(D218,tClientes[ID_Cliente],tClientes[UF])</f>
        <v>SP</v>
      </c>
    </row>
    <row r="219" spans="1:15" x14ac:dyDescent="0.3">
      <c r="A219">
        <v>218</v>
      </c>
      <c r="B219" s="3">
        <v>45778</v>
      </c>
      <c r="C219" s="3">
        <v>45877</v>
      </c>
      <c r="D219">
        <v>200</v>
      </c>
      <c r="E219">
        <v>5</v>
      </c>
      <c r="F219">
        <v>1</v>
      </c>
      <c r="G219" s="2">
        <v>3400</v>
      </c>
      <c r="H219" s="4">
        <v>0.1</v>
      </c>
      <c r="I219" s="2">
        <v>3060</v>
      </c>
      <c r="J219" t="s">
        <v>253</v>
      </c>
      <c r="K219" t="s">
        <v>258</v>
      </c>
      <c r="M219" t="str">
        <f>_xlfn.XLOOKUP(E219,tPacotes[ID_Pacote],tPacotes[Pacote])</f>
        <v>Bonito Aventura</v>
      </c>
      <c r="N219" t="str">
        <f>_xlfn.XLOOKUP(E219,tPacotes[ID_Pacote],tPacotes[Categoria])</f>
        <v>Aventura</v>
      </c>
      <c r="O219" t="str">
        <f>_xlfn.XLOOKUP(D219,tClientes[ID_Cliente],tClientes[UF])</f>
        <v>PR</v>
      </c>
    </row>
    <row r="220" spans="1:15" x14ac:dyDescent="0.3">
      <c r="A220">
        <v>219</v>
      </c>
      <c r="B220" s="3">
        <v>45779</v>
      </c>
      <c r="C220" s="3">
        <v>45791</v>
      </c>
      <c r="D220">
        <v>115</v>
      </c>
      <c r="E220">
        <v>7</v>
      </c>
      <c r="F220">
        <v>3</v>
      </c>
      <c r="G220" s="2">
        <v>12600</v>
      </c>
      <c r="H220" s="4">
        <v>0</v>
      </c>
      <c r="I220" s="2">
        <v>12600</v>
      </c>
      <c r="J220" t="s">
        <v>255</v>
      </c>
      <c r="K220" t="s">
        <v>254</v>
      </c>
      <c r="L220">
        <v>3</v>
      </c>
      <c r="M220" t="str">
        <f>_xlfn.XLOOKUP(E220,tPacotes[ID_Pacote],tPacotes[Pacote])</f>
        <v>Buenos Aires Clássica</v>
      </c>
      <c r="N220" t="str">
        <f>_xlfn.XLOOKUP(E220,tPacotes[ID_Pacote],tPacotes[Categoria])</f>
        <v>Cultural</v>
      </c>
      <c r="O220" t="str">
        <f>_xlfn.XLOOKUP(D220,tClientes[ID_Cliente],tClientes[UF])</f>
        <v>SP</v>
      </c>
    </row>
    <row r="221" spans="1:15" x14ac:dyDescent="0.3">
      <c r="A221">
        <v>220</v>
      </c>
      <c r="B221" s="3">
        <v>45780</v>
      </c>
      <c r="C221" s="3">
        <v>45809</v>
      </c>
      <c r="D221">
        <v>104</v>
      </c>
      <c r="E221">
        <v>7</v>
      </c>
      <c r="F221">
        <v>2</v>
      </c>
      <c r="G221" s="2">
        <v>8400</v>
      </c>
      <c r="H221" s="4">
        <v>0.05</v>
      </c>
      <c r="I221" s="2">
        <v>7980</v>
      </c>
      <c r="J221" t="s">
        <v>255</v>
      </c>
      <c r="K221" t="s">
        <v>254</v>
      </c>
      <c r="L221">
        <v>4</v>
      </c>
      <c r="M221" t="str">
        <f>_xlfn.XLOOKUP(E221,tPacotes[ID_Pacote],tPacotes[Pacote])</f>
        <v>Buenos Aires Clássica</v>
      </c>
      <c r="N221" t="str">
        <f>_xlfn.XLOOKUP(E221,tPacotes[ID_Pacote],tPacotes[Categoria])</f>
        <v>Cultural</v>
      </c>
      <c r="O221" t="str">
        <f>_xlfn.XLOOKUP(D221,tClientes[ID_Cliente],tClientes[UF])</f>
        <v>RJ</v>
      </c>
    </row>
    <row r="222" spans="1:15" x14ac:dyDescent="0.3">
      <c r="A222">
        <v>221</v>
      </c>
      <c r="B222" s="3">
        <v>45780</v>
      </c>
      <c r="C222" s="3">
        <v>45891</v>
      </c>
      <c r="D222">
        <v>70</v>
      </c>
      <c r="E222">
        <v>1</v>
      </c>
      <c r="F222">
        <v>5</v>
      </c>
      <c r="G222" s="2">
        <v>16000</v>
      </c>
      <c r="H222" s="4">
        <v>0</v>
      </c>
      <c r="I222" s="2">
        <v>16000</v>
      </c>
      <c r="J222" t="s">
        <v>255</v>
      </c>
      <c r="K222" t="s">
        <v>254</v>
      </c>
      <c r="L222">
        <v>5</v>
      </c>
      <c r="M222" t="str">
        <f>_xlfn.XLOOKUP(E222,tPacotes[ID_Pacote],tPacotes[Pacote])</f>
        <v>Nordeste Encantado</v>
      </c>
      <c r="N222" t="str">
        <f>_xlfn.XLOOKUP(E222,tPacotes[ID_Pacote],tPacotes[Categoria])</f>
        <v>Praia</v>
      </c>
      <c r="O222" t="str">
        <f>_xlfn.XLOOKUP(D222,tClientes[ID_Cliente],tClientes[UF])</f>
        <v>MG</v>
      </c>
    </row>
    <row r="223" spans="1:15" x14ac:dyDescent="0.3">
      <c r="A223">
        <v>222</v>
      </c>
      <c r="B223" s="3">
        <v>45780</v>
      </c>
      <c r="C223" s="3">
        <v>45806</v>
      </c>
      <c r="D223">
        <v>110</v>
      </c>
      <c r="E223">
        <v>6</v>
      </c>
      <c r="F223">
        <v>2</v>
      </c>
      <c r="G223" s="2">
        <v>4200</v>
      </c>
      <c r="H223" s="4">
        <v>0</v>
      </c>
      <c r="I223" s="2">
        <v>4200</v>
      </c>
      <c r="J223" t="s">
        <v>253</v>
      </c>
      <c r="K223" t="s">
        <v>254</v>
      </c>
      <c r="L223">
        <v>2</v>
      </c>
      <c r="M223" t="str">
        <f>_xlfn.XLOOKUP(E223,tPacotes[ID_Pacote],tPacotes[Pacote])</f>
        <v>Foz do Iguaçu</v>
      </c>
      <c r="N223" t="str">
        <f>_xlfn.XLOOKUP(E223,tPacotes[ID_Pacote],tPacotes[Categoria])</f>
        <v>Natureza</v>
      </c>
      <c r="O223" t="str">
        <f>_xlfn.XLOOKUP(D223,tClientes[ID_Cliente],tClientes[UF])</f>
        <v>SP</v>
      </c>
    </row>
    <row r="224" spans="1:15" x14ac:dyDescent="0.3">
      <c r="A224">
        <v>223</v>
      </c>
      <c r="B224" s="3">
        <v>45780</v>
      </c>
      <c r="C224" s="3">
        <v>45877</v>
      </c>
      <c r="D224">
        <v>186</v>
      </c>
      <c r="E224">
        <v>2</v>
      </c>
      <c r="F224">
        <v>2</v>
      </c>
      <c r="G224" s="2">
        <v>3600</v>
      </c>
      <c r="H224" s="4">
        <v>0.05</v>
      </c>
      <c r="I224" s="2">
        <v>3420</v>
      </c>
      <c r="J224" t="s">
        <v>253</v>
      </c>
      <c r="K224" t="s">
        <v>254</v>
      </c>
      <c r="L224">
        <v>4</v>
      </c>
      <c r="M224" t="str">
        <f>_xlfn.XLOOKUP(E224,tPacotes[ID_Pacote],tPacotes[Pacote])</f>
        <v>Rio Cidade Maravilhosa</v>
      </c>
      <c r="N224" t="str">
        <f>_xlfn.XLOOKUP(E224,tPacotes[ID_Pacote],tPacotes[Categoria])</f>
        <v>Cultural</v>
      </c>
      <c r="O224" t="str">
        <f>_xlfn.XLOOKUP(D224,tClientes[ID_Cliente],tClientes[UF])</f>
        <v>RJ</v>
      </c>
    </row>
    <row r="225" spans="1:15" x14ac:dyDescent="0.3">
      <c r="A225">
        <v>224</v>
      </c>
      <c r="B225" s="3">
        <v>45781</v>
      </c>
      <c r="C225" s="3">
        <v>45875</v>
      </c>
      <c r="D225">
        <v>87</v>
      </c>
      <c r="E225">
        <v>5</v>
      </c>
      <c r="F225">
        <v>2</v>
      </c>
      <c r="G225" s="2">
        <v>6800</v>
      </c>
      <c r="H225" s="4">
        <v>0.15</v>
      </c>
      <c r="I225" s="2">
        <v>5780</v>
      </c>
      <c r="J225" t="s">
        <v>255</v>
      </c>
      <c r="K225" t="s">
        <v>254</v>
      </c>
      <c r="L225">
        <v>3</v>
      </c>
      <c r="M225" t="str">
        <f>_xlfn.XLOOKUP(E225,tPacotes[ID_Pacote],tPacotes[Pacote])</f>
        <v>Bonito Aventura</v>
      </c>
      <c r="N225" t="str">
        <f>_xlfn.XLOOKUP(E225,tPacotes[ID_Pacote],tPacotes[Categoria])</f>
        <v>Aventura</v>
      </c>
      <c r="O225" t="str">
        <f>_xlfn.XLOOKUP(D225,tClientes[ID_Cliente],tClientes[UF])</f>
        <v>SP</v>
      </c>
    </row>
    <row r="226" spans="1:15" x14ac:dyDescent="0.3">
      <c r="A226">
        <v>225</v>
      </c>
      <c r="B226" s="3">
        <v>45781</v>
      </c>
      <c r="C226" s="3">
        <v>45794</v>
      </c>
      <c r="D226">
        <v>106</v>
      </c>
      <c r="E226">
        <v>10</v>
      </c>
      <c r="F226">
        <v>1</v>
      </c>
      <c r="G226" s="2">
        <v>11500</v>
      </c>
      <c r="H226" s="4">
        <v>0</v>
      </c>
      <c r="I226" s="2">
        <v>11500</v>
      </c>
      <c r="J226" t="s">
        <v>256</v>
      </c>
      <c r="K226" t="s">
        <v>254</v>
      </c>
      <c r="L226">
        <v>3</v>
      </c>
      <c r="M226" t="str">
        <f>_xlfn.XLOOKUP(E226,tPacotes[ID_Pacote],tPacotes[Pacote])</f>
        <v>Orlando Parques</v>
      </c>
      <c r="N226" t="str">
        <f>_xlfn.XLOOKUP(E226,tPacotes[ID_Pacote],tPacotes[Categoria])</f>
        <v>Parques</v>
      </c>
      <c r="O226" t="str">
        <f>_xlfn.XLOOKUP(D226,tClientes[ID_Cliente],tClientes[UF])</f>
        <v>PE</v>
      </c>
    </row>
    <row r="227" spans="1:15" x14ac:dyDescent="0.3">
      <c r="A227">
        <v>226</v>
      </c>
      <c r="B227" s="3">
        <v>45782</v>
      </c>
      <c r="C227" s="3">
        <v>45792</v>
      </c>
      <c r="D227">
        <v>112</v>
      </c>
      <c r="E227">
        <v>7</v>
      </c>
      <c r="F227">
        <v>2</v>
      </c>
      <c r="G227" s="2">
        <v>8400</v>
      </c>
      <c r="H227" s="4">
        <v>0</v>
      </c>
      <c r="I227" s="2">
        <v>8400</v>
      </c>
      <c r="J227" t="s">
        <v>257</v>
      </c>
      <c r="K227" t="s">
        <v>254</v>
      </c>
      <c r="L227">
        <v>5</v>
      </c>
      <c r="M227" t="str">
        <f>_xlfn.XLOOKUP(E227,tPacotes[ID_Pacote],tPacotes[Pacote])</f>
        <v>Buenos Aires Clássica</v>
      </c>
      <c r="N227" t="str">
        <f>_xlfn.XLOOKUP(E227,tPacotes[ID_Pacote],tPacotes[Categoria])</f>
        <v>Cultural</v>
      </c>
      <c r="O227" t="str">
        <f>_xlfn.XLOOKUP(D227,tClientes[ID_Cliente],tClientes[UF])</f>
        <v>SP</v>
      </c>
    </row>
    <row r="228" spans="1:15" x14ac:dyDescent="0.3">
      <c r="A228">
        <v>227</v>
      </c>
      <c r="B228" s="3">
        <v>45783</v>
      </c>
      <c r="C228" s="3">
        <v>45895</v>
      </c>
      <c r="D228">
        <v>137</v>
      </c>
      <c r="E228">
        <v>9</v>
      </c>
      <c r="F228">
        <v>1</v>
      </c>
      <c r="G228" s="2">
        <v>8900</v>
      </c>
      <c r="H228" s="4">
        <v>0</v>
      </c>
      <c r="I228" s="2">
        <v>8900</v>
      </c>
      <c r="J228" t="s">
        <v>253</v>
      </c>
      <c r="K228" t="s">
        <v>254</v>
      </c>
      <c r="L228">
        <v>5</v>
      </c>
      <c r="M228" t="str">
        <f>_xlfn.XLOOKUP(E228,tPacotes[ID_Pacote],tPacotes[Pacote])</f>
        <v>Cancún All Inclusive</v>
      </c>
      <c r="N228" t="str">
        <f>_xlfn.XLOOKUP(E228,tPacotes[ID_Pacote],tPacotes[Categoria])</f>
        <v>Praia</v>
      </c>
      <c r="O228" t="str">
        <f>_xlfn.XLOOKUP(D228,tClientes[ID_Cliente],tClientes[UF])</f>
        <v>SP</v>
      </c>
    </row>
    <row r="229" spans="1:15" x14ac:dyDescent="0.3">
      <c r="A229">
        <v>228</v>
      </c>
      <c r="B229" s="3">
        <v>45784</v>
      </c>
      <c r="C229" s="3">
        <v>45789</v>
      </c>
      <c r="D229">
        <v>81</v>
      </c>
      <c r="E229">
        <v>2</v>
      </c>
      <c r="F229">
        <v>2</v>
      </c>
      <c r="G229" s="2">
        <v>3600</v>
      </c>
      <c r="H229" s="4">
        <v>0</v>
      </c>
      <c r="I229" s="2">
        <v>3600</v>
      </c>
      <c r="J229" t="s">
        <v>255</v>
      </c>
      <c r="K229" t="s">
        <v>258</v>
      </c>
      <c r="M229" t="str">
        <f>_xlfn.XLOOKUP(E229,tPacotes[ID_Pacote],tPacotes[Pacote])</f>
        <v>Rio Cidade Maravilhosa</v>
      </c>
      <c r="N229" t="str">
        <f>_xlfn.XLOOKUP(E229,tPacotes[ID_Pacote],tPacotes[Categoria])</f>
        <v>Cultural</v>
      </c>
      <c r="O229" t="str">
        <f>_xlfn.XLOOKUP(D229,tClientes[ID_Cliente],tClientes[UF])</f>
        <v>SP</v>
      </c>
    </row>
    <row r="230" spans="1:15" x14ac:dyDescent="0.3">
      <c r="A230">
        <v>229</v>
      </c>
      <c r="B230" s="3">
        <v>45785</v>
      </c>
      <c r="C230" s="3">
        <v>45836</v>
      </c>
      <c r="D230">
        <v>48</v>
      </c>
      <c r="E230">
        <v>6</v>
      </c>
      <c r="F230">
        <v>3</v>
      </c>
      <c r="G230" s="2">
        <v>6300</v>
      </c>
      <c r="H230" s="4">
        <v>0</v>
      </c>
      <c r="I230" s="2">
        <v>6300</v>
      </c>
      <c r="J230" t="s">
        <v>257</v>
      </c>
      <c r="K230" t="s">
        <v>254</v>
      </c>
      <c r="L230">
        <v>4</v>
      </c>
      <c r="M230" t="str">
        <f>_xlfn.XLOOKUP(E230,tPacotes[ID_Pacote],tPacotes[Pacote])</f>
        <v>Foz do Iguaçu</v>
      </c>
      <c r="N230" t="str">
        <f>_xlfn.XLOOKUP(E230,tPacotes[ID_Pacote],tPacotes[Categoria])</f>
        <v>Natureza</v>
      </c>
      <c r="O230" t="str">
        <f>_xlfn.XLOOKUP(D230,tClientes[ID_Cliente],tClientes[UF])</f>
        <v>SP</v>
      </c>
    </row>
    <row r="231" spans="1:15" x14ac:dyDescent="0.3">
      <c r="A231">
        <v>230</v>
      </c>
      <c r="B231" s="3">
        <v>45786</v>
      </c>
      <c r="C231" s="3">
        <v>45836</v>
      </c>
      <c r="D231">
        <v>98</v>
      </c>
      <c r="E231">
        <v>4</v>
      </c>
      <c r="F231">
        <v>3</v>
      </c>
      <c r="G231" s="2">
        <v>20700</v>
      </c>
      <c r="H231" s="4">
        <v>0</v>
      </c>
      <c r="I231" s="2">
        <v>20700</v>
      </c>
      <c r="J231" t="s">
        <v>253</v>
      </c>
      <c r="K231" t="s">
        <v>254</v>
      </c>
      <c r="L231">
        <v>4</v>
      </c>
      <c r="M231" t="str">
        <f>_xlfn.XLOOKUP(E231,tPacotes[ID_Pacote],tPacotes[Pacote])</f>
        <v>Fernando de Noronha</v>
      </c>
      <c r="N231" t="str">
        <f>_xlfn.XLOOKUP(E231,tPacotes[ID_Pacote],tPacotes[Categoria])</f>
        <v>Praia</v>
      </c>
      <c r="O231" t="str">
        <f>_xlfn.XLOOKUP(D231,tClientes[ID_Cliente],tClientes[UF])</f>
        <v>SP</v>
      </c>
    </row>
    <row r="232" spans="1:15" x14ac:dyDescent="0.3">
      <c r="A232">
        <v>231</v>
      </c>
      <c r="B232" s="3">
        <v>45789</v>
      </c>
      <c r="C232" s="3">
        <v>45882</v>
      </c>
      <c r="D232">
        <v>143</v>
      </c>
      <c r="E232">
        <v>12</v>
      </c>
      <c r="F232">
        <v>1</v>
      </c>
      <c r="G232" s="2">
        <v>12400</v>
      </c>
      <c r="H232" s="4">
        <v>0.05</v>
      </c>
      <c r="I232" s="2">
        <v>11780</v>
      </c>
      <c r="J232" t="s">
        <v>253</v>
      </c>
      <c r="K232" t="s">
        <v>254</v>
      </c>
      <c r="L232">
        <v>4</v>
      </c>
      <c r="M232" t="str">
        <f>_xlfn.XLOOKUP(E232,tPacotes[ID_Pacote],tPacotes[Pacote])</f>
        <v>Lisboa e Porto</v>
      </c>
      <c r="N232" t="str">
        <f>_xlfn.XLOOKUP(E232,tPacotes[ID_Pacote],tPacotes[Categoria])</f>
        <v>Cultural</v>
      </c>
      <c r="O232" t="str">
        <f>_xlfn.XLOOKUP(D232,tClientes[ID_Cliente],tClientes[UF])</f>
        <v>DF</v>
      </c>
    </row>
    <row r="233" spans="1:15" x14ac:dyDescent="0.3">
      <c r="A233">
        <v>232</v>
      </c>
      <c r="B233" s="3">
        <v>45789</v>
      </c>
      <c r="C233" s="3">
        <v>45792</v>
      </c>
      <c r="D233">
        <v>142</v>
      </c>
      <c r="E233">
        <v>5</v>
      </c>
      <c r="F233">
        <v>2</v>
      </c>
      <c r="G233" s="2">
        <v>6800</v>
      </c>
      <c r="H233" s="4">
        <v>0</v>
      </c>
      <c r="I233" s="2">
        <v>6800</v>
      </c>
      <c r="J233" t="s">
        <v>257</v>
      </c>
      <c r="K233" t="s">
        <v>254</v>
      </c>
      <c r="L233">
        <v>4</v>
      </c>
      <c r="M233" t="str">
        <f>_xlfn.XLOOKUP(E233,tPacotes[ID_Pacote],tPacotes[Pacote])</f>
        <v>Bonito Aventura</v>
      </c>
      <c r="N233" t="str">
        <f>_xlfn.XLOOKUP(E233,tPacotes[ID_Pacote],tPacotes[Categoria])</f>
        <v>Aventura</v>
      </c>
      <c r="O233" t="str">
        <f>_xlfn.XLOOKUP(D233,tClientes[ID_Cliente],tClientes[UF])</f>
        <v>RJ</v>
      </c>
    </row>
    <row r="234" spans="1:15" x14ac:dyDescent="0.3">
      <c r="A234">
        <v>233</v>
      </c>
      <c r="B234" s="3">
        <v>45789</v>
      </c>
      <c r="C234" s="3">
        <v>45808</v>
      </c>
      <c r="D234">
        <v>60</v>
      </c>
      <c r="E234">
        <v>2</v>
      </c>
      <c r="F234">
        <v>1</v>
      </c>
      <c r="G234" s="2">
        <v>1800</v>
      </c>
      <c r="H234" s="4">
        <v>0</v>
      </c>
      <c r="I234" s="2">
        <v>1800</v>
      </c>
      <c r="J234" t="s">
        <v>257</v>
      </c>
      <c r="K234" t="s">
        <v>254</v>
      </c>
      <c r="L234">
        <v>5</v>
      </c>
      <c r="M234" t="str">
        <f>_xlfn.XLOOKUP(E234,tPacotes[ID_Pacote],tPacotes[Pacote])</f>
        <v>Rio Cidade Maravilhosa</v>
      </c>
      <c r="N234" t="str">
        <f>_xlfn.XLOOKUP(E234,tPacotes[ID_Pacote],tPacotes[Categoria])</f>
        <v>Cultural</v>
      </c>
      <c r="O234" t="str">
        <f>_xlfn.XLOOKUP(D234,tClientes[ID_Cliente],tClientes[UF])</f>
        <v>PR</v>
      </c>
    </row>
    <row r="235" spans="1:15" x14ac:dyDescent="0.3">
      <c r="A235">
        <v>234</v>
      </c>
      <c r="B235" s="3">
        <v>45791</v>
      </c>
      <c r="C235" s="3">
        <v>45863</v>
      </c>
      <c r="D235">
        <v>142</v>
      </c>
      <c r="E235">
        <v>1</v>
      </c>
      <c r="F235">
        <v>2</v>
      </c>
      <c r="G235" s="2">
        <v>6400</v>
      </c>
      <c r="H235" s="4">
        <v>0</v>
      </c>
      <c r="I235" s="2">
        <v>6400</v>
      </c>
      <c r="J235" t="s">
        <v>253</v>
      </c>
      <c r="K235" t="s">
        <v>254</v>
      </c>
      <c r="L235">
        <v>4</v>
      </c>
      <c r="M235" t="str">
        <f>_xlfn.XLOOKUP(E235,tPacotes[ID_Pacote],tPacotes[Pacote])</f>
        <v>Nordeste Encantado</v>
      </c>
      <c r="N235" t="str">
        <f>_xlfn.XLOOKUP(E235,tPacotes[ID_Pacote],tPacotes[Categoria])</f>
        <v>Praia</v>
      </c>
      <c r="O235" t="str">
        <f>_xlfn.XLOOKUP(D235,tClientes[ID_Cliente],tClientes[UF])</f>
        <v>RJ</v>
      </c>
    </row>
    <row r="236" spans="1:15" x14ac:dyDescent="0.3">
      <c r="A236">
        <v>235</v>
      </c>
      <c r="B236" s="3">
        <v>45791</v>
      </c>
      <c r="C236" s="3">
        <v>45805</v>
      </c>
      <c r="D236">
        <v>91</v>
      </c>
      <c r="E236">
        <v>15</v>
      </c>
      <c r="F236">
        <v>2</v>
      </c>
      <c r="G236" s="2">
        <v>6200</v>
      </c>
      <c r="H236" s="4">
        <v>0</v>
      </c>
      <c r="I236" s="2">
        <v>6200</v>
      </c>
      <c r="J236" t="s">
        <v>253</v>
      </c>
      <c r="K236" t="s">
        <v>254</v>
      </c>
      <c r="L236">
        <v>5</v>
      </c>
      <c r="M236" t="str">
        <f>_xlfn.XLOOKUP(E236,tPacotes[ID_Pacote],tPacotes[Pacote])</f>
        <v>Jericoacoara</v>
      </c>
      <c r="N236" t="str">
        <f>_xlfn.XLOOKUP(E236,tPacotes[ID_Pacote],tPacotes[Categoria])</f>
        <v>Praia</v>
      </c>
      <c r="O236" t="str">
        <f>_xlfn.XLOOKUP(D236,tClientes[ID_Cliente],tClientes[UF])</f>
        <v>SP</v>
      </c>
    </row>
    <row r="237" spans="1:15" x14ac:dyDescent="0.3">
      <c r="A237">
        <v>236</v>
      </c>
      <c r="B237" s="3">
        <v>45792</v>
      </c>
      <c r="C237" s="3">
        <v>45823</v>
      </c>
      <c r="D237">
        <v>12</v>
      </c>
      <c r="E237">
        <v>7</v>
      </c>
      <c r="F237">
        <v>3</v>
      </c>
      <c r="G237" s="2">
        <v>12600</v>
      </c>
      <c r="H237" s="4">
        <v>0</v>
      </c>
      <c r="I237" s="2">
        <v>12600</v>
      </c>
      <c r="J237" t="s">
        <v>253</v>
      </c>
      <c r="K237" t="s">
        <v>258</v>
      </c>
      <c r="M237" t="str">
        <f>_xlfn.XLOOKUP(E237,tPacotes[ID_Pacote],tPacotes[Pacote])</f>
        <v>Buenos Aires Clássica</v>
      </c>
      <c r="N237" t="str">
        <f>_xlfn.XLOOKUP(E237,tPacotes[ID_Pacote],tPacotes[Categoria])</f>
        <v>Cultural</v>
      </c>
      <c r="O237" t="str">
        <f>_xlfn.XLOOKUP(D237,tClientes[ID_Cliente],tClientes[UF])</f>
        <v>RJ</v>
      </c>
    </row>
    <row r="238" spans="1:15" x14ac:dyDescent="0.3">
      <c r="A238">
        <v>237</v>
      </c>
      <c r="B238" s="3">
        <v>45792</v>
      </c>
      <c r="C238" s="3">
        <v>45803</v>
      </c>
      <c r="D238">
        <v>108</v>
      </c>
      <c r="E238">
        <v>6</v>
      </c>
      <c r="F238">
        <v>1</v>
      </c>
      <c r="G238" s="2">
        <v>2100</v>
      </c>
      <c r="H238" s="4">
        <v>0</v>
      </c>
      <c r="I238" s="2">
        <v>2100</v>
      </c>
      <c r="J238" t="s">
        <v>255</v>
      </c>
      <c r="K238" t="s">
        <v>254</v>
      </c>
      <c r="L238">
        <v>5</v>
      </c>
      <c r="M238" t="str">
        <f>_xlfn.XLOOKUP(E238,tPacotes[ID_Pacote],tPacotes[Pacote])</f>
        <v>Foz do Iguaçu</v>
      </c>
      <c r="N238" t="str">
        <f>_xlfn.XLOOKUP(E238,tPacotes[ID_Pacote],tPacotes[Categoria])</f>
        <v>Natureza</v>
      </c>
      <c r="O238" t="str">
        <f>_xlfn.XLOOKUP(D238,tClientes[ID_Cliente],tClientes[UF])</f>
        <v>MG</v>
      </c>
    </row>
    <row r="239" spans="1:15" x14ac:dyDescent="0.3">
      <c r="A239">
        <v>238</v>
      </c>
      <c r="B239" s="3">
        <v>45792</v>
      </c>
      <c r="C239" s="3">
        <v>45853</v>
      </c>
      <c r="D239">
        <v>42</v>
      </c>
      <c r="E239">
        <v>13</v>
      </c>
      <c r="F239">
        <v>1</v>
      </c>
      <c r="G239" s="2">
        <v>7300</v>
      </c>
      <c r="H239" s="4">
        <v>0</v>
      </c>
      <c r="I239" s="2">
        <v>7300</v>
      </c>
      <c r="J239" t="s">
        <v>256</v>
      </c>
      <c r="K239" t="s">
        <v>254</v>
      </c>
      <c r="L239">
        <v>5</v>
      </c>
      <c r="M239" t="str">
        <f>_xlfn.XLOOKUP(E239,tPacotes[ID_Pacote],tPacotes[Pacote])</f>
        <v>Machu Picchu</v>
      </c>
      <c r="N239" t="str">
        <f>_xlfn.XLOOKUP(E239,tPacotes[ID_Pacote],tPacotes[Categoria])</f>
        <v>Aventura</v>
      </c>
      <c r="O239" t="str">
        <f>_xlfn.XLOOKUP(D239,tClientes[ID_Cliente],tClientes[UF])</f>
        <v>SP</v>
      </c>
    </row>
    <row r="240" spans="1:15" x14ac:dyDescent="0.3">
      <c r="A240">
        <v>239</v>
      </c>
      <c r="B240" s="3">
        <v>45792</v>
      </c>
      <c r="C240" s="3">
        <v>45798</v>
      </c>
      <c r="D240">
        <v>64</v>
      </c>
      <c r="E240">
        <v>6</v>
      </c>
      <c r="F240">
        <v>1</v>
      </c>
      <c r="G240" s="2">
        <v>2100</v>
      </c>
      <c r="H240" s="4">
        <v>0.1</v>
      </c>
      <c r="I240" s="2">
        <v>1890</v>
      </c>
      <c r="J240" t="s">
        <v>253</v>
      </c>
      <c r="K240" t="s">
        <v>254</v>
      </c>
      <c r="L240">
        <v>5</v>
      </c>
      <c r="M240" t="str">
        <f>_xlfn.XLOOKUP(E240,tPacotes[ID_Pacote],tPacotes[Pacote])</f>
        <v>Foz do Iguaçu</v>
      </c>
      <c r="N240" t="str">
        <f>_xlfn.XLOOKUP(E240,tPacotes[ID_Pacote],tPacotes[Categoria])</f>
        <v>Natureza</v>
      </c>
      <c r="O240" t="str">
        <f>_xlfn.XLOOKUP(D240,tClientes[ID_Cliente],tClientes[UF])</f>
        <v>PE</v>
      </c>
    </row>
    <row r="241" spans="1:15" x14ac:dyDescent="0.3">
      <c r="A241">
        <v>240</v>
      </c>
      <c r="B241" s="3">
        <v>45793</v>
      </c>
      <c r="C241" s="3">
        <v>45825</v>
      </c>
      <c r="D241">
        <v>132</v>
      </c>
      <c r="E241">
        <v>15</v>
      </c>
      <c r="F241">
        <v>2</v>
      </c>
      <c r="G241" s="2">
        <v>6200</v>
      </c>
      <c r="H241" s="4">
        <v>0.1</v>
      </c>
      <c r="I241" s="2">
        <v>5580</v>
      </c>
      <c r="J241" t="s">
        <v>255</v>
      </c>
      <c r="K241" t="s">
        <v>254</v>
      </c>
      <c r="L241">
        <v>4</v>
      </c>
      <c r="M241" t="str">
        <f>_xlfn.XLOOKUP(E241,tPacotes[ID_Pacote],tPacotes[Pacote])</f>
        <v>Jericoacoara</v>
      </c>
      <c r="N241" t="str">
        <f>_xlfn.XLOOKUP(E241,tPacotes[ID_Pacote],tPacotes[Categoria])</f>
        <v>Praia</v>
      </c>
      <c r="O241" t="str">
        <f>_xlfn.XLOOKUP(D241,tClientes[ID_Cliente],tClientes[UF])</f>
        <v>RS</v>
      </c>
    </row>
    <row r="242" spans="1:15" x14ac:dyDescent="0.3">
      <c r="A242">
        <v>241</v>
      </c>
      <c r="B242" s="3">
        <v>45794</v>
      </c>
      <c r="C242" s="3">
        <v>45807</v>
      </c>
      <c r="D242">
        <v>183</v>
      </c>
      <c r="E242">
        <v>2</v>
      </c>
      <c r="F242">
        <v>4</v>
      </c>
      <c r="G242" s="2">
        <v>7200</v>
      </c>
      <c r="H242" s="4">
        <v>0</v>
      </c>
      <c r="I242" s="2">
        <v>7200</v>
      </c>
      <c r="J242" t="s">
        <v>255</v>
      </c>
      <c r="K242" t="s">
        <v>258</v>
      </c>
      <c r="M242" t="str">
        <f>_xlfn.XLOOKUP(E242,tPacotes[ID_Pacote],tPacotes[Pacote])</f>
        <v>Rio Cidade Maravilhosa</v>
      </c>
      <c r="N242" t="str">
        <f>_xlfn.XLOOKUP(E242,tPacotes[ID_Pacote],tPacotes[Categoria])</f>
        <v>Cultural</v>
      </c>
      <c r="O242" t="str">
        <f>_xlfn.XLOOKUP(D242,tClientes[ID_Cliente],tClientes[UF])</f>
        <v>MG</v>
      </c>
    </row>
    <row r="243" spans="1:15" x14ac:dyDescent="0.3">
      <c r="A243">
        <v>242</v>
      </c>
      <c r="B243" s="3">
        <v>45794</v>
      </c>
      <c r="C243" s="3">
        <v>45838</v>
      </c>
      <c r="D243">
        <v>183</v>
      </c>
      <c r="E243">
        <v>12</v>
      </c>
      <c r="F243">
        <v>3</v>
      </c>
      <c r="G243" s="2">
        <v>37200</v>
      </c>
      <c r="H243" s="4">
        <v>0</v>
      </c>
      <c r="I243" s="2">
        <v>37200</v>
      </c>
      <c r="J243" t="s">
        <v>257</v>
      </c>
      <c r="K243" t="s">
        <v>254</v>
      </c>
      <c r="L243">
        <v>5</v>
      </c>
      <c r="M243" t="str">
        <f>_xlfn.XLOOKUP(E243,tPacotes[ID_Pacote],tPacotes[Pacote])</f>
        <v>Lisboa e Porto</v>
      </c>
      <c r="N243" t="str">
        <f>_xlfn.XLOOKUP(E243,tPacotes[ID_Pacote],tPacotes[Categoria])</f>
        <v>Cultural</v>
      </c>
      <c r="O243" t="str">
        <f>_xlfn.XLOOKUP(D243,tClientes[ID_Cliente],tClientes[UF])</f>
        <v>MG</v>
      </c>
    </row>
    <row r="244" spans="1:15" x14ac:dyDescent="0.3">
      <c r="A244">
        <v>243</v>
      </c>
      <c r="B244" s="3">
        <v>45795</v>
      </c>
      <c r="C244" s="3">
        <v>45817</v>
      </c>
      <c r="D244">
        <v>77</v>
      </c>
      <c r="E244">
        <v>3</v>
      </c>
      <c r="F244">
        <v>1</v>
      </c>
      <c r="G244" s="2">
        <v>2600</v>
      </c>
      <c r="H244" s="4">
        <v>0.15</v>
      </c>
      <c r="I244" s="2">
        <v>2210</v>
      </c>
      <c r="J244" t="s">
        <v>253</v>
      </c>
      <c r="K244" t="s">
        <v>254</v>
      </c>
      <c r="L244">
        <v>5</v>
      </c>
      <c r="M244" t="str">
        <f>_xlfn.XLOOKUP(E244,tPacotes[ID_Pacote],tPacotes[Pacote])</f>
        <v>Serra Gaúcha</v>
      </c>
      <c r="N244" t="str">
        <f>_xlfn.XLOOKUP(E244,tPacotes[ID_Pacote],tPacotes[Categoria])</f>
        <v>Inverno</v>
      </c>
      <c r="O244" t="str">
        <f>_xlfn.XLOOKUP(D244,tClientes[ID_Cliente],tClientes[UF])</f>
        <v>RJ</v>
      </c>
    </row>
    <row r="245" spans="1:15" x14ac:dyDescent="0.3">
      <c r="A245">
        <v>244</v>
      </c>
      <c r="B245" s="3">
        <v>45795</v>
      </c>
      <c r="C245" s="3">
        <v>45810</v>
      </c>
      <c r="D245">
        <v>168</v>
      </c>
      <c r="E245">
        <v>8</v>
      </c>
      <c r="F245">
        <v>2</v>
      </c>
      <c r="G245" s="2">
        <v>11800</v>
      </c>
      <c r="H245" s="4">
        <v>0</v>
      </c>
      <c r="I245" s="2">
        <v>11800</v>
      </c>
      <c r="J245" t="s">
        <v>253</v>
      </c>
      <c r="K245" t="s">
        <v>254</v>
      </c>
      <c r="L245">
        <v>5</v>
      </c>
      <c r="M245" t="str">
        <f>_xlfn.XLOOKUP(E245,tPacotes[ID_Pacote],tPacotes[Pacote])</f>
        <v>Santiago e Neve</v>
      </c>
      <c r="N245" t="str">
        <f>_xlfn.XLOOKUP(E245,tPacotes[ID_Pacote],tPacotes[Categoria])</f>
        <v>Inverno</v>
      </c>
      <c r="O245" t="str">
        <f>_xlfn.XLOOKUP(D245,tClientes[ID_Cliente],tClientes[UF])</f>
        <v>SP</v>
      </c>
    </row>
    <row r="246" spans="1:15" x14ac:dyDescent="0.3">
      <c r="A246">
        <v>245</v>
      </c>
      <c r="B246" s="3">
        <v>45795</v>
      </c>
      <c r="C246" s="3">
        <v>45951</v>
      </c>
      <c r="D246">
        <v>192</v>
      </c>
      <c r="E246">
        <v>3</v>
      </c>
      <c r="F246">
        <v>3</v>
      </c>
      <c r="G246" s="2">
        <v>7800</v>
      </c>
      <c r="H246" s="4">
        <v>0</v>
      </c>
      <c r="I246" s="2">
        <v>7800</v>
      </c>
      <c r="J246" t="s">
        <v>253</v>
      </c>
      <c r="K246" t="s">
        <v>258</v>
      </c>
      <c r="M246" t="str">
        <f>_xlfn.XLOOKUP(E246,tPacotes[ID_Pacote],tPacotes[Pacote])</f>
        <v>Serra Gaúcha</v>
      </c>
      <c r="N246" t="str">
        <f>_xlfn.XLOOKUP(E246,tPacotes[ID_Pacote],tPacotes[Categoria])</f>
        <v>Inverno</v>
      </c>
      <c r="O246" t="str">
        <f>_xlfn.XLOOKUP(D246,tClientes[ID_Cliente],tClientes[UF])</f>
        <v>SP</v>
      </c>
    </row>
    <row r="247" spans="1:15" x14ac:dyDescent="0.3">
      <c r="A247">
        <v>246</v>
      </c>
      <c r="B247" s="3">
        <v>45795</v>
      </c>
      <c r="C247" s="3">
        <v>45832</v>
      </c>
      <c r="D247">
        <v>69</v>
      </c>
      <c r="E247">
        <v>10</v>
      </c>
      <c r="F247">
        <v>3</v>
      </c>
      <c r="G247" s="2">
        <v>34500</v>
      </c>
      <c r="H247" s="4">
        <v>0.05</v>
      </c>
      <c r="I247" s="2">
        <v>32775</v>
      </c>
      <c r="J247" t="s">
        <v>255</v>
      </c>
      <c r="K247" t="s">
        <v>254</v>
      </c>
      <c r="L247">
        <v>3</v>
      </c>
      <c r="M247" t="str">
        <f>_xlfn.XLOOKUP(E247,tPacotes[ID_Pacote],tPacotes[Pacote])</f>
        <v>Orlando Parques</v>
      </c>
      <c r="N247" t="str">
        <f>_xlfn.XLOOKUP(E247,tPacotes[ID_Pacote],tPacotes[Categoria])</f>
        <v>Parques</v>
      </c>
      <c r="O247" t="str">
        <f>_xlfn.XLOOKUP(D247,tClientes[ID_Cliente],tClientes[UF])</f>
        <v>RJ</v>
      </c>
    </row>
    <row r="248" spans="1:15" x14ac:dyDescent="0.3">
      <c r="A248">
        <v>247</v>
      </c>
      <c r="B248" s="3">
        <v>45797</v>
      </c>
      <c r="C248" s="3">
        <v>45813</v>
      </c>
      <c r="D248">
        <v>187</v>
      </c>
      <c r="E248">
        <v>7</v>
      </c>
      <c r="F248">
        <v>1</v>
      </c>
      <c r="G248" s="2">
        <v>4200</v>
      </c>
      <c r="H248" s="4">
        <v>0</v>
      </c>
      <c r="I248" s="2">
        <v>4200</v>
      </c>
      <c r="J248" t="s">
        <v>255</v>
      </c>
      <c r="K248" t="s">
        <v>254</v>
      </c>
      <c r="L248">
        <v>3</v>
      </c>
      <c r="M248" t="str">
        <f>_xlfn.XLOOKUP(E248,tPacotes[ID_Pacote],tPacotes[Pacote])</f>
        <v>Buenos Aires Clássica</v>
      </c>
      <c r="N248" t="str">
        <f>_xlfn.XLOOKUP(E248,tPacotes[ID_Pacote],tPacotes[Categoria])</f>
        <v>Cultural</v>
      </c>
      <c r="O248" t="str">
        <f>_xlfn.XLOOKUP(D248,tClientes[ID_Cliente],tClientes[UF])</f>
        <v>BA</v>
      </c>
    </row>
    <row r="249" spans="1:15" x14ac:dyDescent="0.3">
      <c r="A249">
        <v>248</v>
      </c>
      <c r="B249" s="3">
        <v>45798</v>
      </c>
      <c r="C249" s="3">
        <v>45854</v>
      </c>
      <c r="D249">
        <v>181</v>
      </c>
      <c r="E249">
        <v>13</v>
      </c>
      <c r="F249">
        <v>2</v>
      </c>
      <c r="G249" s="2">
        <v>14600</v>
      </c>
      <c r="H249" s="4">
        <v>0</v>
      </c>
      <c r="I249" s="2">
        <v>14600</v>
      </c>
      <c r="J249" t="s">
        <v>253</v>
      </c>
      <c r="K249" t="s">
        <v>254</v>
      </c>
      <c r="L249">
        <v>4</v>
      </c>
      <c r="M249" t="str">
        <f>_xlfn.XLOOKUP(E249,tPacotes[ID_Pacote],tPacotes[Pacote])</f>
        <v>Machu Picchu</v>
      </c>
      <c r="N249" t="str">
        <f>_xlfn.XLOOKUP(E249,tPacotes[ID_Pacote],tPacotes[Categoria])</f>
        <v>Aventura</v>
      </c>
      <c r="O249" t="str">
        <f>_xlfn.XLOOKUP(D249,tClientes[ID_Cliente],tClientes[UF])</f>
        <v>RJ</v>
      </c>
    </row>
    <row r="250" spans="1:15" x14ac:dyDescent="0.3">
      <c r="A250">
        <v>249</v>
      </c>
      <c r="B250" s="3">
        <v>45798</v>
      </c>
      <c r="C250" s="3">
        <v>45804</v>
      </c>
      <c r="D250">
        <v>109</v>
      </c>
      <c r="E250">
        <v>3</v>
      </c>
      <c r="F250">
        <v>4</v>
      </c>
      <c r="G250" s="2">
        <v>10400</v>
      </c>
      <c r="H250" s="4">
        <v>0.05</v>
      </c>
      <c r="I250" s="2">
        <v>9880</v>
      </c>
      <c r="J250" t="s">
        <v>257</v>
      </c>
      <c r="K250" t="s">
        <v>254</v>
      </c>
      <c r="L250">
        <v>5</v>
      </c>
      <c r="M250" t="str">
        <f>_xlfn.XLOOKUP(E250,tPacotes[ID_Pacote],tPacotes[Pacote])</f>
        <v>Serra Gaúcha</v>
      </c>
      <c r="N250" t="str">
        <f>_xlfn.XLOOKUP(E250,tPacotes[ID_Pacote],tPacotes[Categoria])</f>
        <v>Inverno</v>
      </c>
      <c r="O250" t="str">
        <f>_xlfn.XLOOKUP(D250,tClientes[ID_Cliente],tClientes[UF])</f>
        <v>SP</v>
      </c>
    </row>
    <row r="251" spans="1:15" x14ac:dyDescent="0.3">
      <c r="A251">
        <v>250</v>
      </c>
      <c r="B251" s="3">
        <v>45799</v>
      </c>
      <c r="C251" s="3">
        <v>45803</v>
      </c>
      <c r="D251">
        <v>163</v>
      </c>
      <c r="E251">
        <v>9</v>
      </c>
      <c r="F251">
        <v>1</v>
      </c>
      <c r="G251" s="2">
        <v>8900</v>
      </c>
      <c r="H251" s="4">
        <v>0</v>
      </c>
      <c r="I251" s="2">
        <v>8900</v>
      </c>
      <c r="J251" t="s">
        <v>257</v>
      </c>
      <c r="K251" t="s">
        <v>254</v>
      </c>
      <c r="L251">
        <v>5</v>
      </c>
      <c r="M251" t="str">
        <f>_xlfn.XLOOKUP(E251,tPacotes[ID_Pacote],tPacotes[Pacote])</f>
        <v>Cancún All Inclusive</v>
      </c>
      <c r="N251" t="str">
        <f>_xlfn.XLOOKUP(E251,tPacotes[ID_Pacote],tPacotes[Categoria])</f>
        <v>Praia</v>
      </c>
      <c r="O251" t="str">
        <f>_xlfn.XLOOKUP(D251,tClientes[ID_Cliente],tClientes[UF])</f>
        <v>DF</v>
      </c>
    </row>
    <row r="252" spans="1:15" x14ac:dyDescent="0.3">
      <c r="A252">
        <v>251</v>
      </c>
      <c r="B252" s="3">
        <v>45799</v>
      </c>
      <c r="C252" s="3">
        <v>45967</v>
      </c>
      <c r="D252">
        <v>150</v>
      </c>
      <c r="E252">
        <v>1</v>
      </c>
      <c r="F252">
        <v>1</v>
      </c>
      <c r="G252" s="2">
        <v>3200</v>
      </c>
      <c r="H252" s="4">
        <v>0</v>
      </c>
      <c r="I252" s="2">
        <v>3200</v>
      </c>
      <c r="J252" t="s">
        <v>253</v>
      </c>
      <c r="K252" t="s">
        <v>254</v>
      </c>
      <c r="L252">
        <v>2</v>
      </c>
      <c r="M252" t="str">
        <f>_xlfn.XLOOKUP(E252,tPacotes[ID_Pacote],tPacotes[Pacote])</f>
        <v>Nordeste Encantado</v>
      </c>
      <c r="N252" t="str">
        <f>_xlfn.XLOOKUP(E252,tPacotes[ID_Pacote],tPacotes[Categoria])</f>
        <v>Praia</v>
      </c>
      <c r="O252" t="str">
        <f>_xlfn.XLOOKUP(D252,tClientes[ID_Cliente],tClientes[UF])</f>
        <v>SP</v>
      </c>
    </row>
    <row r="253" spans="1:15" x14ac:dyDescent="0.3">
      <c r="A253">
        <v>252</v>
      </c>
      <c r="B253" s="3">
        <v>45801</v>
      </c>
      <c r="C253" s="3">
        <v>45804</v>
      </c>
      <c r="D253">
        <v>89</v>
      </c>
      <c r="E253">
        <v>7</v>
      </c>
      <c r="F253">
        <v>3</v>
      </c>
      <c r="G253" s="2">
        <v>12600</v>
      </c>
      <c r="H253" s="4">
        <v>0</v>
      </c>
      <c r="I253" s="2">
        <v>12600</v>
      </c>
      <c r="J253" t="s">
        <v>253</v>
      </c>
      <c r="K253" t="s">
        <v>254</v>
      </c>
      <c r="L253">
        <v>4</v>
      </c>
      <c r="M253" t="str">
        <f>_xlfn.XLOOKUP(E253,tPacotes[ID_Pacote],tPacotes[Pacote])</f>
        <v>Buenos Aires Clássica</v>
      </c>
      <c r="N253" t="str">
        <f>_xlfn.XLOOKUP(E253,tPacotes[ID_Pacote],tPacotes[Categoria])</f>
        <v>Cultural</v>
      </c>
      <c r="O253" t="str">
        <f>_xlfn.XLOOKUP(D253,tClientes[ID_Cliente],tClientes[UF])</f>
        <v>MG</v>
      </c>
    </row>
    <row r="254" spans="1:15" x14ac:dyDescent="0.3">
      <c r="A254">
        <v>253</v>
      </c>
      <c r="B254" s="3">
        <v>45801</v>
      </c>
      <c r="C254" s="3">
        <v>45816</v>
      </c>
      <c r="D254">
        <v>25</v>
      </c>
      <c r="E254">
        <v>11</v>
      </c>
      <c r="F254">
        <v>2</v>
      </c>
      <c r="G254" s="2">
        <v>31600</v>
      </c>
      <c r="H254" s="4">
        <v>0.1</v>
      </c>
      <c r="I254" s="2">
        <v>28440</v>
      </c>
      <c r="J254" t="s">
        <v>253</v>
      </c>
      <c r="K254" t="s">
        <v>254</v>
      </c>
      <c r="L254">
        <v>5</v>
      </c>
      <c r="M254" t="str">
        <f>_xlfn.XLOOKUP(E254,tPacotes[ID_Pacote],tPacotes[Pacote])</f>
        <v>Paris e Londres</v>
      </c>
      <c r="N254" t="str">
        <f>_xlfn.XLOOKUP(E254,tPacotes[ID_Pacote],tPacotes[Categoria])</f>
        <v>Cultural</v>
      </c>
      <c r="O254" t="str">
        <f>_xlfn.XLOOKUP(D254,tClientes[ID_Cliente],tClientes[UF])</f>
        <v>PE</v>
      </c>
    </row>
    <row r="255" spans="1:15" x14ac:dyDescent="0.3">
      <c r="A255">
        <v>254</v>
      </c>
      <c r="B255" s="3">
        <v>45801</v>
      </c>
      <c r="C255" s="3">
        <v>45825</v>
      </c>
      <c r="D255">
        <v>59</v>
      </c>
      <c r="E255">
        <v>2</v>
      </c>
      <c r="F255">
        <v>1</v>
      </c>
      <c r="G255" s="2">
        <v>1800</v>
      </c>
      <c r="H255" s="4">
        <v>0.1</v>
      </c>
      <c r="I255" s="2">
        <v>1620</v>
      </c>
      <c r="J255" t="s">
        <v>255</v>
      </c>
      <c r="K255" t="s">
        <v>254</v>
      </c>
      <c r="L255">
        <v>3</v>
      </c>
      <c r="M255" t="str">
        <f>_xlfn.XLOOKUP(E255,tPacotes[ID_Pacote],tPacotes[Pacote])</f>
        <v>Rio Cidade Maravilhosa</v>
      </c>
      <c r="N255" t="str">
        <f>_xlfn.XLOOKUP(E255,tPacotes[ID_Pacote],tPacotes[Categoria])</f>
        <v>Cultural</v>
      </c>
      <c r="O255" t="str">
        <f>_xlfn.XLOOKUP(D255,tClientes[ID_Cliente],tClientes[UF])</f>
        <v>DF</v>
      </c>
    </row>
    <row r="256" spans="1:15" x14ac:dyDescent="0.3">
      <c r="A256">
        <v>255</v>
      </c>
      <c r="B256" s="3">
        <v>45801</v>
      </c>
      <c r="C256" s="3">
        <v>45893</v>
      </c>
      <c r="D256">
        <v>46</v>
      </c>
      <c r="E256">
        <v>13</v>
      </c>
      <c r="F256">
        <v>1</v>
      </c>
      <c r="G256" s="2">
        <v>7300</v>
      </c>
      <c r="H256" s="4">
        <v>0.05</v>
      </c>
      <c r="I256" s="2">
        <v>6935</v>
      </c>
      <c r="J256" t="s">
        <v>257</v>
      </c>
      <c r="K256" t="s">
        <v>254</v>
      </c>
      <c r="L256">
        <v>4</v>
      </c>
      <c r="M256" t="str">
        <f>_xlfn.XLOOKUP(E256,tPacotes[ID_Pacote],tPacotes[Pacote])</f>
        <v>Machu Picchu</v>
      </c>
      <c r="N256" t="str">
        <f>_xlfn.XLOOKUP(E256,tPacotes[ID_Pacote],tPacotes[Categoria])</f>
        <v>Aventura</v>
      </c>
      <c r="O256" t="str">
        <f>_xlfn.XLOOKUP(D256,tClientes[ID_Cliente],tClientes[UF])</f>
        <v>RJ</v>
      </c>
    </row>
    <row r="257" spans="1:15" x14ac:dyDescent="0.3">
      <c r="A257">
        <v>256</v>
      </c>
      <c r="B257" s="3">
        <v>45801</v>
      </c>
      <c r="C257" s="3">
        <v>45905</v>
      </c>
      <c r="D257">
        <v>7</v>
      </c>
      <c r="E257">
        <v>13</v>
      </c>
      <c r="F257">
        <v>4</v>
      </c>
      <c r="G257" s="2">
        <v>29200</v>
      </c>
      <c r="H257" s="4">
        <v>0.1</v>
      </c>
      <c r="I257" s="2">
        <v>26280</v>
      </c>
      <c r="J257" t="s">
        <v>253</v>
      </c>
      <c r="K257" t="s">
        <v>254</v>
      </c>
      <c r="L257">
        <v>4</v>
      </c>
      <c r="M257" t="str">
        <f>_xlfn.XLOOKUP(E257,tPacotes[ID_Pacote],tPacotes[Pacote])</f>
        <v>Machu Picchu</v>
      </c>
      <c r="N257" t="str">
        <f>_xlfn.XLOOKUP(E257,tPacotes[ID_Pacote],tPacotes[Categoria])</f>
        <v>Aventura</v>
      </c>
      <c r="O257" t="str">
        <f>_xlfn.XLOOKUP(D257,tClientes[ID_Cliente],tClientes[UF])</f>
        <v>SP</v>
      </c>
    </row>
    <row r="258" spans="1:15" x14ac:dyDescent="0.3">
      <c r="A258">
        <v>257</v>
      </c>
      <c r="B258" s="3">
        <v>45802</v>
      </c>
      <c r="C258" s="3">
        <v>45928</v>
      </c>
      <c r="D258">
        <v>78</v>
      </c>
      <c r="E258">
        <v>9</v>
      </c>
      <c r="F258">
        <v>2</v>
      </c>
      <c r="G258" s="2">
        <v>17800</v>
      </c>
      <c r="H258" s="4">
        <v>0</v>
      </c>
      <c r="I258" s="2">
        <v>17800</v>
      </c>
      <c r="J258" t="s">
        <v>253</v>
      </c>
      <c r="K258" t="s">
        <v>254</v>
      </c>
      <c r="L258">
        <v>5</v>
      </c>
      <c r="M258" t="str">
        <f>_xlfn.XLOOKUP(E258,tPacotes[ID_Pacote],tPacotes[Pacote])</f>
        <v>Cancún All Inclusive</v>
      </c>
      <c r="N258" t="str">
        <f>_xlfn.XLOOKUP(E258,tPacotes[ID_Pacote],tPacotes[Categoria])</f>
        <v>Praia</v>
      </c>
      <c r="O258" t="str">
        <f>_xlfn.XLOOKUP(D258,tClientes[ID_Cliente],tClientes[UF])</f>
        <v>PR</v>
      </c>
    </row>
    <row r="259" spans="1:15" x14ac:dyDescent="0.3">
      <c r="A259">
        <v>258</v>
      </c>
      <c r="B259" s="3">
        <v>45802</v>
      </c>
      <c r="C259" s="3">
        <v>45970</v>
      </c>
      <c r="D259">
        <v>144</v>
      </c>
      <c r="E259">
        <v>2</v>
      </c>
      <c r="F259">
        <v>1</v>
      </c>
      <c r="G259" s="2">
        <v>1800</v>
      </c>
      <c r="H259" s="4">
        <v>0</v>
      </c>
      <c r="I259" s="2">
        <v>1800</v>
      </c>
      <c r="J259" t="s">
        <v>256</v>
      </c>
      <c r="K259" t="s">
        <v>254</v>
      </c>
      <c r="L259">
        <v>5</v>
      </c>
      <c r="M259" t="str">
        <f>_xlfn.XLOOKUP(E259,tPacotes[ID_Pacote],tPacotes[Pacote])</f>
        <v>Rio Cidade Maravilhosa</v>
      </c>
      <c r="N259" t="str">
        <f>_xlfn.XLOOKUP(E259,tPacotes[ID_Pacote],tPacotes[Categoria])</f>
        <v>Cultural</v>
      </c>
      <c r="O259" t="str">
        <f>_xlfn.XLOOKUP(D259,tClientes[ID_Cliente],tClientes[UF])</f>
        <v>DF</v>
      </c>
    </row>
    <row r="260" spans="1:15" x14ac:dyDescent="0.3">
      <c r="A260">
        <v>259</v>
      </c>
      <c r="B260" s="3">
        <v>45803</v>
      </c>
      <c r="C260" s="3">
        <v>45917</v>
      </c>
      <c r="D260">
        <v>94</v>
      </c>
      <c r="E260">
        <v>5</v>
      </c>
      <c r="F260">
        <v>2</v>
      </c>
      <c r="G260" s="2">
        <v>6800</v>
      </c>
      <c r="H260" s="4">
        <v>0.05</v>
      </c>
      <c r="I260" s="2">
        <v>6460</v>
      </c>
      <c r="J260" t="s">
        <v>253</v>
      </c>
      <c r="K260" t="s">
        <v>258</v>
      </c>
      <c r="M260" t="str">
        <f>_xlfn.XLOOKUP(E260,tPacotes[ID_Pacote],tPacotes[Pacote])</f>
        <v>Bonito Aventura</v>
      </c>
      <c r="N260" t="str">
        <f>_xlfn.XLOOKUP(E260,tPacotes[ID_Pacote],tPacotes[Categoria])</f>
        <v>Aventura</v>
      </c>
      <c r="O260" t="str">
        <f>_xlfn.XLOOKUP(D260,tClientes[ID_Cliente],tClientes[UF])</f>
        <v>RJ</v>
      </c>
    </row>
    <row r="261" spans="1:15" x14ac:dyDescent="0.3">
      <c r="A261">
        <v>260</v>
      </c>
      <c r="B261" s="3">
        <v>45804</v>
      </c>
      <c r="C261" s="3">
        <v>45821</v>
      </c>
      <c r="D261">
        <v>4</v>
      </c>
      <c r="E261">
        <v>14</v>
      </c>
      <c r="F261">
        <v>1</v>
      </c>
      <c r="G261" s="2">
        <v>2900</v>
      </c>
      <c r="H261" s="4">
        <v>0</v>
      </c>
      <c r="I261" s="2">
        <v>2900</v>
      </c>
      <c r="J261" t="s">
        <v>255</v>
      </c>
      <c r="K261" t="s">
        <v>254</v>
      </c>
      <c r="L261">
        <v>4</v>
      </c>
      <c r="M261" t="str">
        <f>_xlfn.XLOOKUP(E261,tPacotes[ID_Pacote],tPacotes[Pacote])</f>
        <v>Lençóis Maranhenses</v>
      </c>
      <c r="N261" t="str">
        <f>_xlfn.XLOOKUP(E261,tPacotes[ID_Pacote],tPacotes[Categoria])</f>
        <v>Natureza</v>
      </c>
      <c r="O261" t="str">
        <f>_xlfn.XLOOKUP(D261,tClientes[ID_Cliente],tClientes[UF])</f>
        <v>RJ</v>
      </c>
    </row>
    <row r="262" spans="1:15" x14ac:dyDescent="0.3">
      <c r="A262">
        <v>261</v>
      </c>
      <c r="B262" s="3">
        <v>45804</v>
      </c>
      <c r="C262" s="3">
        <v>45836</v>
      </c>
      <c r="D262">
        <v>189</v>
      </c>
      <c r="E262">
        <v>3</v>
      </c>
      <c r="F262">
        <v>2</v>
      </c>
      <c r="G262" s="2">
        <v>5200</v>
      </c>
      <c r="H262" s="4">
        <v>0.1</v>
      </c>
      <c r="I262" s="2">
        <v>4680</v>
      </c>
      <c r="J262" t="s">
        <v>253</v>
      </c>
      <c r="K262" t="s">
        <v>254</v>
      </c>
      <c r="L262">
        <v>4</v>
      </c>
      <c r="M262" t="str">
        <f>_xlfn.XLOOKUP(E262,tPacotes[ID_Pacote],tPacotes[Pacote])</f>
        <v>Serra Gaúcha</v>
      </c>
      <c r="N262" t="str">
        <f>_xlfn.XLOOKUP(E262,tPacotes[ID_Pacote],tPacotes[Categoria])</f>
        <v>Inverno</v>
      </c>
      <c r="O262" t="str">
        <f>_xlfn.XLOOKUP(D262,tClientes[ID_Cliente],tClientes[UF])</f>
        <v>SP</v>
      </c>
    </row>
    <row r="263" spans="1:15" x14ac:dyDescent="0.3">
      <c r="A263">
        <v>262</v>
      </c>
      <c r="B263" s="3">
        <v>45805</v>
      </c>
      <c r="C263" s="3">
        <v>45858</v>
      </c>
      <c r="D263">
        <v>70</v>
      </c>
      <c r="E263">
        <v>3</v>
      </c>
      <c r="F263">
        <v>2</v>
      </c>
      <c r="G263" s="2">
        <v>5200</v>
      </c>
      <c r="H263" s="4">
        <v>0.15</v>
      </c>
      <c r="I263" s="2">
        <v>4420</v>
      </c>
      <c r="J263" t="s">
        <v>257</v>
      </c>
      <c r="K263" t="s">
        <v>258</v>
      </c>
      <c r="M263" t="str">
        <f>_xlfn.XLOOKUP(E263,tPacotes[ID_Pacote],tPacotes[Pacote])</f>
        <v>Serra Gaúcha</v>
      </c>
      <c r="N263" t="str">
        <f>_xlfn.XLOOKUP(E263,tPacotes[ID_Pacote],tPacotes[Categoria])</f>
        <v>Inverno</v>
      </c>
      <c r="O263" t="str">
        <f>_xlfn.XLOOKUP(D263,tClientes[ID_Cliente],tClientes[UF])</f>
        <v>MG</v>
      </c>
    </row>
    <row r="264" spans="1:15" x14ac:dyDescent="0.3">
      <c r="A264">
        <v>263</v>
      </c>
      <c r="B264" s="3">
        <v>45805</v>
      </c>
      <c r="C264" s="3">
        <v>45820</v>
      </c>
      <c r="D264">
        <v>15</v>
      </c>
      <c r="E264">
        <v>6</v>
      </c>
      <c r="F264">
        <v>2</v>
      </c>
      <c r="G264" s="2">
        <v>4200</v>
      </c>
      <c r="H264" s="4">
        <v>0</v>
      </c>
      <c r="I264" s="2">
        <v>4200</v>
      </c>
      <c r="J264" t="s">
        <v>253</v>
      </c>
      <c r="K264" t="s">
        <v>254</v>
      </c>
      <c r="L264">
        <v>5</v>
      </c>
      <c r="M264" t="str">
        <f>_xlfn.XLOOKUP(E264,tPacotes[ID_Pacote],tPacotes[Pacote])</f>
        <v>Foz do Iguaçu</v>
      </c>
      <c r="N264" t="str">
        <f>_xlfn.XLOOKUP(E264,tPacotes[ID_Pacote],tPacotes[Categoria])</f>
        <v>Natureza</v>
      </c>
      <c r="O264" t="str">
        <f>_xlfn.XLOOKUP(D264,tClientes[ID_Cliente],tClientes[UF])</f>
        <v>SP</v>
      </c>
    </row>
    <row r="265" spans="1:15" x14ac:dyDescent="0.3">
      <c r="A265">
        <v>264</v>
      </c>
      <c r="B265" s="3">
        <v>45805</v>
      </c>
      <c r="C265" s="3">
        <v>45808</v>
      </c>
      <c r="D265">
        <v>8</v>
      </c>
      <c r="E265">
        <v>3</v>
      </c>
      <c r="F265">
        <v>2</v>
      </c>
      <c r="G265" s="2">
        <v>5200</v>
      </c>
      <c r="H265" s="4">
        <v>0</v>
      </c>
      <c r="I265" s="2">
        <v>5200</v>
      </c>
      <c r="J265" t="s">
        <v>255</v>
      </c>
      <c r="K265" t="s">
        <v>254</v>
      </c>
      <c r="L265">
        <v>3</v>
      </c>
      <c r="M265" t="str">
        <f>_xlfn.XLOOKUP(E265,tPacotes[ID_Pacote],tPacotes[Pacote])</f>
        <v>Serra Gaúcha</v>
      </c>
      <c r="N265" t="str">
        <f>_xlfn.XLOOKUP(E265,tPacotes[ID_Pacote],tPacotes[Categoria])</f>
        <v>Inverno</v>
      </c>
      <c r="O265" t="str">
        <f>_xlfn.XLOOKUP(D265,tClientes[ID_Cliente],tClientes[UF])</f>
        <v>SP</v>
      </c>
    </row>
    <row r="266" spans="1:15" x14ac:dyDescent="0.3">
      <c r="A266">
        <v>265</v>
      </c>
      <c r="B266" s="3">
        <v>45806</v>
      </c>
      <c r="C266" s="3">
        <v>45831</v>
      </c>
      <c r="D266">
        <v>109</v>
      </c>
      <c r="E266">
        <v>15</v>
      </c>
      <c r="F266">
        <v>3</v>
      </c>
      <c r="G266" s="2">
        <v>9300</v>
      </c>
      <c r="H266" s="4">
        <v>0.1</v>
      </c>
      <c r="I266" s="2">
        <v>8370</v>
      </c>
      <c r="J266" t="s">
        <v>257</v>
      </c>
      <c r="K266" t="s">
        <v>258</v>
      </c>
      <c r="M266" t="str">
        <f>_xlfn.XLOOKUP(E266,tPacotes[ID_Pacote],tPacotes[Pacote])</f>
        <v>Jericoacoara</v>
      </c>
      <c r="N266" t="str">
        <f>_xlfn.XLOOKUP(E266,tPacotes[ID_Pacote],tPacotes[Categoria])</f>
        <v>Praia</v>
      </c>
      <c r="O266" t="str">
        <f>_xlfn.XLOOKUP(D266,tClientes[ID_Cliente],tClientes[UF])</f>
        <v>SP</v>
      </c>
    </row>
    <row r="267" spans="1:15" x14ac:dyDescent="0.3">
      <c r="A267">
        <v>266</v>
      </c>
      <c r="B267" s="3">
        <v>45806</v>
      </c>
      <c r="C267" s="3">
        <v>45945</v>
      </c>
      <c r="D267">
        <v>48</v>
      </c>
      <c r="E267">
        <v>13</v>
      </c>
      <c r="F267">
        <v>5</v>
      </c>
      <c r="G267" s="2">
        <v>36500</v>
      </c>
      <c r="H267" s="4">
        <v>0</v>
      </c>
      <c r="I267" s="2">
        <v>36500</v>
      </c>
      <c r="J267" t="s">
        <v>253</v>
      </c>
      <c r="K267" t="s">
        <v>254</v>
      </c>
      <c r="L267">
        <v>4</v>
      </c>
      <c r="M267" t="str">
        <f>_xlfn.XLOOKUP(E267,tPacotes[ID_Pacote],tPacotes[Pacote])</f>
        <v>Machu Picchu</v>
      </c>
      <c r="N267" t="str">
        <f>_xlfn.XLOOKUP(E267,tPacotes[ID_Pacote],tPacotes[Categoria])</f>
        <v>Aventura</v>
      </c>
      <c r="O267" t="str">
        <f>_xlfn.XLOOKUP(D267,tClientes[ID_Cliente],tClientes[UF])</f>
        <v>SP</v>
      </c>
    </row>
    <row r="268" spans="1:15" x14ac:dyDescent="0.3">
      <c r="A268">
        <v>267</v>
      </c>
      <c r="B268" s="3">
        <v>45806</v>
      </c>
      <c r="C268" s="3">
        <v>45962</v>
      </c>
      <c r="D268">
        <v>165</v>
      </c>
      <c r="E268">
        <v>8</v>
      </c>
      <c r="F268">
        <v>1</v>
      </c>
      <c r="G268" s="2">
        <v>5900</v>
      </c>
      <c r="H268" s="4">
        <v>0</v>
      </c>
      <c r="I268" s="2">
        <v>5900</v>
      </c>
      <c r="J268" t="s">
        <v>253</v>
      </c>
      <c r="K268" t="s">
        <v>254</v>
      </c>
      <c r="L268">
        <v>5</v>
      </c>
      <c r="M268" t="str">
        <f>_xlfn.XLOOKUP(E268,tPacotes[ID_Pacote],tPacotes[Pacote])</f>
        <v>Santiago e Neve</v>
      </c>
      <c r="N268" t="str">
        <f>_xlfn.XLOOKUP(E268,tPacotes[ID_Pacote],tPacotes[Categoria])</f>
        <v>Inverno</v>
      </c>
      <c r="O268" t="str">
        <f>_xlfn.XLOOKUP(D268,tClientes[ID_Cliente],tClientes[UF])</f>
        <v>SP</v>
      </c>
    </row>
    <row r="269" spans="1:15" x14ac:dyDescent="0.3">
      <c r="A269">
        <v>268</v>
      </c>
      <c r="B269" s="3">
        <v>45807</v>
      </c>
      <c r="C269" s="3">
        <v>45850</v>
      </c>
      <c r="D269">
        <v>55</v>
      </c>
      <c r="E269">
        <v>4</v>
      </c>
      <c r="F269">
        <v>2</v>
      </c>
      <c r="G269" s="2">
        <v>13800</v>
      </c>
      <c r="H269" s="4">
        <v>0</v>
      </c>
      <c r="I269" s="2">
        <v>13800</v>
      </c>
      <c r="J269" t="s">
        <v>253</v>
      </c>
      <c r="K269" t="s">
        <v>254</v>
      </c>
      <c r="L269">
        <v>5</v>
      </c>
      <c r="M269" t="str">
        <f>_xlfn.XLOOKUP(E269,tPacotes[ID_Pacote],tPacotes[Pacote])</f>
        <v>Fernando de Noronha</v>
      </c>
      <c r="N269" t="str">
        <f>_xlfn.XLOOKUP(E269,tPacotes[ID_Pacote],tPacotes[Categoria])</f>
        <v>Praia</v>
      </c>
      <c r="O269" t="str">
        <f>_xlfn.XLOOKUP(D269,tClientes[ID_Cliente],tClientes[UF])</f>
        <v>BA</v>
      </c>
    </row>
    <row r="270" spans="1:15" x14ac:dyDescent="0.3">
      <c r="A270">
        <v>269</v>
      </c>
      <c r="B270" s="3">
        <v>45807</v>
      </c>
      <c r="C270" s="3">
        <v>45842</v>
      </c>
      <c r="D270">
        <v>76</v>
      </c>
      <c r="E270">
        <v>10</v>
      </c>
      <c r="F270">
        <v>5</v>
      </c>
      <c r="G270" s="2">
        <v>57500</v>
      </c>
      <c r="H270" s="4">
        <v>0.15</v>
      </c>
      <c r="I270" s="2">
        <v>48875</v>
      </c>
      <c r="J270" t="s">
        <v>253</v>
      </c>
      <c r="K270" t="s">
        <v>254</v>
      </c>
      <c r="L270">
        <v>5</v>
      </c>
      <c r="M270" t="str">
        <f>_xlfn.XLOOKUP(E270,tPacotes[ID_Pacote],tPacotes[Pacote])</f>
        <v>Orlando Parques</v>
      </c>
      <c r="N270" t="str">
        <f>_xlfn.XLOOKUP(E270,tPacotes[ID_Pacote],tPacotes[Categoria])</f>
        <v>Parques</v>
      </c>
      <c r="O270" t="str">
        <f>_xlfn.XLOOKUP(D270,tClientes[ID_Cliente],tClientes[UF])</f>
        <v>DF</v>
      </c>
    </row>
    <row r="271" spans="1:15" x14ac:dyDescent="0.3">
      <c r="A271">
        <v>270</v>
      </c>
      <c r="B271" s="3">
        <v>45808</v>
      </c>
      <c r="C271" s="3">
        <v>45813</v>
      </c>
      <c r="D271">
        <v>32</v>
      </c>
      <c r="E271">
        <v>1</v>
      </c>
      <c r="F271">
        <v>1</v>
      </c>
      <c r="G271" s="2">
        <v>3200</v>
      </c>
      <c r="H271" s="4">
        <v>0.15</v>
      </c>
      <c r="I271" s="2">
        <v>2720</v>
      </c>
      <c r="J271" t="s">
        <v>255</v>
      </c>
      <c r="K271" t="s">
        <v>258</v>
      </c>
      <c r="M271" t="str">
        <f>_xlfn.XLOOKUP(E271,tPacotes[ID_Pacote],tPacotes[Pacote])</f>
        <v>Nordeste Encantado</v>
      </c>
      <c r="N271" t="str">
        <f>_xlfn.XLOOKUP(E271,tPacotes[ID_Pacote],tPacotes[Categoria])</f>
        <v>Praia</v>
      </c>
      <c r="O271" t="str">
        <f>_xlfn.XLOOKUP(D271,tClientes[ID_Cliente],tClientes[UF])</f>
        <v>PR</v>
      </c>
    </row>
    <row r="272" spans="1:15" x14ac:dyDescent="0.3">
      <c r="A272">
        <v>271</v>
      </c>
      <c r="B272" s="3">
        <v>45808</v>
      </c>
      <c r="C272" s="3">
        <v>45953</v>
      </c>
      <c r="D272">
        <v>127</v>
      </c>
      <c r="E272">
        <v>1</v>
      </c>
      <c r="F272">
        <v>4</v>
      </c>
      <c r="G272" s="2">
        <v>12800</v>
      </c>
      <c r="H272" s="4">
        <v>0.1</v>
      </c>
      <c r="I272" s="2">
        <v>11520</v>
      </c>
      <c r="J272" t="s">
        <v>255</v>
      </c>
      <c r="K272" t="s">
        <v>254</v>
      </c>
      <c r="L272">
        <v>5</v>
      </c>
      <c r="M272" t="str">
        <f>_xlfn.XLOOKUP(E272,tPacotes[ID_Pacote],tPacotes[Pacote])</f>
        <v>Nordeste Encantado</v>
      </c>
      <c r="N272" t="str">
        <f>_xlfn.XLOOKUP(E272,tPacotes[ID_Pacote],tPacotes[Categoria])</f>
        <v>Praia</v>
      </c>
      <c r="O272" t="str">
        <f>_xlfn.XLOOKUP(D272,tClientes[ID_Cliente],tClientes[UF])</f>
        <v>SP</v>
      </c>
    </row>
    <row r="273" spans="1:15" x14ac:dyDescent="0.3">
      <c r="A273">
        <v>272</v>
      </c>
      <c r="B273" s="3">
        <v>45809</v>
      </c>
      <c r="C273" s="3">
        <v>45987</v>
      </c>
      <c r="D273">
        <v>125</v>
      </c>
      <c r="E273">
        <v>2</v>
      </c>
      <c r="F273">
        <v>2</v>
      </c>
      <c r="G273" s="2">
        <v>3600</v>
      </c>
      <c r="H273" s="4">
        <v>0</v>
      </c>
      <c r="I273" s="2">
        <v>3600</v>
      </c>
      <c r="J273" t="s">
        <v>253</v>
      </c>
      <c r="K273" t="s">
        <v>254</v>
      </c>
      <c r="L273">
        <v>5</v>
      </c>
      <c r="M273" t="str">
        <f>_xlfn.XLOOKUP(E273,tPacotes[ID_Pacote],tPacotes[Pacote])</f>
        <v>Rio Cidade Maravilhosa</v>
      </c>
      <c r="N273" t="str">
        <f>_xlfn.XLOOKUP(E273,tPacotes[ID_Pacote],tPacotes[Categoria])</f>
        <v>Cultural</v>
      </c>
      <c r="O273" t="str">
        <f>_xlfn.XLOOKUP(D273,tClientes[ID_Cliente],tClientes[UF])</f>
        <v>MG</v>
      </c>
    </row>
    <row r="274" spans="1:15" x14ac:dyDescent="0.3">
      <c r="A274">
        <v>273</v>
      </c>
      <c r="B274" s="3">
        <v>45810</v>
      </c>
      <c r="C274" s="3">
        <v>45838</v>
      </c>
      <c r="D274">
        <v>28</v>
      </c>
      <c r="E274">
        <v>3</v>
      </c>
      <c r="F274">
        <v>2</v>
      </c>
      <c r="G274" s="2">
        <v>5200</v>
      </c>
      <c r="H274" s="4">
        <v>0</v>
      </c>
      <c r="I274" s="2">
        <v>5200</v>
      </c>
      <c r="J274" t="s">
        <v>257</v>
      </c>
      <c r="K274" t="s">
        <v>254</v>
      </c>
      <c r="L274">
        <v>4</v>
      </c>
      <c r="M274" t="str">
        <f>_xlfn.XLOOKUP(E274,tPacotes[ID_Pacote],tPacotes[Pacote])</f>
        <v>Serra Gaúcha</v>
      </c>
      <c r="N274" t="str">
        <f>_xlfn.XLOOKUP(E274,tPacotes[ID_Pacote],tPacotes[Categoria])</f>
        <v>Inverno</v>
      </c>
      <c r="O274" t="str">
        <f>_xlfn.XLOOKUP(D274,tClientes[ID_Cliente],tClientes[UF])</f>
        <v>SP</v>
      </c>
    </row>
    <row r="275" spans="1:15" x14ac:dyDescent="0.3">
      <c r="A275">
        <v>274</v>
      </c>
      <c r="B275" s="3">
        <v>45810</v>
      </c>
      <c r="C275" s="3">
        <v>45826</v>
      </c>
      <c r="D275">
        <v>165</v>
      </c>
      <c r="E275">
        <v>3</v>
      </c>
      <c r="F275">
        <v>1</v>
      </c>
      <c r="G275" s="2">
        <v>2600</v>
      </c>
      <c r="H275" s="4">
        <v>0.1</v>
      </c>
      <c r="I275" s="2">
        <v>2340</v>
      </c>
      <c r="J275" t="s">
        <v>255</v>
      </c>
      <c r="K275" t="s">
        <v>254</v>
      </c>
      <c r="L275">
        <v>4</v>
      </c>
      <c r="M275" t="str">
        <f>_xlfn.XLOOKUP(E275,tPacotes[ID_Pacote],tPacotes[Pacote])</f>
        <v>Serra Gaúcha</v>
      </c>
      <c r="N275" t="str">
        <f>_xlfn.XLOOKUP(E275,tPacotes[ID_Pacote],tPacotes[Categoria])</f>
        <v>Inverno</v>
      </c>
      <c r="O275" t="str">
        <f>_xlfn.XLOOKUP(D275,tClientes[ID_Cliente],tClientes[UF])</f>
        <v>SP</v>
      </c>
    </row>
    <row r="276" spans="1:15" x14ac:dyDescent="0.3">
      <c r="A276">
        <v>275</v>
      </c>
      <c r="B276" s="3">
        <v>45811</v>
      </c>
      <c r="C276" s="3">
        <v>45938</v>
      </c>
      <c r="D276">
        <v>34</v>
      </c>
      <c r="E276">
        <v>1</v>
      </c>
      <c r="F276">
        <v>2</v>
      </c>
      <c r="G276" s="2">
        <v>6400</v>
      </c>
      <c r="H276" s="4">
        <v>0</v>
      </c>
      <c r="I276" s="2">
        <v>6400</v>
      </c>
      <c r="J276" t="s">
        <v>253</v>
      </c>
      <c r="K276" t="s">
        <v>254</v>
      </c>
      <c r="L276">
        <v>1</v>
      </c>
      <c r="M276" t="str">
        <f>_xlfn.XLOOKUP(E276,tPacotes[ID_Pacote],tPacotes[Pacote])</f>
        <v>Nordeste Encantado</v>
      </c>
      <c r="N276" t="str">
        <f>_xlfn.XLOOKUP(E276,tPacotes[ID_Pacote],tPacotes[Categoria])</f>
        <v>Praia</v>
      </c>
      <c r="O276" t="str">
        <f>_xlfn.XLOOKUP(D276,tClientes[ID_Cliente],tClientes[UF])</f>
        <v>SP</v>
      </c>
    </row>
    <row r="277" spans="1:15" x14ac:dyDescent="0.3">
      <c r="A277">
        <v>276</v>
      </c>
      <c r="B277" s="3">
        <v>45811</v>
      </c>
      <c r="C277" s="3">
        <v>45824</v>
      </c>
      <c r="D277">
        <v>57</v>
      </c>
      <c r="E277">
        <v>14</v>
      </c>
      <c r="F277">
        <v>4</v>
      </c>
      <c r="G277" s="2">
        <v>11600</v>
      </c>
      <c r="H277" s="4">
        <v>0</v>
      </c>
      <c r="I277" s="2">
        <v>11600</v>
      </c>
      <c r="J277" t="s">
        <v>253</v>
      </c>
      <c r="K277" t="s">
        <v>254</v>
      </c>
      <c r="L277">
        <v>2</v>
      </c>
      <c r="M277" t="str">
        <f>_xlfn.XLOOKUP(E277,tPacotes[ID_Pacote],tPacotes[Pacote])</f>
        <v>Lençóis Maranhenses</v>
      </c>
      <c r="N277" t="str">
        <f>_xlfn.XLOOKUP(E277,tPacotes[ID_Pacote],tPacotes[Categoria])</f>
        <v>Natureza</v>
      </c>
      <c r="O277" t="str">
        <f>_xlfn.XLOOKUP(D277,tClientes[ID_Cliente],tClientes[UF])</f>
        <v>MG</v>
      </c>
    </row>
    <row r="278" spans="1:15" x14ac:dyDescent="0.3">
      <c r="A278">
        <v>277</v>
      </c>
      <c r="B278" s="3">
        <v>45812</v>
      </c>
      <c r="C278" s="3">
        <v>45872</v>
      </c>
      <c r="D278">
        <v>58</v>
      </c>
      <c r="E278">
        <v>4</v>
      </c>
      <c r="F278">
        <v>1</v>
      </c>
      <c r="G278" s="2">
        <v>6900</v>
      </c>
      <c r="H278" s="4">
        <v>0.1</v>
      </c>
      <c r="I278" s="2">
        <v>6210</v>
      </c>
      <c r="J278" t="s">
        <v>256</v>
      </c>
      <c r="K278" t="s">
        <v>258</v>
      </c>
      <c r="M278" t="str">
        <f>_xlfn.XLOOKUP(E278,tPacotes[ID_Pacote],tPacotes[Pacote])</f>
        <v>Fernando de Noronha</v>
      </c>
      <c r="N278" t="str">
        <f>_xlfn.XLOOKUP(E278,tPacotes[ID_Pacote],tPacotes[Categoria])</f>
        <v>Praia</v>
      </c>
      <c r="O278" t="str">
        <f>_xlfn.XLOOKUP(D278,tClientes[ID_Cliente],tClientes[UF])</f>
        <v>SP</v>
      </c>
    </row>
    <row r="279" spans="1:15" x14ac:dyDescent="0.3">
      <c r="A279">
        <v>278</v>
      </c>
      <c r="B279" s="3">
        <v>45812</v>
      </c>
      <c r="C279" s="3">
        <v>45871</v>
      </c>
      <c r="D279">
        <v>164</v>
      </c>
      <c r="E279">
        <v>1</v>
      </c>
      <c r="F279">
        <v>1</v>
      </c>
      <c r="G279" s="2">
        <v>3200</v>
      </c>
      <c r="H279" s="4">
        <v>0.1</v>
      </c>
      <c r="I279" s="2">
        <v>2880</v>
      </c>
      <c r="J279" t="s">
        <v>255</v>
      </c>
      <c r="K279" t="s">
        <v>254</v>
      </c>
      <c r="L279">
        <v>5</v>
      </c>
      <c r="M279" t="str">
        <f>_xlfn.XLOOKUP(E279,tPacotes[ID_Pacote],tPacotes[Pacote])</f>
        <v>Nordeste Encantado</v>
      </c>
      <c r="N279" t="str">
        <f>_xlfn.XLOOKUP(E279,tPacotes[ID_Pacote],tPacotes[Categoria])</f>
        <v>Praia</v>
      </c>
      <c r="O279" t="str">
        <f>_xlfn.XLOOKUP(D279,tClientes[ID_Cliente],tClientes[UF])</f>
        <v>RJ</v>
      </c>
    </row>
    <row r="280" spans="1:15" x14ac:dyDescent="0.3">
      <c r="A280">
        <v>279</v>
      </c>
      <c r="B280" s="3">
        <v>45814</v>
      </c>
      <c r="C280" s="3">
        <v>45828</v>
      </c>
      <c r="D280">
        <v>40</v>
      </c>
      <c r="E280">
        <v>1</v>
      </c>
      <c r="F280">
        <v>4</v>
      </c>
      <c r="G280" s="2">
        <v>12800</v>
      </c>
      <c r="H280" s="4">
        <v>0</v>
      </c>
      <c r="I280" s="2">
        <v>12800</v>
      </c>
      <c r="J280" t="s">
        <v>257</v>
      </c>
      <c r="K280" t="s">
        <v>254</v>
      </c>
      <c r="L280">
        <v>5</v>
      </c>
      <c r="M280" t="str">
        <f>_xlfn.XLOOKUP(E280,tPacotes[ID_Pacote],tPacotes[Pacote])</f>
        <v>Nordeste Encantado</v>
      </c>
      <c r="N280" t="str">
        <f>_xlfn.XLOOKUP(E280,tPacotes[ID_Pacote],tPacotes[Categoria])</f>
        <v>Praia</v>
      </c>
      <c r="O280" t="str">
        <f>_xlfn.XLOOKUP(D280,tClientes[ID_Cliente],tClientes[UF])</f>
        <v>RJ</v>
      </c>
    </row>
    <row r="281" spans="1:15" x14ac:dyDescent="0.3">
      <c r="A281">
        <v>280</v>
      </c>
      <c r="B281" s="3">
        <v>45814</v>
      </c>
      <c r="C281" s="3">
        <v>45843</v>
      </c>
      <c r="D281">
        <v>130</v>
      </c>
      <c r="E281">
        <v>1</v>
      </c>
      <c r="F281">
        <v>4</v>
      </c>
      <c r="G281" s="2">
        <v>12800</v>
      </c>
      <c r="H281" s="4">
        <v>0</v>
      </c>
      <c r="I281" s="2">
        <v>12800</v>
      </c>
      <c r="J281" t="s">
        <v>257</v>
      </c>
      <c r="K281" t="s">
        <v>254</v>
      </c>
      <c r="L281">
        <v>5</v>
      </c>
      <c r="M281" t="str">
        <f>_xlfn.XLOOKUP(E281,tPacotes[ID_Pacote],tPacotes[Pacote])</f>
        <v>Nordeste Encantado</v>
      </c>
      <c r="N281" t="str">
        <f>_xlfn.XLOOKUP(E281,tPacotes[ID_Pacote],tPacotes[Categoria])</f>
        <v>Praia</v>
      </c>
      <c r="O281" t="str">
        <f>_xlfn.XLOOKUP(D281,tClientes[ID_Cliente],tClientes[UF])</f>
        <v>SP</v>
      </c>
    </row>
    <row r="282" spans="1:15" x14ac:dyDescent="0.3">
      <c r="A282">
        <v>281</v>
      </c>
      <c r="B282" s="3">
        <v>45815</v>
      </c>
      <c r="C282" s="3">
        <v>45828</v>
      </c>
      <c r="D282">
        <v>67</v>
      </c>
      <c r="E282">
        <v>3</v>
      </c>
      <c r="F282">
        <v>1</v>
      </c>
      <c r="G282" s="2">
        <v>2600</v>
      </c>
      <c r="H282" s="4">
        <v>0.15</v>
      </c>
      <c r="I282" s="2">
        <v>2210</v>
      </c>
      <c r="J282" t="s">
        <v>255</v>
      </c>
      <c r="K282" t="s">
        <v>254</v>
      </c>
      <c r="L282">
        <v>2</v>
      </c>
      <c r="M282" t="str">
        <f>_xlfn.XLOOKUP(E282,tPacotes[ID_Pacote],tPacotes[Pacote])</f>
        <v>Serra Gaúcha</v>
      </c>
      <c r="N282" t="str">
        <f>_xlfn.XLOOKUP(E282,tPacotes[ID_Pacote],tPacotes[Categoria])</f>
        <v>Inverno</v>
      </c>
      <c r="O282" t="str">
        <f>_xlfn.XLOOKUP(D282,tClientes[ID_Cliente],tClientes[UF])</f>
        <v>RJ</v>
      </c>
    </row>
    <row r="283" spans="1:15" x14ac:dyDescent="0.3">
      <c r="A283">
        <v>282</v>
      </c>
      <c r="B283" s="3">
        <v>45815</v>
      </c>
      <c r="C283" s="3">
        <v>45839</v>
      </c>
      <c r="D283">
        <v>59</v>
      </c>
      <c r="E283">
        <v>12</v>
      </c>
      <c r="F283">
        <v>1</v>
      </c>
      <c r="G283" s="2">
        <v>12400</v>
      </c>
      <c r="H283" s="4">
        <v>0.1</v>
      </c>
      <c r="I283" s="2">
        <v>11160</v>
      </c>
      <c r="J283" t="s">
        <v>255</v>
      </c>
      <c r="K283" t="s">
        <v>254</v>
      </c>
      <c r="L283">
        <v>5</v>
      </c>
      <c r="M283" t="str">
        <f>_xlfn.XLOOKUP(E283,tPacotes[ID_Pacote],tPacotes[Pacote])</f>
        <v>Lisboa e Porto</v>
      </c>
      <c r="N283" t="str">
        <f>_xlfn.XLOOKUP(E283,tPacotes[ID_Pacote],tPacotes[Categoria])</f>
        <v>Cultural</v>
      </c>
      <c r="O283" t="str">
        <f>_xlfn.XLOOKUP(D283,tClientes[ID_Cliente],tClientes[UF])</f>
        <v>DF</v>
      </c>
    </row>
    <row r="284" spans="1:15" x14ac:dyDescent="0.3">
      <c r="A284">
        <v>283</v>
      </c>
      <c r="B284" s="3">
        <v>45815</v>
      </c>
      <c r="C284" s="3">
        <v>45838</v>
      </c>
      <c r="D284">
        <v>117</v>
      </c>
      <c r="E284">
        <v>14</v>
      </c>
      <c r="F284">
        <v>2</v>
      </c>
      <c r="G284" s="2">
        <v>5800</v>
      </c>
      <c r="H284" s="4">
        <v>0.05</v>
      </c>
      <c r="I284" s="2">
        <v>5510</v>
      </c>
      <c r="J284" t="s">
        <v>257</v>
      </c>
      <c r="K284" t="s">
        <v>258</v>
      </c>
      <c r="M284" t="str">
        <f>_xlfn.XLOOKUP(E284,tPacotes[ID_Pacote],tPacotes[Pacote])</f>
        <v>Lençóis Maranhenses</v>
      </c>
      <c r="N284" t="str">
        <f>_xlfn.XLOOKUP(E284,tPacotes[ID_Pacote],tPacotes[Categoria])</f>
        <v>Natureza</v>
      </c>
      <c r="O284" t="str">
        <f>_xlfn.XLOOKUP(D284,tClientes[ID_Cliente],tClientes[UF])</f>
        <v>SP</v>
      </c>
    </row>
    <row r="285" spans="1:15" x14ac:dyDescent="0.3">
      <c r="A285">
        <v>284</v>
      </c>
      <c r="B285" s="3">
        <v>45816</v>
      </c>
      <c r="C285" s="3">
        <v>45891</v>
      </c>
      <c r="D285">
        <v>119</v>
      </c>
      <c r="E285">
        <v>8</v>
      </c>
      <c r="F285">
        <v>1</v>
      </c>
      <c r="G285" s="2">
        <v>5900</v>
      </c>
      <c r="H285" s="4">
        <v>0</v>
      </c>
      <c r="I285" s="2">
        <v>5900</v>
      </c>
      <c r="J285" t="s">
        <v>253</v>
      </c>
      <c r="K285" t="s">
        <v>254</v>
      </c>
      <c r="L285">
        <v>4</v>
      </c>
      <c r="M285" t="str">
        <f>_xlfn.XLOOKUP(E285,tPacotes[ID_Pacote],tPacotes[Pacote])</f>
        <v>Santiago e Neve</v>
      </c>
      <c r="N285" t="str">
        <f>_xlfn.XLOOKUP(E285,tPacotes[ID_Pacote],tPacotes[Categoria])</f>
        <v>Inverno</v>
      </c>
      <c r="O285" t="str">
        <f>_xlfn.XLOOKUP(D285,tClientes[ID_Cliente],tClientes[UF])</f>
        <v>SP</v>
      </c>
    </row>
    <row r="286" spans="1:15" x14ac:dyDescent="0.3">
      <c r="A286">
        <v>285</v>
      </c>
      <c r="B286" s="3">
        <v>45816</v>
      </c>
      <c r="C286" s="3">
        <v>45966</v>
      </c>
      <c r="D286">
        <v>72</v>
      </c>
      <c r="E286">
        <v>8</v>
      </c>
      <c r="F286">
        <v>4</v>
      </c>
      <c r="G286" s="2">
        <v>23600</v>
      </c>
      <c r="H286" s="4">
        <v>0.1</v>
      </c>
      <c r="I286" s="2">
        <v>21240</v>
      </c>
      <c r="J286" t="s">
        <v>253</v>
      </c>
      <c r="K286" t="s">
        <v>254</v>
      </c>
      <c r="L286">
        <v>5</v>
      </c>
      <c r="M286" t="str">
        <f>_xlfn.XLOOKUP(E286,tPacotes[ID_Pacote],tPacotes[Pacote])</f>
        <v>Santiago e Neve</v>
      </c>
      <c r="N286" t="str">
        <f>_xlfn.XLOOKUP(E286,tPacotes[ID_Pacote],tPacotes[Categoria])</f>
        <v>Inverno</v>
      </c>
      <c r="O286" t="str">
        <f>_xlfn.XLOOKUP(D286,tClientes[ID_Cliente],tClientes[UF])</f>
        <v>PR</v>
      </c>
    </row>
    <row r="287" spans="1:15" x14ac:dyDescent="0.3">
      <c r="A287">
        <v>286</v>
      </c>
      <c r="B287" s="3">
        <v>45817</v>
      </c>
      <c r="C287" s="3">
        <v>45829</v>
      </c>
      <c r="D287">
        <v>147</v>
      </c>
      <c r="E287">
        <v>1</v>
      </c>
      <c r="F287">
        <v>2</v>
      </c>
      <c r="G287" s="2">
        <v>6400</v>
      </c>
      <c r="H287" s="4">
        <v>0</v>
      </c>
      <c r="I287" s="2">
        <v>6400</v>
      </c>
      <c r="J287" t="s">
        <v>253</v>
      </c>
      <c r="K287" t="s">
        <v>254</v>
      </c>
      <c r="L287">
        <v>3</v>
      </c>
      <c r="M287" t="str">
        <f>_xlfn.XLOOKUP(E287,tPacotes[ID_Pacote],tPacotes[Pacote])</f>
        <v>Nordeste Encantado</v>
      </c>
      <c r="N287" t="str">
        <f>_xlfn.XLOOKUP(E287,tPacotes[ID_Pacote],tPacotes[Categoria])</f>
        <v>Praia</v>
      </c>
      <c r="O287" t="str">
        <f>_xlfn.XLOOKUP(D287,tClientes[ID_Cliente],tClientes[UF])</f>
        <v>SP</v>
      </c>
    </row>
    <row r="288" spans="1:15" x14ac:dyDescent="0.3">
      <c r="A288">
        <v>287</v>
      </c>
      <c r="B288" s="3">
        <v>45817</v>
      </c>
      <c r="C288" s="3">
        <v>45845</v>
      </c>
      <c r="D288">
        <v>67</v>
      </c>
      <c r="E288">
        <v>9</v>
      </c>
      <c r="F288">
        <v>1</v>
      </c>
      <c r="G288" s="2">
        <v>8900</v>
      </c>
      <c r="H288" s="4">
        <v>0</v>
      </c>
      <c r="I288" s="2">
        <v>8900</v>
      </c>
      <c r="J288" t="s">
        <v>253</v>
      </c>
      <c r="K288" t="s">
        <v>254</v>
      </c>
      <c r="L288">
        <v>3</v>
      </c>
      <c r="M288" t="str">
        <f>_xlfn.XLOOKUP(E288,tPacotes[ID_Pacote],tPacotes[Pacote])</f>
        <v>Cancún All Inclusive</v>
      </c>
      <c r="N288" t="str">
        <f>_xlfn.XLOOKUP(E288,tPacotes[ID_Pacote],tPacotes[Categoria])</f>
        <v>Praia</v>
      </c>
      <c r="O288" t="str">
        <f>_xlfn.XLOOKUP(D288,tClientes[ID_Cliente],tClientes[UF])</f>
        <v>RJ</v>
      </c>
    </row>
    <row r="289" spans="1:15" x14ac:dyDescent="0.3">
      <c r="A289">
        <v>288</v>
      </c>
      <c r="B289" s="3">
        <v>45817</v>
      </c>
      <c r="C289" s="3">
        <v>45837</v>
      </c>
      <c r="D289">
        <v>78</v>
      </c>
      <c r="E289">
        <v>5</v>
      </c>
      <c r="F289">
        <v>1</v>
      </c>
      <c r="G289" s="2">
        <v>3400</v>
      </c>
      <c r="H289" s="4">
        <v>0</v>
      </c>
      <c r="I289" s="2">
        <v>3400</v>
      </c>
      <c r="J289" t="s">
        <v>256</v>
      </c>
      <c r="K289" t="s">
        <v>254</v>
      </c>
      <c r="L289">
        <v>3</v>
      </c>
      <c r="M289" t="str">
        <f>_xlfn.XLOOKUP(E289,tPacotes[ID_Pacote],tPacotes[Pacote])</f>
        <v>Bonito Aventura</v>
      </c>
      <c r="N289" t="str">
        <f>_xlfn.XLOOKUP(E289,tPacotes[ID_Pacote],tPacotes[Categoria])</f>
        <v>Aventura</v>
      </c>
      <c r="O289" t="str">
        <f>_xlfn.XLOOKUP(D289,tClientes[ID_Cliente],tClientes[UF])</f>
        <v>PR</v>
      </c>
    </row>
    <row r="290" spans="1:15" x14ac:dyDescent="0.3">
      <c r="A290">
        <v>289</v>
      </c>
      <c r="B290" s="3">
        <v>45817</v>
      </c>
      <c r="C290" s="3">
        <v>45849</v>
      </c>
      <c r="D290">
        <v>76</v>
      </c>
      <c r="E290">
        <v>7</v>
      </c>
      <c r="F290">
        <v>1</v>
      </c>
      <c r="G290" s="2">
        <v>4200</v>
      </c>
      <c r="H290" s="4">
        <v>0</v>
      </c>
      <c r="I290" s="2">
        <v>4200</v>
      </c>
      <c r="J290" t="s">
        <v>253</v>
      </c>
      <c r="K290" t="s">
        <v>254</v>
      </c>
      <c r="L290">
        <v>4</v>
      </c>
      <c r="M290" t="str">
        <f>_xlfn.XLOOKUP(E290,tPacotes[ID_Pacote],tPacotes[Pacote])</f>
        <v>Buenos Aires Clássica</v>
      </c>
      <c r="N290" t="str">
        <f>_xlfn.XLOOKUP(E290,tPacotes[ID_Pacote],tPacotes[Categoria])</f>
        <v>Cultural</v>
      </c>
      <c r="O290" t="str">
        <f>_xlfn.XLOOKUP(D290,tClientes[ID_Cliente],tClientes[UF])</f>
        <v>DF</v>
      </c>
    </row>
    <row r="291" spans="1:15" x14ac:dyDescent="0.3">
      <c r="A291">
        <v>290</v>
      </c>
      <c r="B291" s="3">
        <v>45818</v>
      </c>
      <c r="C291" s="3">
        <v>45867</v>
      </c>
      <c r="D291">
        <v>180</v>
      </c>
      <c r="E291">
        <v>2</v>
      </c>
      <c r="F291">
        <v>3</v>
      </c>
      <c r="G291" s="2">
        <v>5400</v>
      </c>
      <c r="H291" s="4">
        <v>0.05</v>
      </c>
      <c r="I291" s="2">
        <v>5130</v>
      </c>
      <c r="J291" t="s">
        <v>253</v>
      </c>
      <c r="K291" t="s">
        <v>254</v>
      </c>
      <c r="L291">
        <v>5</v>
      </c>
      <c r="M291" t="str">
        <f>_xlfn.XLOOKUP(E291,tPacotes[ID_Pacote],tPacotes[Pacote])</f>
        <v>Rio Cidade Maravilhosa</v>
      </c>
      <c r="N291" t="str">
        <f>_xlfn.XLOOKUP(E291,tPacotes[ID_Pacote],tPacotes[Categoria])</f>
        <v>Cultural</v>
      </c>
      <c r="O291" t="str">
        <f>_xlfn.XLOOKUP(D291,tClientes[ID_Cliente],tClientes[UF])</f>
        <v>PR</v>
      </c>
    </row>
    <row r="292" spans="1:15" x14ac:dyDescent="0.3">
      <c r="A292">
        <v>291</v>
      </c>
      <c r="B292" s="3">
        <v>45819</v>
      </c>
      <c r="C292" s="3">
        <v>45983</v>
      </c>
      <c r="D292">
        <v>40</v>
      </c>
      <c r="E292">
        <v>9</v>
      </c>
      <c r="F292">
        <v>4</v>
      </c>
      <c r="G292" s="2">
        <v>35600</v>
      </c>
      <c r="H292" s="4">
        <v>0.05</v>
      </c>
      <c r="I292" s="2">
        <v>33820</v>
      </c>
      <c r="J292" t="s">
        <v>253</v>
      </c>
      <c r="K292" t="s">
        <v>258</v>
      </c>
      <c r="M292" t="str">
        <f>_xlfn.XLOOKUP(E292,tPacotes[ID_Pacote],tPacotes[Pacote])</f>
        <v>Cancún All Inclusive</v>
      </c>
      <c r="N292" t="str">
        <f>_xlfn.XLOOKUP(E292,tPacotes[ID_Pacote],tPacotes[Categoria])</f>
        <v>Praia</v>
      </c>
      <c r="O292" t="str">
        <f>_xlfn.XLOOKUP(D292,tClientes[ID_Cliente],tClientes[UF])</f>
        <v>RJ</v>
      </c>
    </row>
    <row r="293" spans="1:15" x14ac:dyDescent="0.3">
      <c r="A293">
        <v>292</v>
      </c>
      <c r="B293" s="3">
        <v>45819</v>
      </c>
      <c r="C293" s="3">
        <v>45900</v>
      </c>
      <c r="D293">
        <v>100</v>
      </c>
      <c r="E293">
        <v>8</v>
      </c>
      <c r="F293">
        <v>2</v>
      </c>
      <c r="G293" s="2">
        <v>11800</v>
      </c>
      <c r="H293" s="4">
        <v>0.05</v>
      </c>
      <c r="I293" s="2">
        <v>11210</v>
      </c>
      <c r="J293" t="s">
        <v>257</v>
      </c>
      <c r="K293" t="s">
        <v>254</v>
      </c>
      <c r="L293">
        <v>4</v>
      </c>
      <c r="M293" t="str">
        <f>_xlfn.XLOOKUP(E293,tPacotes[ID_Pacote],tPacotes[Pacote])</f>
        <v>Santiago e Neve</v>
      </c>
      <c r="N293" t="str">
        <f>_xlfn.XLOOKUP(E293,tPacotes[ID_Pacote],tPacotes[Categoria])</f>
        <v>Inverno</v>
      </c>
      <c r="O293" t="str">
        <f>_xlfn.XLOOKUP(D293,tClientes[ID_Cliente],tClientes[UF])</f>
        <v>SP</v>
      </c>
    </row>
    <row r="294" spans="1:15" x14ac:dyDescent="0.3">
      <c r="A294">
        <v>293</v>
      </c>
      <c r="B294" s="3">
        <v>45820</v>
      </c>
      <c r="C294" s="3">
        <v>45870</v>
      </c>
      <c r="D294">
        <v>158</v>
      </c>
      <c r="E294">
        <v>3</v>
      </c>
      <c r="F294">
        <v>2</v>
      </c>
      <c r="G294" s="2">
        <v>5200</v>
      </c>
      <c r="H294" s="4">
        <v>0</v>
      </c>
      <c r="I294" s="2">
        <v>5200</v>
      </c>
      <c r="J294" t="s">
        <v>255</v>
      </c>
      <c r="K294" t="s">
        <v>254</v>
      </c>
      <c r="L294">
        <v>4</v>
      </c>
      <c r="M294" t="str">
        <f>_xlfn.XLOOKUP(E294,tPacotes[ID_Pacote],tPacotes[Pacote])</f>
        <v>Serra Gaúcha</v>
      </c>
      <c r="N294" t="str">
        <f>_xlfn.XLOOKUP(E294,tPacotes[ID_Pacote],tPacotes[Categoria])</f>
        <v>Inverno</v>
      </c>
      <c r="O294" t="str">
        <f>_xlfn.XLOOKUP(D294,tClientes[ID_Cliente],tClientes[UF])</f>
        <v>RS</v>
      </c>
    </row>
    <row r="295" spans="1:15" x14ac:dyDescent="0.3">
      <c r="A295">
        <v>294</v>
      </c>
      <c r="B295" s="3">
        <v>45820</v>
      </c>
      <c r="C295" s="3">
        <v>45945</v>
      </c>
      <c r="D295">
        <v>103</v>
      </c>
      <c r="E295">
        <v>5</v>
      </c>
      <c r="F295">
        <v>1</v>
      </c>
      <c r="G295" s="2">
        <v>3400</v>
      </c>
      <c r="H295" s="4">
        <v>0.15</v>
      </c>
      <c r="I295" s="2">
        <v>2890</v>
      </c>
      <c r="J295" t="s">
        <v>257</v>
      </c>
      <c r="K295" t="s">
        <v>258</v>
      </c>
      <c r="M295" t="str">
        <f>_xlfn.XLOOKUP(E295,tPacotes[ID_Pacote],tPacotes[Pacote])</f>
        <v>Bonito Aventura</v>
      </c>
      <c r="N295" t="str">
        <f>_xlfn.XLOOKUP(E295,tPacotes[ID_Pacote],tPacotes[Categoria])</f>
        <v>Aventura</v>
      </c>
      <c r="O295" t="str">
        <f>_xlfn.XLOOKUP(D295,tClientes[ID_Cliente],tClientes[UF])</f>
        <v>SP</v>
      </c>
    </row>
    <row r="296" spans="1:15" x14ac:dyDescent="0.3">
      <c r="A296">
        <v>295</v>
      </c>
      <c r="B296" s="3">
        <v>45820</v>
      </c>
      <c r="C296" s="3">
        <v>45855</v>
      </c>
      <c r="D296">
        <v>119</v>
      </c>
      <c r="E296">
        <v>11</v>
      </c>
      <c r="F296">
        <v>2</v>
      </c>
      <c r="G296" s="2">
        <v>31600</v>
      </c>
      <c r="H296" s="4">
        <v>0.05</v>
      </c>
      <c r="I296" s="2">
        <v>30020</v>
      </c>
      <c r="J296" t="s">
        <v>256</v>
      </c>
      <c r="K296" t="s">
        <v>254</v>
      </c>
      <c r="L296">
        <v>5</v>
      </c>
      <c r="M296" t="str">
        <f>_xlfn.XLOOKUP(E296,tPacotes[ID_Pacote],tPacotes[Pacote])</f>
        <v>Paris e Londres</v>
      </c>
      <c r="N296" t="str">
        <f>_xlfn.XLOOKUP(E296,tPacotes[ID_Pacote],tPacotes[Categoria])</f>
        <v>Cultural</v>
      </c>
      <c r="O296" t="str">
        <f>_xlfn.XLOOKUP(D296,tClientes[ID_Cliente],tClientes[UF])</f>
        <v>SP</v>
      </c>
    </row>
    <row r="297" spans="1:15" x14ac:dyDescent="0.3">
      <c r="A297">
        <v>296</v>
      </c>
      <c r="B297" s="3">
        <v>45821</v>
      </c>
      <c r="C297" s="3">
        <v>45910</v>
      </c>
      <c r="D297">
        <v>169</v>
      </c>
      <c r="E297">
        <v>14</v>
      </c>
      <c r="F297">
        <v>2</v>
      </c>
      <c r="G297" s="2">
        <v>5800</v>
      </c>
      <c r="H297" s="4">
        <v>0</v>
      </c>
      <c r="I297" s="2">
        <v>5800</v>
      </c>
      <c r="J297" t="s">
        <v>253</v>
      </c>
      <c r="K297" t="s">
        <v>254</v>
      </c>
      <c r="L297">
        <v>5</v>
      </c>
      <c r="M297" t="str">
        <f>_xlfn.XLOOKUP(E297,tPacotes[ID_Pacote],tPacotes[Pacote])</f>
        <v>Lençóis Maranhenses</v>
      </c>
      <c r="N297" t="str">
        <f>_xlfn.XLOOKUP(E297,tPacotes[ID_Pacote],tPacotes[Categoria])</f>
        <v>Natureza</v>
      </c>
      <c r="O297" t="str">
        <f>_xlfn.XLOOKUP(D297,tClientes[ID_Cliente],tClientes[UF])</f>
        <v>BA</v>
      </c>
    </row>
    <row r="298" spans="1:15" x14ac:dyDescent="0.3">
      <c r="A298">
        <v>297</v>
      </c>
      <c r="B298" s="3">
        <v>45822</v>
      </c>
      <c r="C298" s="3">
        <v>45858</v>
      </c>
      <c r="D298">
        <v>27</v>
      </c>
      <c r="E298">
        <v>2</v>
      </c>
      <c r="F298">
        <v>1</v>
      </c>
      <c r="G298" s="2">
        <v>1800</v>
      </c>
      <c r="H298" s="4">
        <v>0.15</v>
      </c>
      <c r="I298" s="2">
        <v>1530</v>
      </c>
      <c r="J298" t="s">
        <v>253</v>
      </c>
      <c r="K298" t="s">
        <v>254</v>
      </c>
      <c r="L298">
        <v>3</v>
      </c>
      <c r="M298" t="str">
        <f>_xlfn.XLOOKUP(E298,tPacotes[ID_Pacote],tPacotes[Pacote])</f>
        <v>Rio Cidade Maravilhosa</v>
      </c>
      <c r="N298" t="str">
        <f>_xlfn.XLOOKUP(E298,tPacotes[ID_Pacote],tPacotes[Categoria])</f>
        <v>Cultural</v>
      </c>
      <c r="O298" t="str">
        <f>_xlfn.XLOOKUP(D298,tClientes[ID_Cliente],tClientes[UF])</f>
        <v>PR</v>
      </c>
    </row>
    <row r="299" spans="1:15" x14ac:dyDescent="0.3">
      <c r="A299">
        <v>298</v>
      </c>
      <c r="B299" s="3">
        <v>45822</v>
      </c>
      <c r="C299" s="3">
        <v>45880</v>
      </c>
      <c r="D299">
        <v>29</v>
      </c>
      <c r="E299">
        <v>8</v>
      </c>
      <c r="F299">
        <v>1</v>
      </c>
      <c r="G299" s="2">
        <v>5900</v>
      </c>
      <c r="H299" s="4">
        <v>0.05</v>
      </c>
      <c r="I299" s="2">
        <v>5605</v>
      </c>
      <c r="J299" t="s">
        <v>253</v>
      </c>
      <c r="K299" t="s">
        <v>254</v>
      </c>
      <c r="L299">
        <v>5</v>
      </c>
      <c r="M299" t="str">
        <f>_xlfn.XLOOKUP(E299,tPacotes[ID_Pacote],tPacotes[Pacote])</f>
        <v>Santiago e Neve</v>
      </c>
      <c r="N299" t="str">
        <f>_xlfn.XLOOKUP(E299,tPacotes[ID_Pacote],tPacotes[Categoria])</f>
        <v>Inverno</v>
      </c>
      <c r="O299" t="str">
        <f>_xlfn.XLOOKUP(D299,tClientes[ID_Cliente],tClientes[UF])</f>
        <v>SP</v>
      </c>
    </row>
    <row r="300" spans="1:15" x14ac:dyDescent="0.3">
      <c r="A300">
        <v>299</v>
      </c>
      <c r="B300" s="3">
        <v>45823</v>
      </c>
      <c r="C300" s="3">
        <v>45837</v>
      </c>
      <c r="D300">
        <v>51</v>
      </c>
      <c r="E300">
        <v>1</v>
      </c>
      <c r="F300">
        <v>1</v>
      </c>
      <c r="G300" s="2">
        <v>3200</v>
      </c>
      <c r="H300" s="4">
        <v>0</v>
      </c>
      <c r="I300" s="2">
        <v>3200</v>
      </c>
      <c r="J300" t="s">
        <v>253</v>
      </c>
      <c r="K300" t="s">
        <v>254</v>
      </c>
      <c r="L300">
        <v>4</v>
      </c>
      <c r="M300" t="str">
        <f>_xlfn.XLOOKUP(E300,tPacotes[ID_Pacote],tPacotes[Pacote])</f>
        <v>Nordeste Encantado</v>
      </c>
      <c r="N300" t="str">
        <f>_xlfn.XLOOKUP(E300,tPacotes[ID_Pacote],tPacotes[Categoria])</f>
        <v>Praia</v>
      </c>
      <c r="O300" t="str">
        <f>_xlfn.XLOOKUP(D300,tClientes[ID_Cliente],tClientes[UF])</f>
        <v>RJ</v>
      </c>
    </row>
    <row r="301" spans="1:15" x14ac:dyDescent="0.3">
      <c r="A301">
        <v>300</v>
      </c>
      <c r="B301" s="3">
        <v>45823</v>
      </c>
      <c r="C301" s="3">
        <v>45844</v>
      </c>
      <c r="D301">
        <v>159</v>
      </c>
      <c r="E301">
        <v>2</v>
      </c>
      <c r="F301">
        <v>2</v>
      </c>
      <c r="G301" s="2">
        <v>3600</v>
      </c>
      <c r="H301" s="4">
        <v>0.15</v>
      </c>
      <c r="I301" s="2">
        <v>3060</v>
      </c>
      <c r="J301" t="s">
        <v>255</v>
      </c>
      <c r="K301" t="s">
        <v>254</v>
      </c>
      <c r="L301">
        <v>5</v>
      </c>
      <c r="M301" t="str">
        <f>_xlfn.XLOOKUP(E301,tPacotes[ID_Pacote],tPacotes[Pacote])</f>
        <v>Rio Cidade Maravilhosa</v>
      </c>
      <c r="N301" t="str">
        <f>_xlfn.XLOOKUP(E301,tPacotes[ID_Pacote],tPacotes[Categoria])</f>
        <v>Cultural</v>
      </c>
      <c r="O301" t="str">
        <f>_xlfn.XLOOKUP(D301,tClientes[ID_Cliente],tClientes[UF])</f>
        <v>SP</v>
      </c>
    </row>
    <row r="302" spans="1:15" x14ac:dyDescent="0.3">
      <c r="A302">
        <v>301</v>
      </c>
      <c r="B302" s="3">
        <v>45823</v>
      </c>
      <c r="C302" s="3">
        <v>45826</v>
      </c>
      <c r="D302">
        <v>65</v>
      </c>
      <c r="E302">
        <v>9</v>
      </c>
      <c r="F302">
        <v>2</v>
      </c>
      <c r="G302" s="2">
        <v>17800</v>
      </c>
      <c r="H302" s="4">
        <v>0.05</v>
      </c>
      <c r="I302" s="2">
        <v>16910</v>
      </c>
      <c r="J302" t="s">
        <v>253</v>
      </c>
      <c r="K302" t="s">
        <v>254</v>
      </c>
      <c r="L302">
        <v>4</v>
      </c>
      <c r="M302" t="str">
        <f>_xlfn.XLOOKUP(E302,tPacotes[ID_Pacote],tPacotes[Pacote])</f>
        <v>Cancún All Inclusive</v>
      </c>
      <c r="N302" t="str">
        <f>_xlfn.XLOOKUP(E302,tPacotes[ID_Pacote],tPacotes[Categoria])</f>
        <v>Praia</v>
      </c>
      <c r="O302" t="str">
        <f>_xlfn.XLOOKUP(D302,tClientes[ID_Cliente],tClientes[UF])</f>
        <v>SP</v>
      </c>
    </row>
    <row r="303" spans="1:15" x14ac:dyDescent="0.3">
      <c r="A303">
        <v>302</v>
      </c>
      <c r="B303" s="3">
        <v>45823</v>
      </c>
      <c r="C303" s="3">
        <v>45890</v>
      </c>
      <c r="D303">
        <v>137</v>
      </c>
      <c r="E303">
        <v>7</v>
      </c>
      <c r="F303">
        <v>2</v>
      </c>
      <c r="G303" s="2">
        <v>8400</v>
      </c>
      <c r="H303" s="4">
        <v>0</v>
      </c>
      <c r="I303" s="2">
        <v>8400</v>
      </c>
      <c r="J303" t="s">
        <v>253</v>
      </c>
      <c r="K303" t="s">
        <v>254</v>
      </c>
      <c r="L303">
        <v>5</v>
      </c>
      <c r="M303" t="str">
        <f>_xlfn.XLOOKUP(E303,tPacotes[ID_Pacote],tPacotes[Pacote])</f>
        <v>Buenos Aires Clássica</v>
      </c>
      <c r="N303" t="str">
        <f>_xlfn.XLOOKUP(E303,tPacotes[ID_Pacote],tPacotes[Categoria])</f>
        <v>Cultural</v>
      </c>
      <c r="O303" t="str">
        <f>_xlfn.XLOOKUP(D303,tClientes[ID_Cliente],tClientes[UF])</f>
        <v>SP</v>
      </c>
    </row>
    <row r="304" spans="1:15" x14ac:dyDescent="0.3">
      <c r="A304">
        <v>303</v>
      </c>
      <c r="B304" s="3">
        <v>45824</v>
      </c>
      <c r="C304" s="3">
        <v>45865</v>
      </c>
      <c r="D304">
        <v>121</v>
      </c>
      <c r="E304">
        <v>11</v>
      </c>
      <c r="F304">
        <v>1</v>
      </c>
      <c r="G304" s="2">
        <v>15800</v>
      </c>
      <c r="H304" s="4">
        <v>0.05</v>
      </c>
      <c r="I304" s="2">
        <v>15010</v>
      </c>
      <c r="J304" t="s">
        <v>253</v>
      </c>
      <c r="K304" t="s">
        <v>254</v>
      </c>
      <c r="L304">
        <v>5</v>
      </c>
      <c r="M304" t="str">
        <f>_xlfn.XLOOKUP(E304,tPacotes[ID_Pacote],tPacotes[Pacote])</f>
        <v>Paris e Londres</v>
      </c>
      <c r="N304" t="str">
        <f>_xlfn.XLOOKUP(E304,tPacotes[ID_Pacote],tPacotes[Categoria])</f>
        <v>Cultural</v>
      </c>
      <c r="O304" t="str">
        <f>_xlfn.XLOOKUP(D304,tClientes[ID_Cliente],tClientes[UF])</f>
        <v>RS</v>
      </c>
    </row>
    <row r="305" spans="1:15" x14ac:dyDescent="0.3">
      <c r="A305">
        <v>304</v>
      </c>
      <c r="B305" s="3">
        <v>45825</v>
      </c>
      <c r="C305" s="3">
        <v>45870</v>
      </c>
      <c r="D305">
        <v>107</v>
      </c>
      <c r="E305">
        <v>8</v>
      </c>
      <c r="F305">
        <v>4</v>
      </c>
      <c r="G305" s="2">
        <v>23600</v>
      </c>
      <c r="H305" s="4">
        <v>0.05</v>
      </c>
      <c r="I305" s="2">
        <v>22420</v>
      </c>
      <c r="J305" t="s">
        <v>255</v>
      </c>
      <c r="K305" t="s">
        <v>254</v>
      </c>
      <c r="L305">
        <v>2</v>
      </c>
      <c r="M305" t="str">
        <f>_xlfn.XLOOKUP(E305,tPacotes[ID_Pacote],tPacotes[Pacote])</f>
        <v>Santiago e Neve</v>
      </c>
      <c r="N305" t="str">
        <f>_xlfn.XLOOKUP(E305,tPacotes[ID_Pacote],tPacotes[Categoria])</f>
        <v>Inverno</v>
      </c>
      <c r="O305" t="str">
        <f>_xlfn.XLOOKUP(D305,tClientes[ID_Cliente],tClientes[UF])</f>
        <v>DF</v>
      </c>
    </row>
    <row r="306" spans="1:15" x14ac:dyDescent="0.3">
      <c r="A306">
        <v>305</v>
      </c>
      <c r="B306" s="3">
        <v>45825</v>
      </c>
      <c r="C306" s="3">
        <v>45868</v>
      </c>
      <c r="D306">
        <v>148</v>
      </c>
      <c r="E306">
        <v>9</v>
      </c>
      <c r="F306">
        <v>5</v>
      </c>
      <c r="G306" s="2">
        <v>44500</v>
      </c>
      <c r="H306" s="4">
        <v>0</v>
      </c>
      <c r="I306" s="2">
        <v>44500</v>
      </c>
      <c r="J306" t="s">
        <v>253</v>
      </c>
      <c r="K306" t="s">
        <v>254</v>
      </c>
      <c r="L306">
        <v>5</v>
      </c>
      <c r="M306" t="str">
        <f>_xlfn.XLOOKUP(E306,tPacotes[ID_Pacote],tPacotes[Pacote])</f>
        <v>Cancún All Inclusive</v>
      </c>
      <c r="N306" t="str">
        <f>_xlfn.XLOOKUP(E306,tPacotes[ID_Pacote],tPacotes[Categoria])</f>
        <v>Praia</v>
      </c>
      <c r="O306" t="str">
        <f>_xlfn.XLOOKUP(D306,tClientes[ID_Cliente],tClientes[UF])</f>
        <v>SP</v>
      </c>
    </row>
    <row r="307" spans="1:15" x14ac:dyDescent="0.3">
      <c r="A307">
        <v>306</v>
      </c>
      <c r="B307" s="3">
        <v>45825</v>
      </c>
      <c r="C307" s="3">
        <v>45858</v>
      </c>
      <c r="D307">
        <v>86</v>
      </c>
      <c r="E307">
        <v>1</v>
      </c>
      <c r="F307">
        <v>3</v>
      </c>
      <c r="G307" s="2">
        <v>9600</v>
      </c>
      <c r="H307" s="4">
        <v>0</v>
      </c>
      <c r="I307" s="2">
        <v>9600</v>
      </c>
      <c r="J307" t="s">
        <v>257</v>
      </c>
      <c r="K307" t="s">
        <v>254</v>
      </c>
      <c r="L307">
        <v>5</v>
      </c>
      <c r="M307" t="str">
        <f>_xlfn.XLOOKUP(E307,tPacotes[ID_Pacote],tPacotes[Pacote])</f>
        <v>Nordeste Encantado</v>
      </c>
      <c r="N307" t="str">
        <f>_xlfn.XLOOKUP(E307,tPacotes[ID_Pacote],tPacotes[Categoria])</f>
        <v>Praia</v>
      </c>
      <c r="O307" t="str">
        <f>_xlfn.XLOOKUP(D307,tClientes[ID_Cliente],tClientes[UF])</f>
        <v>DF</v>
      </c>
    </row>
    <row r="308" spans="1:15" x14ac:dyDescent="0.3">
      <c r="A308">
        <v>307</v>
      </c>
      <c r="B308" s="3">
        <v>45826</v>
      </c>
      <c r="C308" s="3">
        <v>45857</v>
      </c>
      <c r="D308">
        <v>189</v>
      </c>
      <c r="E308">
        <v>7</v>
      </c>
      <c r="F308">
        <v>2</v>
      </c>
      <c r="G308" s="2">
        <v>8400</v>
      </c>
      <c r="H308" s="4">
        <v>0.05</v>
      </c>
      <c r="I308" s="2">
        <v>7980</v>
      </c>
      <c r="J308" t="s">
        <v>257</v>
      </c>
      <c r="K308" t="s">
        <v>254</v>
      </c>
      <c r="L308">
        <v>4</v>
      </c>
      <c r="M308" t="str">
        <f>_xlfn.XLOOKUP(E308,tPacotes[ID_Pacote],tPacotes[Pacote])</f>
        <v>Buenos Aires Clássica</v>
      </c>
      <c r="N308" t="str">
        <f>_xlfn.XLOOKUP(E308,tPacotes[ID_Pacote],tPacotes[Categoria])</f>
        <v>Cultural</v>
      </c>
      <c r="O308" t="str">
        <f>_xlfn.XLOOKUP(D308,tClientes[ID_Cliente],tClientes[UF])</f>
        <v>SP</v>
      </c>
    </row>
    <row r="309" spans="1:15" x14ac:dyDescent="0.3">
      <c r="A309">
        <v>308</v>
      </c>
      <c r="B309" s="3">
        <v>45826</v>
      </c>
      <c r="C309" s="3">
        <v>45998</v>
      </c>
      <c r="D309">
        <v>167</v>
      </c>
      <c r="E309">
        <v>2</v>
      </c>
      <c r="F309">
        <v>2</v>
      </c>
      <c r="G309" s="2">
        <v>3600</v>
      </c>
      <c r="H309" s="4">
        <v>0</v>
      </c>
      <c r="I309" s="2">
        <v>3600</v>
      </c>
      <c r="J309" t="s">
        <v>255</v>
      </c>
      <c r="K309" t="s">
        <v>254</v>
      </c>
      <c r="L309">
        <v>4</v>
      </c>
      <c r="M309" t="str">
        <f>_xlfn.XLOOKUP(E309,tPacotes[ID_Pacote],tPacotes[Pacote])</f>
        <v>Rio Cidade Maravilhosa</v>
      </c>
      <c r="N309" t="str">
        <f>_xlfn.XLOOKUP(E309,tPacotes[ID_Pacote],tPacotes[Categoria])</f>
        <v>Cultural</v>
      </c>
      <c r="O309" t="str">
        <f>_xlfn.XLOOKUP(D309,tClientes[ID_Cliente],tClientes[UF])</f>
        <v>SP</v>
      </c>
    </row>
    <row r="310" spans="1:15" x14ac:dyDescent="0.3">
      <c r="A310">
        <v>309</v>
      </c>
      <c r="B310" s="3">
        <v>45826</v>
      </c>
      <c r="C310" s="3">
        <v>45982</v>
      </c>
      <c r="D310">
        <v>61</v>
      </c>
      <c r="E310">
        <v>12</v>
      </c>
      <c r="F310">
        <v>3</v>
      </c>
      <c r="G310" s="2">
        <v>37200</v>
      </c>
      <c r="H310" s="4">
        <v>0.1</v>
      </c>
      <c r="I310" s="2">
        <v>33480</v>
      </c>
      <c r="J310" t="s">
        <v>255</v>
      </c>
      <c r="K310" t="s">
        <v>254</v>
      </c>
      <c r="L310">
        <v>3</v>
      </c>
      <c r="M310" t="str">
        <f>_xlfn.XLOOKUP(E310,tPacotes[ID_Pacote],tPacotes[Pacote])</f>
        <v>Lisboa e Porto</v>
      </c>
      <c r="N310" t="str">
        <f>_xlfn.XLOOKUP(E310,tPacotes[ID_Pacote],tPacotes[Categoria])</f>
        <v>Cultural</v>
      </c>
      <c r="O310" t="str">
        <f>_xlfn.XLOOKUP(D310,tClientes[ID_Cliente],tClientes[UF])</f>
        <v>DF</v>
      </c>
    </row>
    <row r="311" spans="1:15" x14ac:dyDescent="0.3">
      <c r="A311">
        <v>310</v>
      </c>
      <c r="B311" s="3">
        <v>45826</v>
      </c>
      <c r="C311" s="3">
        <v>45844</v>
      </c>
      <c r="D311">
        <v>117</v>
      </c>
      <c r="E311">
        <v>6</v>
      </c>
      <c r="F311">
        <v>2</v>
      </c>
      <c r="G311" s="2">
        <v>4200</v>
      </c>
      <c r="H311" s="4">
        <v>0</v>
      </c>
      <c r="I311" s="2">
        <v>4200</v>
      </c>
      <c r="J311" t="s">
        <v>253</v>
      </c>
      <c r="K311" t="s">
        <v>254</v>
      </c>
      <c r="L311">
        <v>4</v>
      </c>
      <c r="M311" t="str">
        <f>_xlfn.XLOOKUP(E311,tPacotes[ID_Pacote],tPacotes[Pacote])</f>
        <v>Foz do Iguaçu</v>
      </c>
      <c r="N311" t="str">
        <f>_xlfn.XLOOKUP(E311,tPacotes[ID_Pacote],tPacotes[Categoria])</f>
        <v>Natureza</v>
      </c>
      <c r="O311" t="str">
        <f>_xlfn.XLOOKUP(D311,tClientes[ID_Cliente],tClientes[UF])</f>
        <v>SP</v>
      </c>
    </row>
    <row r="312" spans="1:15" x14ac:dyDescent="0.3">
      <c r="A312">
        <v>311</v>
      </c>
      <c r="B312" s="3">
        <v>45827</v>
      </c>
      <c r="C312" s="3">
        <v>45877</v>
      </c>
      <c r="D312">
        <v>48</v>
      </c>
      <c r="E312">
        <v>3</v>
      </c>
      <c r="F312">
        <v>3</v>
      </c>
      <c r="G312" s="2">
        <v>7800</v>
      </c>
      <c r="H312" s="4">
        <v>0</v>
      </c>
      <c r="I312" s="2">
        <v>7800</v>
      </c>
      <c r="J312" t="s">
        <v>253</v>
      </c>
      <c r="K312" t="s">
        <v>254</v>
      </c>
      <c r="L312">
        <v>3</v>
      </c>
      <c r="M312" t="str">
        <f>_xlfn.XLOOKUP(E312,tPacotes[ID_Pacote],tPacotes[Pacote])</f>
        <v>Serra Gaúcha</v>
      </c>
      <c r="N312" t="str">
        <f>_xlfn.XLOOKUP(E312,tPacotes[ID_Pacote],tPacotes[Categoria])</f>
        <v>Inverno</v>
      </c>
      <c r="O312" t="str">
        <f>_xlfn.XLOOKUP(D312,tClientes[ID_Cliente],tClientes[UF])</f>
        <v>SP</v>
      </c>
    </row>
    <row r="313" spans="1:15" x14ac:dyDescent="0.3">
      <c r="A313">
        <v>312</v>
      </c>
      <c r="B313" s="3">
        <v>45827</v>
      </c>
      <c r="C313" s="3">
        <v>45982</v>
      </c>
      <c r="D313">
        <v>161</v>
      </c>
      <c r="E313">
        <v>3</v>
      </c>
      <c r="F313">
        <v>2</v>
      </c>
      <c r="G313" s="2">
        <v>5200</v>
      </c>
      <c r="H313" s="4">
        <v>0.05</v>
      </c>
      <c r="I313" s="2">
        <v>4940</v>
      </c>
      <c r="J313" t="s">
        <v>256</v>
      </c>
      <c r="K313" t="s">
        <v>254</v>
      </c>
      <c r="L313">
        <v>5</v>
      </c>
      <c r="M313" t="str">
        <f>_xlfn.XLOOKUP(E313,tPacotes[ID_Pacote],tPacotes[Pacote])</f>
        <v>Serra Gaúcha</v>
      </c>
      <c r="N313" t="str">
        <f>_xlfn.XLOOKUP(E313,tPacotes[ID_Pacote],tPacotes[Categoria])</f>
        <v>Inverno</v>
      </c>
      <c r="O313" t="str">
        <f>_xlfn.XLOOKUP(D313,tClientes[ID_Cliente],tClientes[UF])</f>
        <v>SP</v>
      </c>
    </row>
    <row r="314" spans="1:15" x14ac:dyDescent="0.3">
      <c r="A314">
        <v>313</v>
      </c>
      <c r="B314" s="3">
        <v>45827</v>
      </c>
      <c r="C314" s="3">
        <v>45855</v>
      </c>
      <c r="D314">
        <v>116</v>
      </c>
      <c r="E314">
        <v>7</v>
      </c>
      <c r="F314">
        <v>1</v>
      </c>
      <c r="G314" s="2">
        <v>4200</v>
      </c>
      <c r="H314" s="4">
        <v>0</v>
      </c>
      <c r="I314" s="2">
        <v>4200</v>
      </c>
      <c r="J314" t="s">
        <v>257</v>
      </c>
      <c r="K314" t="s">
        <v>254</v>
      </c>
      <c r="L314">
        <v>3</v>
      </c>
      <c r="M314" t="str">
        <f>_xlfn.XLOOKUP(E314,tPacotes[ID_Pacote],tPacotes[Pacote])</f>
        <v>Buenos Aires Clássica</v>
      </c>
      <c r="N314" t="str">
        <f>_xlfn.XLOOKUP(E314,tPacotes[ID_Pacote],tPacotes[Categoria])</f>
        <v>Cultural</v>
      </c>
      <c r="O314" t="str">
        <f>_xlfn.XLOOKUP(D314,tClientes[ID_Cliente],tClientes[UF])</f>
        <v>RJ</v>
      </c>
    </row>
    <row r="315" spans="1:15" x14ac:dyDescent="0.3">
      <c r="A315">
        <v>314</v>
      </c>
      <c r="B315" s="3">
        <v>45828</v>
      </c>
      <c r="C315" s="3">
        <v>45915</v>
      </c>
      <c r="D315">
        <v>89</v>
      </c>
      <c r="E315">
        <v>14</v>
      </c>
      <c r="F315">
        <v>1</v>
      </c>
      <c r="G315" s="2">
        <v>2900</v>
      </c>
      <c r="H315" s="4">
        <v>0</v>
      </c>
      <c r="I315" s="2">
        <v>2900</v>
      </c>
      <c r="J315" t="s">
        <v>253</v>
      </c>
      <c r="K315" t="s">
        <v>258</v>
      </c>
      <c r="M315" t="str">
        <f>_xlfn.XLOOKUP(E315,tPacotes[ID_Pacote],tPacotes[Pacote])</f>
        <v>Lençóis Maranhenses</v>
      </c>
      <c r="N315" t="str">
        <f>_xlfn.XLOOKUP(E315,tPacotes[ID_Pacote],tPacotes[Categoria])</f>
        <v>Natureza</v>
      </c>
      <c r="O315" t="str">
        <f>_xlfn.XLOOKUP(D315,tClientes[ID_Cliente],tClientes[UF])</f>
        <v>MG</v>
      </c>
    </row>
    <row r="316" spans="1:15" x14ac:dyDescent="0.3">
      <c r="A316">
        <v>315</v>
      </c>
      <c r="B316" s="3">
        <v>45829</v>
      </c>
      <c r="C316" s="3">
        <v>45836</v>
      </c>
      <c r="D316">
        <v>89</v>
      </c>
      <c r="E316">
        <v>2</v>
      </c>
      <c r="F316">
        <v>3</v>
      </c>
      <c r="G316" s="2">
        <v>5400</v>
      </c>
      <c r="H316" s="4">
        <v>0</v>
      </c>
      <c r="I316" s="2">
        <v>5400</v>
      </c>
      <c r="J316" t="s">
        <v>255</v>
      </c>
      <c r="K316" t="s">
        <v>254</v>
      </c>
      <c r="L316">
        <v>5</v>
      </c>
      <c r="M316" t="str">
        <f>_xlfn.XLOOKUP(E316,tPacotes[ID_Pacote],tPacotes[Pacote])</f>
        <v>Rio Cidade Maravilhosa</v>
      </c>
      <c r="N316" t="str">
        <f>_xlfn.XLOOKUP(E316,tPacotes[ID_Pacote],tPacotes[Categoria])</f>
        <v>Cultural</v>
      </c>
      <c r="O316" t="str">
        <f>_xlfn.XLOOKUP(D316,tClientes[ID_Cliente],tClientes[UF])</f>
        <v>MG</v>
      </c>
    </row>
    <row r="317" spans="1:15" x14ac:dyDescent="0.3">
      <c r="A317">
        <v>316</v>
      </c>
      <c r="B317" s="3">
        <v>45829</v>
      </c>
      <c r="C317" s="3">
        <v>45847</v>
      </c>
      <c r="D317">
        <v>181</v>
      </c>
      <c r="E317">
        <v>14</v>
      </c>
      <c r="F317">
        <v>1</v>
      </c>
      <c r="G317" s="2">
        <v>2900</v>
      </c>
      <c r="H317" s="4">
        <v>0.1</v>
      </c>
      <c r="I317" s="2">
        <v>2610</v>
      </c>
      <c r="J317" t="s">
        <v>253</v>
      </c>
      <c r="K317" t="s">
        <v>254</v>
      </c>
      <c r="L317">
        <v>3</v>
      </c>
      <c r="M317" t="str">
        <f>_xlfn.XLOOKUP(E317,tPacotes[ID_Pacote],tPacotes[Pacote])</f>
        <v>Lençóis Maranhenses</v>
      </c>
      <c r="N317" t="str">
        <f>_xlfn.XLOOKUP(E317,tPacotes[ID_Pacote],tPacotes[Categoria])</f>
        <v>Natureza</v>
      </c>
      <c r="O317" t="str">
        <f>_xlfn.XLOOKUP(D317,tClientes[ID_Cliente],tClientes[UF])</f>
        <v>RJ</v>
      </c>
    </row>
    <row r="318" spans="1:15" x14ac:dyDescent="0.3">
      <c r="A318">
        <v>317</v>
      </c>
      <c r="B318" s="3">
        <v>45829</v>
      </c>
      <c r="C318" s="3">
        <v>45852</v>
      </c>
      <c r="D318">
        <v>24</v>
      </c>
      <c r="E318">
        <v>15</v>
      </c>
      <c r="F318">
        <v>2</v>
      </c>
      <c r="G318" s="2">
        <v>6200</v>
      </c>
      <c r="H318" s="4">
        <v>0</v>
      </c>
      <c r="I318" s="2">
        <v>6200</v>
      </c>
      <c r="J318" t="s">
        <v>257</v>
      </c>
      <c r="K318" t="s">
        <v>254</v>
      </c>
      <c r="L318">
        <v>5</v>
      </c>
      <c r="M318" t="str">
        <f>_xlfn.XLOOKUP(E318,tPacotes[ID_Pacote],tPacotes[Pacote])</f>
        <v>Jericoacoara</v>
      </c>
      <c r="N318" t="str">
        <f>_xlfn.XLOOKUP(E318,tPacotes[ID_Pacote],tPacotes[Categoria])</f>
        <v>Praia</v>
      </c>
      <c r="O318" t="str">
        <f>_xlfn.XLOOKUP(D318,tClientes[ID_Cliente],tClientes[UF])</f>
        <v>SP</v>
      </c>
    </row>
    <row r="319" spans="1:15" x14ac:dyDescent="0.3">
      <c r="A319">
        <v>318</v>
      </c>
      <c r="B319" s="3">
        <v>45829</v>
      </c>
      <c r="C319" s="3">
        <v>45840</v>
      </c>
      <c r="D319">
        <v>177</v>
      </c>
      <c r="E319">
        <v>3</v>
      </c>
      <c r="F319">
        <v>2</v>
      </c>
      <c r="G319" s="2">
        <v>5200</v>
      </c>
      <c r="H319" s="4">
        <v>0.1</v>
      </c>
      <c r="I319" s="2">
        <v>4680</v>
      </c>
      <c r="J319" t="s">
        <v>257</v>
      </c>
      <c r="K319" t="s">
        <v>254</v>
      </c>
      <c r="L319">
        <v>5</v>
      </c>
      <c r="M319" t="str">
        <f>_xlfn.XLOOKUP(E319,tPacotes[ID_Pacote],tPacotes[Pacote])</f>
        <v>Serra Gaúcha</v>
      </c>
      <c r="N319" t="str">
        <f>_xlfn.XLOOKUP(E319,tPacotes[ID_Pacote],tPacotes[Categoria])</f>
        <v>Inverno</v>
      </c>
      <c r="O319" t="str">
        <f>_xlfn.XLOOKUP(D319,tClientes[ID_Cliente],tClientes[UF])</f>
        <v>RJ</v>
      </c>
    </row>
    <row r="320" spans="1:15" x14ac:dyDescent="0.3">
      <c r="A320">
        <v>319</v>
      </c>
      <c r="B320" s="3">
        <v>45829</v>
      </c>
      <c r="C320" s="3">
        <v>45859</v>
      </c>
      <c r="D320">
        <v>21</v>
      </c>
      <c r="E320">
        <v>6</v>
      </c>
      <c r="F320">
        <v>2</v>
      </c>
      <c r="G320" s="2">
        <v>4200</v>
      </c>
      <c r="H320" s="4">
        <v>0</v>
      </c>
      <c r="I320" s="2">
        <v>4200</v>
      </c>
      <c r="J320" t="s">
        <v>257</v>
      </c>
      <c r="K320" t="s">
        <v>254</v>
      </c>
      <c r="L320">
        <v>4</v>
      </c>
      <c r="M320" t="str">
        <f>_xlfn.XLOOKUP(E320,tPacotes[ID_Pacote],tPacotes[Pacote])</f>
        <v>Foz do Iguaçu</v>
      </c>
      <c r="N320" t="str">
        <f>_xlfn.XLOOKUP(E320,tPacotes[ID_Pacote],tPacotes[Categoria])</f>
        <v>Natureza</v>
      </c>
      <c r="O320" t="str">
        <f>_xlfn.XLOOKUP(D320,tClientes[ID_Cliente],tClientes[UF])</f>
        <v>MG</v>
      </c>
    </row>
    <row r="321" spans="1:15" x14ac:dyDescent="0.3">
      <c r="A321">
        <v>320</v>
      </c>
      <c r="B321" s="3">
        <v>45829</v>
      </c>
      <c r="C321" s="3">
        <v>45843</v>
      </c>
      <c r="D321">
        <v>160</v>
      </c>
      <c r="E321">
        <v>5</v>
      </c>
      <c r="F321">
        <v>2</v>
      </c>
      <c r="G321" s="2">
        <v>6800</v>
      </c>
      <c r="H321" s="4">
        <v>0.05</v>
      </c>
      <c r="I321" s="2">
        <v>6460</v>
      </c>
      <c r="J321" t="s">
        <v>255</v>
      </c>
      <c r="K321" t="s">
        <v>254</v>
      </c>
      <c r="L321">
        <v>5</v>
      </c>
      <c r="M321" t="str">
        <f>_xlfn.XLOOKUP(E321,tPacotes[ID_Pacote],tPacotes[Pacote])</f>
        <v>Bonito Aventura</v>
      </c>
      <c r="N321" t="str">
        <f>_xlfn.XLOOKUP(E321,tPacotes[ID_Pacote],tPacotes[Categoria])</f>
        <v>Aventura</v>
      </c>
      <c r="O321" t="str">
        <f>_xlfn.XLOOKUP(D321,tClientes[ID_Cliente],tClientes[UF])</f>
        <v>RJ</v>
      </c>
    </row>
    <row r="322" spans="1:15" x14ac:dyDescent="0.3">
      <c r="A322">
        <v>321</v>
      </c>
      <c r="B322" s="3">
        <v>45830</v>
      </c>
      <c r="C322" s="3">
        <v>45890</v>
      </c>
      <c r="D322">
        <v>185</v>
      </c>
      <c r="E322">
        <v>1</v>
      </c>
      <c r="F322">
        <v>1</v>
      </c>
      <c r="G322" s="2">
        <v>3200</v>
      </c>
      <c r="H322" s="4">
        <v>0</v>
      </c>
      <c r="I322" s="2">
        <v>3200</v>
      </c>
      <c r="J322" t="s">
        <v>255</v>
      </c>
      <c r="K322" t="s">
        <v>254</v>
      </c>
      <c r="L322">
        <v>4</v>
      </c>
      <c r="M322" t="str">
        <f>_xlfn.XLOOKUP(E322,tPacotes[ID_Pacote],tPacotes[Pacote])</f>
        <v>Nordeste Encantado</v>
      </c>
      <c r="N322" t="str">
        <f>_xlfn.XLOOKUP(E322,tPacotes[ID_Pacote],tPacotes[Categoria])</f>
        <v>Praia</v>
      </c>
      <c r="O322" t="str">
        <f>_xlfn.XLOOKUP(D322,tClientes[ID_Cliente],tClientes[UF])</f>
        <v>SP</v>
      </c>
    </row>
    <row r="323" spans="1:15" x14ac:dyDescent="0.3">
      <c r="A323">
        <v>322</v>
      </c>
      <c r="B323" s="3">
        <v>45830</v>
      </c>
      <c r="C323" s="3">
        <v>45850</v>
      </c>
      <c r="D323">
        <v>149</v>
      </c>
      <c r="E323">
        <v>5</v>
      </c>
      <c r="F323">
        <v>2</v>
      </c>
      <c r="G323" s="2">
        <v>6800</v>
      </c>
      <c r="H323" s="4">
        <v>0.05</v>
      </c>
      <c r="I323" s="2">
        <v>6460</v>
      </c>
      <c r="J323" t="s">
        <v>255</v>
      </c>
      <c r="K323" t="s">
        <v>254</v>
      </c>
      <c r="L323">
        <v>2</v>
      </c>
      <c r="M323" t="str">
        <f>_xlfn.XLOOKUP(E323,tPacotes[ID_Pacote],tPacotes[Pacote])</f>
        <v>Bonito Aventura</v>
      </c>
      <c r="N323" t="str">
        <f>_xlfn.XLOOKUP(E323,tPacotes[ID_Pacote],tPacotes[Categoria])</f>
        <v>Aventura</v>
      </c>
      <c r="O323" t="str">
        <f>_xlfn.XLOOKUP(D323,tClientes[ID_Cliente],tClientes[UF])</f>
        <v>SP</v>
      </c>
    </row>
    <row r="324" spans="1:15" x14ac:dyDescent="0.3">
      <c r="A324">
        <v>323</v>
      </c>
      <c r="B324" s="3">
        <v>45831</v>
      </c>
      <c r="C324" s="3">
        <v>45859</v>
      </c>
      <c r="D324">
        <v>136</v>
      </c>
      <c r="E324">
        <v>1</v>
      </c>
      <c r="F324">
        <v>4</v>
      </c>
      <c r="G324" s="2">
        <v>12800</v>
      </c>
      <c r="H324" s="4">
        <v>0.1</v>
      </c>
      <c r="I324" s="2">
        <v>11520</v>
      </c>
      <c r="J324" t="s">
        <v>253</v>
      </c>
      <c r="K324" t="s">
        <v>254</v>
      </c>
      <c r="L324">
        <v>4</v>
      </c>
      <c r="M324" t="str">
        <f>_xlfn.XLOOKUP(E324,tPacotes[ID_Pacote],tPacotes[Pacote])</f>
        <v>Nordeste Encantado</v>
      </c>
      <c r="N324" t="str">
        <f>_xlfn.XLOOKUP(E324,tPacotes[ID_Pacote],tPacotes[Categoria])</f>
        <v>Praia</v>
      </c>
      <c r="O324" t="str">
        <f>_xlfn.XLOOKUP(D324,tClientes[ID_Cliente],tClientes[UF])</f>
        <v>MG</v>
      </c>
    </row>
    <row r="325" spans="1:15" x14ac:dyDescent="0.3">
      <c r="A325">
        <v>324</v>
      </c>
      <c r="B325" s="3">
        <v>45831</v>
      </c>
      <c r="C325" s="3">
        <v>45947</v>
      </c>
      <c r="D325">
        <v>91</v>
      </c>
      <c r="E325">
        <v>3</v>
      </c>
      <c r="F325">
        <v>1</v>
      </c>
      <c r="G325" s="2">
        <v>2600</v>
      </c>
      <c r="H325" s="4">
        <v>0</v>
      </c>
      <c r="I325" s="2">
        <v>2600</v>
      </c>
      <c r="J325" t="s">
        <v>253</v>
      </c>
      <c r="K325" t="s">
        <v>258</v>
      </c>
      <c r="M325" t="str">
        <f>_xlfn.XLOOKUP(E325,tPacotes[ID_Pacote],tPacotes[Pacote])</f>
        <v>Serra Gaúcha</v>
      </c>
      <c r="N325" t="str">
        <f>_xlfn.XLOOKUP(E325,tPacotes[ID_Pacote],tPacotes[Categoria])</f>
        <v>Inverno</v>
      </c>
      <c r="O325" t="str">
        <f>_xlfn.XLOOKUP(D325,tClientes[ID_Cliente],tClientes[UF])</f>
        <v>SP</v>
      </c>
    </row>
    <row r="326" spans="1:15" x14ac:dyDescent="0.3">
      <c r="A326">
        <v>325</v>
      </c>
      <c r="B326" s="3">
        <v>45831</v>
      </c>
      <c r="C326" s="3">
        <v>45885</v>
      </c>
      <c r="D326">
        <v>39</v>
      </c>
      <c r="E326">
        <v>15</v>
      </c>
      <c r="F326">
        <v>2</v>
      </c>
      <c r="G326" s="2">
        <v>6200</v>
      </c>
      <c r="H326" s="4">
        <v>0.05</v>
      </c>
      <c r="I326" s="2">
        <v>5890</v>
      </c>
      <c r="J326" t="s">
        <v>255</v>
      </c>
      <c r="K326" t="s">
        <v>254</v>
      </c>
      <c r="L326">
        <v>5</v>
      </c>
      <c r="M326" t="str">
        <f>_xlfn.XLOOKUP(E326,tPacotes[ID_Pacote],tPacotes[Pacote])</f>
        <v>Jericoacoara</v>
      </c>
      <c r="N326" t="str">
        <f>_xlfn.XLOOKUP(E326,tPacotes[ID_Pacote],tPacotes[Categoria])</f>
        <v>Praia</v>
      </c>
      <c r="O326" t="str">
        <f>_xlfn.XLOOKUP(D326,tClientes[ID_Cliente],tClientes[UF])</f>
        <v>RJ</v>
      </c>
    </row>
    <row r="327" spans="1:15" x14ac:dyDescent="0.3">
      <c r="A327">
        <v>326</v>
      </c>
      <c r="B327" s="3">
        <v>45832</v>
      </c>
      <c r="C327" s="3">
        <v>45895</v>
      </c>
      <c r="D327">
        <v>173</v>
      </c>
      <c r="E327">
        <v>6</v>
      </c>
      <c r="F327">
        <v>1</v>
      </c>
      <c r="G327" s="2">
        <v>2100</v>
      </c>
      <c r="H327" s="4">
        <v>0</v>
      </c>
      <c r="I327" s="2">
        <v>2100</v>
      </c>
      <c r="J327" t="s">
        <v>256</v>
      </c>
      <c r="K327" t="s">
        <v>254</v>
      </c>
      <c r="L327">
        <v>5</v>
      </c>
      <c r="M327" t="str">
        <f>_xlfn.XLOOKUP(E327,tPacotes[ID_Pacote],tPacotes[Pacote])</f>
        <v>Foz do Iguaçu</v>
      </c>
      <c r="N327" t="str">
        <f>_xlfn.XLOOKUP(E327,tPacotes[ID_Pacote],tPacotes[Categoria])</f>
        <v>Natureza</v>
      </c>
      <c r="O327" t="str">
        <f>_xlfn.XLOOKUP(D327,tClientes[ID_Cliente],tClientes[UF])</f>
        <v>BA</v>
      </c>
    </row>
    <row r="328" spans="1:15" x14ac:dyDescent="0.3">
      <c r="A328">
        <v>327</v>
      </c>
      <c r="B328" s="3">
        <v>45832</v>
      </c>
      <c r="C328" s="3">
        <v>45917</v>
      </c>
      <c r="D328">
        <v>85</v>
      </c>
      <c r="E328">
        <v>13</v>
      </c>
      <c r="F328">
        <v>4</v>
      </c>
      <c r="G328" s="2">
        <v>29200</v>
      </c>
      <c r="H328" s="4">
        <v>0.05</v>
      </c>
      <c r="I328" s="2">
        <v>27740</v>
      </c>
      <c r="J328" t="s">
        <v>256</v>
      </c>
      <c r="K328" t="s">
        <v>254</v>
      </c>
      <c r="L328">
        <v>5</v>
      </c>
      <c r="M328" t="str">
        <f>_xlfn.XLOOKUP(E328,tPacotes[ID_Pacote],tPacotes[Pacote])</f>
        <v>Machu Picchu</v>
      </c>
      <c r="N328" t="str">
        <f>_xlfn.XLOOKUP(E328,tPacotes[ID_Pacote],tPacotes[Categoria])</f>
        <v>Aventura</v>
      </c>
      <c r="O328" t="str">
        <f>_xlfn.XLOOKUP(D328,tClientes[ID_Cliente],tClientes[UF])</f>
        <v>DF</v>
      </c>
    </row>
    <row r="329" spans="1:15" x14ac:dyDescent="0.3">
      <c r="A329">
        <v>328</v>
      </c>
      <c r="B329" s="3">
        <v>45833</v>
      </c>
      <c r="C329" s="3">
        <v>45843</v>
      </c>
      <c r="D329">
        <v>70</v>
      </c>
      <c r="E329">
        <v>5</v>
      </c>
      <c r="F329">
        <v>2</v>
      </c>
      <c r="G329" s="2">
        <v>6800</v>
      </c>
      <c r="H329" s="4">
        <v>0</v>
      </c>
      <c r="I329" s="2">
        <v>6800</v>
      </c>
      <c r="J329" t="s">
        <v>253</v>
      </c>
      <c r="K329" t="s">
        <v>258</v>
      </c>
      <c r="M329" t="str">
        <f>_xlfn.XLOOKUP(E329,tPacotes[ID_Pacote],tPacotes[Pacote])</f>
        <v>Bonito Aventura</v>
      </c>
      <c r="N329" t="str">
        <f>_xlfn.XLOOKUP(E329,tPacotes[ID_Pacote],tPacotes[Categoria])</f>
        <v>Aventura</v>
      </c>
      <c r="O329" t="str">
        <f>_xlfn.XLOOKUP(D329,tClientes[ID_Cliente],tClientes[UF])</f>
        <v>MG</v>
      </c>
    </row>
    <row r="330" spans="1:15" x14ac:dyDescent="0.3">
      <c r="A330">
        <v>329</v>
      </c>
      <c r="B330" s="3">
        <v>45833</v>
      </c>
      <c r="C330" s="3">
        <v>45888</v>
      </c>
      <c r="D330">
        <v>161</v>
      </c>
      <c r="E330">
        <v>2</v>
      </c>
      <c r="F330">
        <v>1</v>
      </c>
      <c r="G330" s="2">
        <v>1800</v>
      </c>
      <c r="H330" s="4">
        <v>0.05</v>
      </c>
      <c r="I330" s="2">
        <v>1710</v>
      </c>
      <c r="J330" t="s">
        <v>253</v>
      </c>
      <c r="K330" t="s">
        <v>254</v>
      </c>
      <c r="L330">
        <v>4</v>
      </c>
      <c r="M330" t="str">
        <f>_xlfn.XLOOKUP(E330,tPacotes[ID_Pacote],tPacotes[Pacote])</f>
        <v>Rio Cidade Maravilhosa</v>
      </c>
      <c r="N330" t="str">
        <f>_xlfn.XLOOKUP(E330,tPacotes[ID_Pacote],tPacotes[Categoria])</f>
        <v>Cultural</v>
      </c>
      <c r="O330" t="str">
        <f>_xlfn.XLOOKUP(D330,tClientes[ID_Cliente],tClientes[UF])</f>
        <v>SP</v>
      </c>
    </row>
    <row r="331" spans="1:15" x14ac:dyDescent="0.3">
      <c r="A331">
        <v>330</v>
      </c>
      <c r="B331" s="3">
        <v>45833</v>
      </c>
      <c r="C331" s="3">
        <v>45960</v>
      </c>
      <c r="D331">
        <v>176</v>
      </c>
      <c r="E331">
        <v>10</v>
      </c>
      <c r="F331">
        <v>1</v>
      </c>
      <c r="G331" s="2">
        <v>11500</v>
      </c>
      <c r="H331" s="4">
        <v>0</v>
      </c>
      <c r="I331" s="2">
        <v>11500</v>
      </c>
      <c r="J331" t="s">
        <v>253</v>
      </c>
      <c r="K331" t="s">
        <v>254</v>
      </c>
      <c r="L331">
        <v>5</v>
      </c>
      <c r="M331" t="str">
        <f>_xlfn.XLOOKUP(E331,tPacotes[ID_Pacote],tPacotes[Pacote])</f>
        <v>Orlando Parques</v>
      </c>
      <c r="N331" t="str">
        <f>_xlfn.XLOOKUP(E331,tPacotes[ID_Pacote],tPacotes[Categoria])</f>
        <v>Parques</v>
      </c>
      <c r="O331" t="str">
        <f>_xlfn.XLOOKUP(D331,tClientes[ID_Cliente],tClientes[UF])</f>
        <v>SP</v>
      </c>
    </row>
    <row r="332" spans="1:15" x14ac:dyDescent="0.3">
      <c r="A332">
        <v>331</v>
      </c>
      <c r="B332" s="3">
        <v>45833</v>
      </c>
      <c r="C332" s="3">
        <v>45957</v>
      </c>
      <c r="D332">
        <v>136</v>
      </c>
      <c r="E332">
        <v>1</v>
      </c>
      <c r="F332">
        <v>2</v>
      </c>
      <c r="G332" s="2">
        <v>6400</v>
      </c>
      <c r="H332" s="4">
        <v>0.05</v>
      </c>
      <c r="I332" s="2">
        <v>6080</v>
      </c>
      <c r="J332" t="s">
        <v>253</v>
      </c>
      <c r="K332" t="s">
        <v>254</v>
      </c>
      <c r="L332">
        <v>5</v>
      </c>
      <c r="M332" t="str">
        <f>_xlfn.XLOOKUP(E332,tPacotes[ID_Pacote],tPacotes[Pacote])</f>
        <v>Nordeste Encantado</v>
      </c>
      <c r="N332" t="str">
        <f>_xlfn.XLOOKUP(E332,tPacotes[ID_Pacote],tPacotes[Categoria])</f>
        <v>Praia</v>
      </c>
      <c r="O332" t="str">
        <f>_xlfn.XLOOKUP(D332,tClientes[ID_Cliente],tClientes[UF])</f>
        <v>MG</v>
      </c>
    </row>
    <row r="333" spans="1:15" x14ac:dyDescent="0.3">
      <c r="A333">
        <v>332</v>
      </c>
      <c r="B333" s="3">
        <v>45833</v>
      </c>
      <c r="C333" s="3">
        <v>45924</v>
      </c>
      <c r="D333">
        <v>13</v>
      </c>
      <c r="E333">
        <v>3</v>
      </c>
      <c r="F333">
        <v>2</v>
      </c>
      <c r="G333" s="2">
        <v>5200</v>
      </c>
      <c r="H333" s="4">
        <v>0</v>
      </c>
      <c r="I333" s="2">
        <v>5200</v>
      </c>
      <c r="J333" t="s">
        <v>255</v>
      </c>
      <c r="K333" t="s">
        <v>254</v>
      </c>
      <c r="L333">
        <v>4</v>
      </c>
      <c r="M333" t="str">
        <f>_xlfn.XLOOKUP(E333,tPacotes[ID_Pacote],tPacotes[Pacote])</f>
        <v>Serra Gaúcha</v>
      </c>
      <c r="N333" t="str">
        <f>_xlfn.XLOOKUP(E333,tPacotes[ID_Pacote],tPacotes[Categoria])</f>
        <v>Inverno</v>
      </c>
      <c r="O333" t="str">
        <f>_xlfn.XLOOKUP(D333,tClientes[ID_Cliente],tClientes[UF])</f>
        <v>RS</v>
      </c>
    </row>
    <row r="334" spans="1:15" x14ac:dyDescent="0.3">
      <c r="A334">
        <v>333</v>
      </c>
      <c r="B334" s="3">
        <v>45833</v>
      </c>
      <c r="C334" s="3">
        <v>45860</v>
      </c>
      <c r="D334">
        <v>153</v>
      </c>
      <c r="E334">
        <v>1</v>
      </c>
      <c r="F334">
        <v>3</v>
      </c>
      <c r="G334" s="2">
        <v>9600</v>
      </c>
      <c r="H334" s="4">
        <v>0.1</v>
      </c>
      <c r="I334" s="2">
        <v>8640</v>
      </c>
      <c r="J334" t="s">
        <v>256</v>
      </c>
      <c r="K334" t="s">
        <v>254</v>
      </c>
      <c r="L334">
        <v>4</v>
      </c>
      <c r="M334" t="str">
        <f>_xlfn.XLOOKUP(E334,tPacotes[ID_Pacote],tPacotes[Pacote])</f>
        <v>Nordeste Encantado</v>
      </c>
      <c r="N334" t="str">
        <f>_xlfn.XLOOKUP(E334,tPacotes[ID_Pacote],tPacotes[Categoria])</f>
        <v>Praia</v>
      </c>
      <c r="O334" t="str">
        <f>_xlfn.XLOOKUP(D334,tClientes[ID_Cliente],tClientes[UF])</f>
        <v>SP</v>
      </c>
    </row>
    <row r="335" spans="1:15" x14ac:dyDescent="0.3">
      <c r="A335">
        <v>334</v>
      </c>
      <c r="B335" s="3">
        <v>45834</v>
      </c>
      <c r="C335" s="3">
        <v>45885</v>
      </c>
      <c r="D335">
        <v>69</v>
      </c>
      <c r="E335">
        <v>13</v>
      </c>
      <c r="F335">
        <v>2</v>
      </c>
      <c r="G335" s="2">
        <v>14600</v>
      </c>
      <c r="H335" s="4">
        <v>0.1</v>
      </c>
      <c r="I335" s="2">
        <v>13140</v>
      </c>
      <c r="J335" t="s">
        <v>255</v>
      </c>
      <c r="K335" t="s">
        <v>254</v>
      </c>
      <c r="L335">
        <v>4</v>
      </c>
      <c r="M335" t="str">
        <f>_xlfn.XLOOKUP(E335,tPacotes[ID_Pacote],tPacotes[Pacote])</f>
        <v>Machu Picchu</v>
      </c>
      <c r="N335" t="str">
        <f>_xlfn.XLOOKUP(E335,tPacotes[ID_Pacote],tPacotes[Categoria])</f>
        <v>Aventura</v>
      </c>
      <c r="O335" t="str">
        <f>_xlfn.XLOOKUP(D335,tClientes[ID_Cliente],tClientes[UF])</f>
        <v>RJ</v>
      </c>
    </row>
    <row r="336" spans="1:15" x14ac:dyDescent="0.3">
      <c r="A336">
        <v>335</v>
      </c>
      <c r="B336" s="3">
        <v>45834</v>
      </c>
      <c r="C336" s="3">
        <v>45858</v>
      </c>
      <c r="D336">
        <v>131</v>
      </c>
      <c r="E336">
        <v>6</v>
      </c>
      <c r="F336">
        <v>2</v>
      </c>
      <c r="G336" s="2">
        <v>4200</v>
      </c>
      <c r="H336" s="4">
        <v>0</v>
      </c>
      <c r="I336" s="2">
        <v>4200</v>
      </c>
      <c r="J336" t="s">
        <v>253</v>
      </c>
      <c r="K336" t="s">
        <v>258</v>
      </c>
      <c r="M336" t="str">
        <f>_xlfn.XLOOKUP(E336,tPacotes[ID_Pacote],tPacotes[Pacote])</f>
        <v>Foz do Iguaçu</v>
      </c>
      <c r="N336" t="str">
        <f>_xlfn.XLOOKUP(E336,tPacotes[ID_Pacote],tPacotes[Categoria])</f>
        <v>Natureza</v>
      </c>
      <c r="O336" t="str">
        <f>_xlfn.XLOOKUP(D336,tClientes[ID_Cliente],tClientes[UF])</f>
        <v>RJ</v>
      </c>
    </row>
    <row r="337" spans="1:15" x14ac:dyDescent="0.3">
      <c r="A337">
        <v>336</v>
      </c>
      <c r="B337" s="3">
        <v>45834</v>
      </c>
      <c r="C337" s="3">
        <v>45970</v>
      </c>
      <c r="D337">
        <v>159</v>
      </c>
      <c r="E337">
        <v>1</v>
      </c>
      <c r="F337">
        <v>2</v>
      </c>
      <c r="G337" s="2">
        <v>6400</v>
      </c>
      <c r="H337" s="4">
        <v>0</v>
      </c>
      <c r="I337" s="2">
        <v>6400</v>
      </c>
      <c r="J337" t="s">
        <v>255</v>
      </c>
      <c r="K337" t="s">
        <v>254</v>
      </c>
      <c r="L337">
        <v>4</v>
      </c>
      <c r="M337" t="str">
        <f>_xlfn.XLOOKUP(E337,tPacotes[ID_Pacote],tPacotes[Pacote])</f>
        <v>Nordeste Encantado</v>
      </c>
      <c r="N337" t="str">
        <f>_xlfn.XLOOKUP(E337,tPacotes[ID_Pacote],tPacotes[Categoria])</f>
        <v>Praia</v>
      </c>
      <c r="O337" t="str">
        <f>_xlfn.XLOOKUP(D337,tClientes[ID_Cliente],tClientes[UF])</f>
        <v>SP</v>
      </c>
    </row>
    <row r="338" spans="1:15" x14ac:dyDescent="0.3">
      <c r="A338">
        <v>337</v>
      </c>
      <c r="B338" s="3">
        <v>45834</v>
      </c>
      <c r="C338" s="3">
        <v>45849</v>
      </c>
      <c r="D338">
        <v>173</v>
      </c>
      <c r="E338">
        <v>9</v>
      </c>
      <c r="F338">
        <v>1</v>
      </c>
      <c r="G338" s="2">
        <v>8900</v>
      </c>
      <c r="H338" s="4">
        <v>0.05</v>
      </c>
      <c r="I338" s="2">
        <v>8455</v>
      </c>
      <c r="J338" t="s">
        <v>253</v>
      </c>
      <c r="K338" t="s">
        <v>258</v>
      </c>
      <c r="M338" t="str">
        <f>_xlfn.XLOOKUP(E338,tPacotes[ID_Pacote],tPacotes[Pacote])</f>
        <v>Cancún All Inclusive</v>
      </c>
      <c r="N338" t="str">
        <f>_xlfn.XLOOKUP(E338,tPacotes[ID_Pacote],tPacotes[Categoria])</f>
        <v>Praia</v>
      </c>
      <c r="O338" t="str">
        <f>_xlfn.XLOOKUP(D338,tClientes[ID_Cliente],tClientes[UF])</f>
        <v>BA</v>
      </c>
    </row>
    <row r="339" spans="1:15" x14ac:dyDescent="0.3">
      <c r="A339">
        <v>338</v>
      </c>
      <c r="B339" s="3">
        <v>45834</v>
      </c>
      <c r="C339" s="3">
        <v>45899</v>
      </c>
      <c r="D339">
        <v>6</v>
      </c>
      <c r="E339">
        <v>10</v>
      </c>
      <c r="F339">
        <v>2</v>
      </c>
      <c r="G339" s="2">
        <v>23000</v>
      </c>
      <c r="H339" s="4">
        <v>0.05</v>
      </c>
      <c r="I339" s="2">
        <v>21850</v>
      </c>
      <c r="J339" t="s">
        <v>256</v>
      </c>
      <c r="K339" t="s">
        <v>254</v>
      </c>
      <c r="L339">
        <v>4</v>
      </c>
      <c r="M339" t="str">
        <f>_xlfn.XLOOKUP(E339,tPacotes[ID_Pacote],tPacotes[Pacote])</f>
        <v>Orlando Parques</v>
      </c>
      <c r="N339" t="str">
        <f>_xlfn.XLOOKUP(E339,tPacotes[ID_Pacote],tPacotes[Categoria])</f>
        <v>Parques</v>
      </c>
      <c r="O339" t="str">
        <f>_xlfn.XLOOKUP(D339,tClientes[ID_Cliente],tClientes[UF])</f>
        <v>SP</v>
      </c>
    </row>
    <row r="340" spans="1:15" x14ac:dyDescent="0.3">
      <c r="A340">
        <v>339</v>
      </c>
      <c r="B340" s="3">
        <v>45835</v>
      </c>
      <c r="C340" s="3">
        <v>45887</v>
      </c>
      <c r="D340">
        <v>139</v>
      </c>
      <c r="E340">
        <v>11</v>
      </c>
      <c r="F340">
        <v>2</v>
      </c>
      <c r="G340" s="2">
        <v>31600</v>
      </c>
      <c r="H340" s="4">
        <v>0</v>
      </c>
      <c r="I340" s="2">
        <v>31600</v>
      </c>
      <c r="J340" t="s">
        <v>253</v>
      </c>
      <c r="K340" t="s">
        <v>254</v>
      </c>
      <c r="L340">
        <v>5</v>
      </c>
      <c r="M340" t="str">
        <f>_xlfn.XLOOKUP(E340,tPacotes[ID_Pacote],tPacotes[Pacote])</f>
        <v>Paris e Londres</v>
      </c>
      <c r="N340" t="str">
        <f>_xlfn.XLOOKUP(E340,tPacotes[ID_Pacote],tPacotes[Categoria])</f>
        <v>Cultural</v>
      </c>
      <c r="O340" t="str">
        <f>_xlfn.XLOOKUP(D340,tClientes[ID_Cliente],tClientes[UF])</f>
        <v>SP</v>
      </c>
    </row>
    <row r="341" spans="1:15" x14ac:dyDescent="0.3">
      <c r="A341">
        <v>340</v>
      </c>
      <c r="B341" s="3">
        <v>45835</v>
      </c>
      <c r="C341" s="3">
        <v>45849</v>
      </c>
      <c r="D341">
        <v>129</v>
      </c>
      <c r="E341">
        <v>7</v>
      </c>
      <c r="F341">
        <v>3</v>
      </c>
      <c r="G341" s="2">
        <v>12600</v>
      </c>
      <c r="H341" s="4">
        <v>0</v>
      </c>
      <c r="I341" s="2">
        <v>12600</v>
      </c>
      <c r="J341" t="s">
        <v>253</v>
      </c>
      <c r="K341" t="s">
        <v>254</v>
      </c>
      <c r="L341">
        <v>3</v>
      </c>
      <c r="M341" t="str">
        <f>_xlfn.XLOOKUP(E341,tPacotes[ID_Pacote],tPacotes[Pacote])</f>
        <v>Buenos Aires Clássica</v>
      </c>
      <c r="N341" t="str">
        <f>_xlfn.XLOOKUP(E341,tPacotes[ID_Pacote],tPacotes[Categoria])</f>
        <v>Cultural</v>
      </c>
      <c r="O341" t="str">
        <f>_xlfn.XLOOKUP(D341,tClientes[ID_Cliente],tClientes[UF])</f>
        <v>MG</v>
      </c>
    </row>
    <row r="342" spans="1:15" x14ac:dyDescent="0.3">
      <c r="A342">
        <v>341</v>
      </c>
      <c r="B342" s="3">
        <v>45836</v>
      </c>
      <c r="C342" s="3">
        <v>45895</v>
      </c>
      <c r="D342">
        <v>194</v>
      </c>
      <c r="E342">
        <v>10</v>
      </c>
      <c r="F342">
        <v>2</v>
      </c>
      <c r="G342" s="2">
        <v>23000</v>
      </c>
      <c r="H342" s="4">
        <v>0</v>
      </c>
      <c r="I342" s="2">
        <v>23000</v>
      </c>
      <c r="J342" t="s">
        <v>253</v>
      </c>
      <c r="K342" t="s">
        <v>254</v>
      </c>
      <c r="L342">
        <v>3</v>
      </c>
      <c r="M342" t="str">
        <f>_xlfn.XLOOKUP(E342,tPacotes[ID_Pacote],tPacotes[Pacote])</f>
        <v>Orlando Parques</v>
      </c>
      <c r="N342" t="str">
        <f>_xlfn.XLOOKUP(E342,tPacotes[ID_Pacote],tPacotes[Categoria])</f>
        <v>Parques</v>
      </c>
      <c r="O342" t="str">
        <f>_xlfn.XLOOKUP(D342,tClientes[ID_Cliente],tClientes[UF])</f>
        <v>DF</v>
      </c>
    </row>
    <row r="343" spans="1:15" x14ac:dyDescent="0.3">
      <c r="A343">
        <v>342</v>
      </c>
      <c r="B343" s="3">
        <v>45836</v>
      </c>
      <c r="C343" s="3">
        <v>45926</v>
      </c>
      <c r="D343">
        <v>49</v>
      </c>
      <c r="E343">
        <v>9</v>
      </c>
      <c r="F343">
        <v>1</v>
      </c>
      <c r="G343" s="2">
        <v>8900</v>
      </c>
      <c r="H343" s="4">
        <v>0</v>
      </c>
      <c r="I343" s="2">
        <v>8900</v>
      </c>
      <c r="J343" t="s">
        <v>257</v>
      </c>
      <c r="K343" t="s">
        <v>254</v>
      </c>
      <c r="L343">
        <v>5</v>
      </c>
      <c r="M343" t="str">
        <f>_xlfn.XLOOKUP(E343,tPacotes[ID_Pacote],tPacotes[Pacote])</f>
        <v>Cancún All Inclusive</v>
      </c>
      <c r="N343" t="str">
        <f>_xlfn.XLOOKUP(E343,tPacotes[ID_Pacote],tPacotes[Categoria])</f>
        <v>Praia</v>
      </c>
      <c r="O343" t="str">
        <f>_xlfn.XLOOKUP(D343,tClientes[ID_Cliente],tClientes[UF])</f>
        <v>RJ</v>
      </c>
    </row>
    <row r="344" spans="1:15" x14ac:dyDescent="0.3">
      <c r="A344">
        <v>343</v>
      </c>
      <c r="B344" s="3">
        <v>45836</v>
      </c>
      <c r="C344" s="3">
        <v>45897</v>
      </c>
      <c r="D344">
        <v>121</v>
      </c>
      <c r="E344">
        <v>2</v>
      </c>
      <c r="F344">
        <v>2</v>
      </c>
      <c r="G344" s="2">
        <v>3600</v>
      </c>
      <c r="H344" s="4">
        <v>0.05</v>
      </c>
      <c r="I344" s="2">
        <v>3420</v>
      </c>
      <c r="J344" t="s">
        <v>253</v>
      </c>
      <c r="K344" t="s">
        <v>254</v>
      </c>
      <c r="L344">
        <v>4</v>
      </c>
      <c r="M344" t="str">
        <f>_xlfn.XLOOKUP(E344,tPacotes[ID_Pacote],tPacotes[Pacote])</f>
        <v>Rio Cidade Maravilhosa</v>
      </c>
      <c r="N344" t="str">
        <f>_xlfn.XLOOKUP(E344,tPacotes[ID_Pacote],tPacotes[Categoria])</f>
        <v>Cultural</v>
      </c>
      <c r="O344" t="str">
        <f>_xlfn.XLOOKUP(D344,tClientes[ID_Cliente],tClientes[UF])</f>
        <v>RS</v>
      </c>
    </row>
    <row r="345" spans="1:15" x14ac:dyDescent="0.3">
      <c r="A345">
        <v>344</v>
      </c>
      <c r="B345" s="3">
        <v>45837</v>
      </c>
      <c r="C345" s="3">
        <v>45845</v>
      </c>
      <c r="D345">
        <v>185</v>
      </c>
      <c r="E345">
        <v>10</v>
      </c>
      <c r="F345">
        <v>3</v>
      </c>
      <c r="G345" s="2">
        <v>34500</v>
      </c>
      <c r="H345" s="4">
        <v>0</v>
      </c>
      <c r="I345" s="2">
        <v>34500</v>
      </c>
      <c r="J345" t="s">
        <v>253</v>
      </c>
      <c r="K345" t="s">
        <v>254</v>
      </c>
      <c r="L345">
        <v>3</v>
      </c>
      <c r="M345" t="str">
        <f>_xlfn.XLOOKUP(E345,tPacotes[ID_Pacote],tPacotes[Pacote])</f>
        <v>Orlando Parques</v>
      </c>
      <c r="N345" t="str">
        <f>_xlfn.XLOOKUP(E345,tPacotes[ID_Pacote],tPacotes[Categoria])</f>
        <v>Parques</v>
      </c>
      <c r="O345" t="str">
        <f>_xlfn.XLOOKUP(D345,tClientes[ID_Cliente],tClientes[UF])</f>
        <v>SP</v>
      </c>
    </row>
    <row r="346" spans="1:15" x14ac:dyDescent="0.3">
      <c r="A346">
        <v>345</v>
      </c>
      <c r="B346" s="3">
        <v>45838</v>
      </c>
      <c r="C346" s="3">
        <v>45877</v>
      </c>
      <c r="D346">
        <v>43</v>
      </c>
      <c r="E346">
        <v>14</v>
      </c>
      <c r="F346">
        <v>2</v>
      </c>
      <c r="G346" s="2">
        <v>5800</v>
      </c>
      <c r="H346" s="4">
        <v>0.05</v>
      </c>
      <c r="I346" s="2">
        <v>5510</v>
      </c>
      <c r="J346" t="s">
        <v>253</v>
      </c>
      <c r="K346" t="s">
        <v>254</v>
      </c>
      <c r="L346">
        <v>4</v>
      </c>
      <c r="M346" t="str">
        <f>_xlfn.XLOOKUP(E346,tPacotes[ID_Pacote],tPacotes[Pacote])</f>
        <v>Lençóis Maranhenses</v>
      </c>
      <c r="N346" t="str">
        <f>_xlfn.XLOOKUP(E346,tPacotes[ID_Pacote],tPacotes[Categoria])</f>
        <v>Natureza</v>
      </c>
      <c r="O346" t="str">
        <f>_xlfn.XLOOKUP(D346,tClientes[ID_Cliente],tClientes[UF])</f>
        <v>PR</v>
      </c>
    </row>
    <row r="347" spans="1:15" x14ac:dyDescent="0.3">
      <c r="A347">
        <v>346</v>
      </c>
      <c r="B347" s="3">
        <v>45839</v>
      </c>
      <c r="C347" s="3">
        <v>45873</v>
      </c>
      <c r="D347">
        <v>40</v>
      </c>
      <c r="E347">
        <v>2</v>
      </c>
      <c r="F347">
        <v>4</v>
      </c>
      <c r="G347" s="2">
        <v>7200</v>
      </c>
      <c r="H347" s="4">
        <v>0</v>
      </c>
      <c r="I347" s="2">
        <v>7200</v>
      </c>
      <c r="J347" t="s">
        <v>257</v>
      </c>
      <c r="K347" t="s">
        <v>254</v>
      </c>
      <c r="L347">
        <v>5</v>
      </c>
      <c r="M347" t="str">
        <f>_xlfn.XLOOKUP(E347,tPacotes[ID_Pacote],tPacotes[Pacote])</f>
        <v>Rio Cidade Maravilhosa</v>
      </c>
      <c r="N347" t="str">
        <f>_xlfn.XLOOKUP(E347,tPacotes[ID_Pacote],tPacotes[Categoria])</f>
        <v>Cultural</v>
      </c>
      <c r="O347" t="str">
        <f>_xlfn.XLOOKUP(D347,tClientes[ID_Cliente],tClientes[UF])</f>
        <v>RJ</v>
      </c>
    </row>
    <row r="348" spans="1:15" x14ac:dyDescent="0.3">
      <c r="A348">
        <v>347</v>
      </c>
      <c r="B348" s="3">
        <v>45839</v>
      </c>
      <c r="C348" s="3">
        <v>45976</v>
      </c>
      <c r="D348">
        <v>11</v>
      </c>
      <c r="E348">
        <v>2</v>
      </c>
      <c r="F348">
        <v>3</v>
      </c>
      <c r="G348" s="2">
        <v>5400</v>
      </c>
      <c r="H348" s="4">
        <v>0.05</v>
      </c>
      <c r="I348" s="2">
        <v>5130</v>
      </c>
      <c r="J348" t="s">
        <v>253</v>
      </c>
      <c r="K348" t="s">
        <v>254</v>
      </c>
      <c r="L348">
        <v>5</v>
      </c>
      <c r="M348" t="str">
        <f>_xlfn.XLOOKUP(E348,tPacotes[ID_Pacote],tPacotes[Pacote])</f>
        <v>Rio Cidade Maravilhosa</v>
      </c>
      <c r="N348" t="str">
        <f>_xlfn.XLOOKUP(E348,tPacotes[ID_Pacote],tPacotes[Categoria])</f>
        <v>Cultural</v>
      </c>
      <c r="O348" t="str">
        <f>_xlfn.XLOOKUP(D348,tClientes[ID_Cliente],tClientes[UF])</f>
        <v>RJ</v>
      </c>
    </row>
    <row r="349" spans="1:15" x14ac:dyDescent="0.3">
      <c r="A349">
        <v>348</v>
      </c>
      <c r="B349" s="3">
        <v>45839</v>
      </c>
      <c r="C349" s="3">
        <v>45848</v>
      </c>
      <c r="D349">
        <v>188</v>
      </c>
      <c r="E349">
        <v>8</v>
      </c>
      <c r="F349">
        <v>1</v>
      </c>
      <c r="G349" s="2">
        <v>5900</v>
      </c>
      <c r="H349" s="4">
        <v>0</v>
      </c>
      <c r="I349" s="2">
        <v>5900</v>
      </c>
      <c r="J349" t="s">
        <v>253</v>
      </c>
      <c r="K349" t="s">
        <v>254</v>
      </c>
      <c r="L349">
        <v>5</v>
      </c>
      <c r="M349" t="str">
        <f>_xlfn.XLOOKUP(E349,tPacotes[ID_Pacote],tPacotes[Pacote])</f>
        <v>Santiago e Neve</v>
      </c>
      <c r="N349" t="str">
        <f>_xlfn.XLOOKUP(E349,tPacotes[ID_Pacote],tPacotes[Categoria])</f>
        <v>Inverno</v>
      </c>
      <c r="O349" t="str">
        <f>_xlfn.XLOOKUP(D349,tClientes[ID_Cliente],tClientes[UF])</f>
        <v>SP</v>
      </c>
    </row>
    <row r="350" spans="1:15" x14ac:dyDescent="0.3">
      <c r="A350">
        <v>349</v>
      </c>
      <c r="B350" s="3">
        <v>45840</v>
      </c>
      <c r="C350" s="3">
        <v>45933</v>
      </c>
      <c r="D350">
        <v>21</v>
      </c>
      <c r="E350">
        <v>9</v>
      </c>
      <c r="F350">
        <v>3</v>
      </c>
      <c r="G350" s="2">
        <v>26700</v>
      </c>
      <c r="H350" s="4">
        <v>0</v>
      </c>
      <c r="I350" s="2">
        <v>26700</v>
      </c>
      <c r="J350" t="s">
        <v>257</v>
      </c>
      <c r="K350" t="s">
        <v>258</v>
      </c>
      <c r="M350" t="str">
        <f>_xlfn.XLOOKUP(E350,tPacotes[ID_Pacote],tPacotes[Pacote])</f>
        <v>Cancún All Inclusive</v>
      </c>
      <c r="N350" t="str">
        <f>_xlfn.XLOOKUP(E350,tPacotes[ID_Pacote],tPacotes[Categoria])</f>
        <v>Praia</v>
      </c>
      <c r="O350" t="str">
        <f>_xlfn.XLOOKUP(D350,tClientes[ID_Cliente],tClientes[UF])</f>
        <v>MG</v>
      </c>
    </row>
    <row r="351" spans="1:15" x14ac:dyDescent="0.3">
      <c r="A351">
        <v>350</v>
      </c>
      <c r="B351" s="3">
        <v>45841</v>
      </c>
      <c r="C351" s="3">
        <v>45845</v>
      </c>
      <c r="D351">
        <v>78</v>
      </c>
      <c r="E351">
        <v>8</v>
      </c>
      <c r="F351">
        <v>1</v>
      </c>
      <c r="G351" s="2">
        <v>5900</v>
      </c>
      <c r="H351" s="4">
        <v>0.05</v>
      </c>
      <c r="I351" s="2">
        <v>5605</v>
      </c>
      <c r="J351" t="s">
        <v>253</v>
      </c>
      <c r="K351" t="s">
        <v>254</v>
      </c>
      <c r="L351">
        <v>3</v>
      </c>
      <c r="M351" t="str">
        <f>_xlfn.XLOOKUP(E351,tPacotes[ID_Pacote],tPacotes[Pacote])</f>
        <v>Santiago e Neve</v>
      </c>
      <c r="N351" t="str">
        <f>_xlfn.XLOOKUP(E351,tPacotes[ID_Pacote],tPacotes[Categoria])</f>
        <v>Inverno</v>
      </c>
      <c r="O351" t="str">
        <f>_xlfn.XLOOKUP(D351,tClientes[ID_Cliente],tClientes[UF])</f>
        <v>PR</v>
      </c>
    </row>
    <row r="352" spans="1:15" x14ac:dyDescent="0.3">
      <c r="A352">
        <v>351</v>
      </c>
      <c r="B352" s="3">
        <v>45842</v>
      </c>
      <c r="C352" s="3">
        <v>45852</v>
      </c>
      <c r="D352">
        <v>84</v>
      </c>
      <c r="E352">
        <v>6</v>
      </c>
      <c r="F352">
        <v>2</v>
      </c>
      <c r="G352" s="2">
        <v>4200</v>
      </c>
      <c r="H352" s="4">
        <v>0</v>
      </c>
      <c r="I352" s="2">
        <v>4200</v>
      </c>
      <c r="J352" t="s">
        <v>253</v>
      </c>
      <c r="K352" t="s">
        <v>254</v>
      </c>
      <c r="L352">
        <v>4</v>
      </c>
      <c r="M352" t="str">
        <f>_xlfn.XLOOKUP(E352,tPacotes[ID_Pacote],tPacotes[Pacote])</f>
        <v>Foz do Iguaçu</v>
      </c>
      <c r="N352" t="str">
        <f>_xlfn.XLOOKUP(E352,tPacotes[ID_Pacote],tPacotes[Categoria])</f>
        <v>Natureza</v>
      </c>
      <c r="O352" t="str">
        <f>_xlfn.XLOOKUP(D352,tClientes[ID_Cliente],tClientes[UF])</f>
        <v>RS</v>
      </c>
    </row>
    <row r="353" spans="1:15" x14ac:dyDescent="0.3">
      <c r="A353">
        <v>352</v>
      </c>
      <c r="B353" s="3">
        <v>45842</v>
      </c>
      <c r="C353" s="3">
        <v>45849</v>
      </c>
      <c r="D353">
        <v>98</v>
      </c>
      <c r="E353">
        <v>15</v>
      </c>
      <c r="F353">
        <v>4</v>
      </c>
      <c r="G353" s="2">
        <v>12400</v>
      </c>
      <c r="H353" s="4">
        <v>0.05</v>
      </c>
      <c r="I353" s="2">
        <v>11780</v>
      </c>
      <c r="J353" t="s">
        <v>253</v>
      </c>
      <c r="K353" t="s">
        <v>254</v>
      </c>
      <c r="L353">
        <v>4</v>
      </c>
      <c r="M353" t="str">
        <f>_xlfn.XLOOKUP(E353,tPacotes[ID_Pacote],tPacotes[Pacote])</f>
        <v>Jericoacoara</v>
      </c>
      <c r="N353" t="str">
        <f>_xlfn.XLOOKUP(E353,tPacotes[ID_Pacote],tPacotes[Categoria])</f>
        <v>Praia</v>
      </c>
      <c r="O353" t="str">
        <f>_xlfn.XLOOKUP(D353,tClientes[ID_Cliente],tClientes[UF])</f>
        <v>SP</v>
      </c>
    </row>
    <row r="354" spans="1:15" x14ac:dyDescent="0.3">
      <c r="A354">
        <v>353</v>
      </c>
      <c r="B354" s="3">
        <v>45842</v>
      </c>
      <c r="C354" s="3">
        <v>45884</v>
      </c>
      <c r="D354">
        <v>159</v>
      </c>
      <c r="E354">
        <v>2</v>
      </c>
      <c r="F354">
        <v>1</v>
      </c>
      <c r="G354" s="2">
        <v>1800</v>
      </c>
      <c r="H354" s="4">
        <v>0.05</v>
      </c>
      <c r="I354" s="2">
        <v>1710</v>
      </c>
      <c r="J354" t="s">
        <v>253</v>
      </c>
      <c r="K354" t="s">
        <v>254</v>
      </c>
      <c r="L354">
        <v>4</v>
      </c>
      <c r="M354" t="str">
        <f>_xlfn.XLOOKUP(E354,tPacotes[ID_Pacote],tPacotes[Pacote])</f>
        <v>Rio Cidade Maravilhosa</v>
      </c>
      <c r="N354" t="str">
        <f>_xlfn.XLOOKUP(E354,tPacotes[ID_Pacote],tPacotes[Categoria])</f>
        <v>Cultural</v>
      </c>
      <c r="O354" t="str">
        <f>_xlfn.XLOOKUP(D354,tClientes[ID_Cliente],tClientes[UF])</f>
        <v>SP</v>
      </c>
    </row>
    <row r="355" spans="1:15" x14ac:dyDescent="0.3">
      <c r="A355">
        <v>354</v>
      </c>
      <c r="B355" s="3">
        <v>45842</v>
      </c>
      <c r="C355" s="3">
        <v>45908</v>
      </c>
      <c r="D355">
        <v>134</v>
      </c>
      <c r="E355">
        <v>2</v>
      </c>
      <c r="F355">
        <v>4</v>
      </c>
      <c r="G355" s="2">
        <v>7200</v>
      </c>
      <c r="H355" s="4">
        <v>0</v>
      </c>
      <c r="I355" s="2">
        <v>7200</v>
      </c>
      <c r="J355" t="s">
        <v>253</v>
      </c>
      <c r="K355" t="s">
        <v>254</v>
      </c>
      <c r="L355">
        <v>4</v>
      </c>
      <c r="M355" t="str">
        <f>_xlfn.XLOOKUP(E355,tPacotes[ID_Pacote],tPacotes[Pacote])</f>
        <v>Rio Cidade Maravilhosa</v>
      </c>
      <c r="N355" t="str">
        <f>_xlfn.XLOOKUP(E355,tPacotes[ID_Pacote],tPacotes[Categoria])</f>
        <v>Cultural</v>
      </c>
      <c r="O355" t="str">
        <f>_xlfn.XLOOKUP(D355,tClientes[ID_Cliente],tClientes[UF])</f>
        <v>MG</v>
      </c>
    </row>
    <row r="356" spans="1:15" x14ac:dyDescent="0.3">
      <c r="A356">
        <v>355</v>
      </c>
      <c r="B356" s="3">
        <v>45842</v>
      </c>
      <c r="C356" s="3">
        <v>45859</v>
      </c>
      <c r="D356">
        <v>139</v>
      </c>
      <c r="E356">
        <v>15</v>
      </c>
      <c r="F356">
        <v>2</v>
      </c>
      <c r="G356" s="2">
        <v>6200</v>
      </c>
      <c r="H356" s="4">
        <v>0.1</v>
      </c>
      <c r="I356" s="2">
        <v>5580</v>
      </c>
      <c r="J356" t="s">
        <v>253</v>
      </c>
      <c r="K356" t="s">
        <v>254</v>
      </c>
      <c r="L356">
        <v>1</v>
      </c>
      <c r="M356" t="str">
        <f>_xlfn.XLOOKUP(E356,tPacotes[ID_Pacote],tPacotes[Pacote])</f>
        <v>Jericoacoara</v>
      </c>
      <c r="N356" t="str">
        <f>_xlfn.XLOOKUP(E356,tPacotes[ID_Pacote],tPacotes[Categoria])</f>
        <v>Praia</v>
      </c>
      <c r="O356" t="str">
        <f>_xlfn.XLOOKUP(D356,tClientes[ID_Cliente],tClientes[UF])</f>
        <v>SP</v>
      </c>
    </row>
    <row r="357" spans="1:15" x14ac:dyDescent="0.3">
      <c r="A357">
        <v>356</v>
      </c>
      <c r="B357" s="3">
        <v>45843</v>
      </c>
      <c r="C357" s="3">
        <v>46002</v>
      </c>
      <c r="D357">
        <v>72</v>
      </c>
      <c r="E357">
        <v>2</v>
      </c>
      <c r="F357">
        <v>2</v>
      </c>
      <c r="G357" s="2">
        <v>3600</v>
      </c>
      <c r="H357" s="4">
        <v>0</v>
      </c>
      <c r="I357" s="2">
        <v>3600</v>
      </c>
      <c r="J357" t="s">
        <v>253</v>
      </c>
      <c r="K357" t="s">
        <v>258</v>
      </c>
      <c r="M357" t="str">
        <f>_xlfn.XLOOKUP(E357,tPacotes[ID_Pacote],tPacotes[Pacote])</f>
        <v>Rio Cidade Maravilhosa</v>
      </c>
      <c r="N357" t="str">
        <f>_xlfn.XLOOKUP(E357,tPacotes[ID_Pacote],tPacotes[Categoria])</f>
        <v>Cultural</v>
      </c>
      <c r="O357" t="str">
        <f>_xlfn.XLOOKUP(D357,tClientes[ID_Cliente],tClientes[UF])</f>
        <v>PR</v>
      </c>
    </row>
    <row r="358" spans="1:15" x14ac:dyDescent="0.3">
      <c r="A358">
        <v>357</v>
      </c>
      <c r="B358" s="3">
        <v>45843</v>
      </c>
      <c r="C358" s="3">
        <v>45861</v>
      </c>
      <c r="D358">
        <v>83</v>
      </c>
      <c r="E358">
        <v>1</v>
      </c>
      <c r="F358">
        <v>1</v>
      </c>
      <c r="G358" s="2">
        <v>3200</v>
      </c>
      <c r="H358" s="4">
        <v>0</v>
      </c>
      <c r="I358" s="2">
        <v>3200</v>
      </c>
      <c r="J358" t="s">
        <v>257</v>
      </c>
      <c r="K358" t="s">
        <v>254</v>
      </c>
      <c r="L358">
        <v>5</v>
      </c>
      <c r="M358" t="str">
        <f>_xlfn.XLOOKUP(E358,tPacotes[ID_Pacote],tPacotes[Pacote])</f>
        <v>Nordeste Encantado</v>
      </c>
      <c r="N358" t="str">
        <f>_xlfn.XLOOKUP(E358,tPacotes[ID_Pacote],tPacotes[Categoria])</f>
        <v>Praia</v>
      </c>
      <c r="O358" t="str">
        <f>_xlfn.XLOOKUP(D358,tClientes[ID_Cliente],tClientes[UF])</f>
        <v>SP</v>
      </c>
    </row>
    <row r="359" spans="1:15" x14ac:dyDescent="0.3">
      <c r="A359">
        <v>358</v>
      </c>
      <c r="B359" s="3">
        <v>45843</v>
      </c>
      <c r="C359" s="3">
        <v>45860</v>
      </c>
      <c r="D359">
        <v>91</v>
      </c>
      <c r="E359">
        <v>3</v>
      </c>
      <c r="F359">
        <v>1</v>
      </c>
      <c r="G359" s="2">
        <v>2600</v>
      </c>
      <c r="H359" s="4">
        <v>0</v>
      </c>
      <c r="I359" s="2">
        <v>2600</v>
      </c>
      <c r="J359" t="s">
        <v>256</v>
      </c>
      <c r="K359" t="s">
        <v>254</v>
      </c>
      <c r="L359">
        <v>4</v>
      </c>
      <c r="M359" t="str">
        <f>_xlfn.XLOOKUP(E359,tPacotes[ID_Pacote],tPacotes[Pacote])</f>
        <v>Serra Gaúcha</v>
      </c>
      <c r="N359" t="str">
        <f>_xlfn.XLOOKUP(E359,tPacotes[ID_Pacote],tPacotes[Categoria])</f>
        <v>Inverno</v>
      </c>
      <c r="O359" t="str">
        <f>_xlfn.XLOOKUP(D359,tClientes[ID_Cliente],tClientes[UF])</f>
        <v>SP</v>
      </c>
    </row>
    <row r="360" spans="1:15" x14ac:dyDescent="0.3">
      <c r="A360">
        <v>359</v>
      </c>
      <c r="B360" s="3">
        <v>45843</v>
      </c>
      <c r="C360" s="3">
        <v>45855</v>
      </c>
      <c r="D360">
        <v>120</v>
      </c>
      <c r="E360">
        <v>12</v>
      </c>
      <c r="F360">
        <v>4</v>
      </c>
      <c r="G360" s="2">
        <v>49600</v>
      </c>
      <c r="H360" s="4">
        <v>0</v>
      </c>
      <c r="I360" s="2">
        <v>49600</v>
      </c>
      <c r="J360" t="s">
        <v>257</v>
      </c>
      <c r="K360" t="s">
        <v>254</v>
      </c>
      <c r="L360">
        <v>5</v>
      </c>
      <c r="M360" t="str">
        <f>_xlfn.XLOOKUP(E360,tPacotes[ID_Pacote],tPacotes[Pacote])</f>
        <v>Lisboa e Porto</v>
      </c>
      <c r="N360" t="str">
        <f>_xlfn.XLOOKUP(E360,tPacotes[ID_Pacote],tPacotes[Categoria])</f>
        <v>Cultural</v>
      </c>
      <c r="O360" t="str">
        <f>_xlfn.XLOOKUP(D360,tClientes[ID_Cliente],tClientes[UF])</f>
        <v>PR</v>
      </c>
    </row>
    <row r="361" spans="1:15" x14ac:dyDescent="0.3">
      <c r="A361">
        <v>360</v>
      </c>
      <c r="B361" s="3">
        <v>45844</v>
      </c>
      <c r="C361" s="3">
        <v>45858</v>
      </c>
      <c r="D361">
        <v>156</v>
      </c>
      <c r="E361">
        <v>3</v>
      </c>
      <c r="F361">
        <v>1</v>
      </c>
      <c r="G361" s="2">
        <v>2600</v>
      </c>
      <c r="H361" s="4">
        <v>0</v>
      </c>
      <c r="I361" s="2">
        <v>2600</v>
      </c>
      <c r="J361" t="s">
        <v>256</v>
      </c>
      <c r="K361" t="s">
        <v>254</v>
      </c>
      <c r="L361">
        <v>4</v>
      </c>
      <c r="M361" t="str">
        <f>_xlfn.XLOOKUP(E361,tPacotes[ID_Pacote],tPacotes[Pacote])</f>
        <v>Serra Gaúcha</v>
      </c>
      <c r="N361" t="str">
        <f>_xlfn.XLOOKUP(E361,tPacotes[ID_Pacote],tPacotes[Categoria])</f>
        <v>Inverno</v>
      </c>
      <c r="O361" t="str">
        <f>_xlfn.XLOOKUP(D361,tClientes[ID_Cliente],tClientes[UF])</f>
        <v>SP</v>
      </c>
    </row>
    <row r="362" spans="1:15" x14ac:dyDescent="0.3">
      <c r="A362">
        <v>361</v>
      </c>
      <c r="B362" s="3">
        <v>45844</v>
      </c>
      <c r="C362" s="3">
        <v>45861</v>
      </c>
      <c r="D362">
        <v>5</v>
      </c>
      <c r="E362">
        <v>9</v>
      </c>
      <c r="F362">
        <v>4</v>
      </c>
      <c r="G362" s="2">
        <v>35600</v>
      </c>
      <c r="H362" s="4">
        <v>0.15</v>
      </c>
      <c r="I362" s="2">
        <v>30260</v>
      </c>
      <c r="J362" t="s">
        <v>253</v>
      </c>
      <c r="K362" t="s">
        <v>254</v>
      </c>
      <c r="L362">
        <v>4</v>
      </c>
      <c r="M362" t="str">
        <f>_xlfn.XLOOKUP(E362,tPacotes[ID_Pacote],tPacotes[Pacote])</f>
        <v>Cancún All Inclusive</v>
      </c>
      <c r="N362" t="str">
        <f>_xlfn.XLOOKUP(E362,tPacotes[ID_Pacote],tPacotes[Categoria])</f>
        <v>Praia</v>
      </c>
      <c r="O362" t="str">
        <f>_xlfn.XLOOKUP(D362,tClientes[ID_Cliente],tClientes[UF])</f>
        <v>MG</v>
      </c>
    </row>
    <row r="363" spans="1:15" x14ac:dyDescent="0.3">
      <c r="A363">
        <v>362</v>
      </c>
      <c r="B363" s="3">
        <v>45844</v>
      </c>
      <c r="C363" s="3">
        <v>45886</v>
      </c>
      <c r="D363">
        <v>103</v>
      </c>
      <c r="E363">
        <v>6</v>
      </c>
      <c r="F363">
        <v>1</v>
      </c>
      <c r="G363" s="2">
        <v>2100</v>
      </c>
      <c r="H363" s="4">
        <v>0</v>
      </c>
      <c r="I363" s="2">
        <v>2100</v>
      </c>
      <c r="J363" t="s">
        <v>257</v>
      </c>
      <c r="K363" t="s">
        <v>254</v>
      </c>
      <c r="L363">
        <v>2</v>
      </c>
      <c r="M363" t="str">
        <f>_xlfn.XLOOKUP(E363,tPacotes[ID_Pacote],tPacotes[Pacote])</f>
        <v>Foz do Iguaçu</v>
      </c>
      <c r="N363" t="str">
        <f>_xlfn.XLOOKUP(E363,tPacotes[ID_Pacote],tPacotes[Categoria])</f>
        <v>Natureza</v>
      </c>
      <c r="O363" t="str">
        <f>_xlfn.XLOOKUP(D363,tClientes[ID_Cliente],tClientes[UF])</f>
        <v>SP</v>
      </c>
    </row>
    <row r="364" spans="1:15" x14ac:dyDescent="0.3">
      <c r="A364">
        <v>363</v>
      </c>
      <c r="B364" s="3">
        <v>45844</v>
      </c>
      <c r="C364" s="3">
        <v>45854</v>
      </c>
      <c r="D364">
        <v>76</v>
      </c>
      <c r="E364">
        <v>1</v>
      </c>
      <c r="F364">
        <v>3</v>
      </c>
      <c r="G364" s="2">
        <v>9600</v>
      </c>
      <c r="H364" s="4">
        <v>0</v>
      </c>
      <c r="I364" s="2">
        <v>9600</v>
      </c>
      <c r="J364" t="s">
        <v>253</v>
      </c>
      <c r="K364" t="s">
        <v>254</v>
      </c>
      <c r="L364">
        <v>5</v>
      </c>
      <c r="M364" t="str">
        <f>_xlfn.XLOOKUP(E364,tPacotes[ID_Pacote],tPacotes[Pacote])</f>
        <v>Nordeste Encantado</v>
      </c>
      <c r="N364" t="str">
        <f>_xlfn.XLOOKUP(E364,tPacotes[ID_Pacote],tPacotes[Categoria])</f>
        <v>Praia</v>
      </c>
      <c r="O364" t="str">
        <f>_xlfn.XLOOKUP(D364,tClientes[ID_Cliente],tClientes[UF])</f>
        <v>DF</v>
      </c>
    </row>
    <row r="365" spans="1:15" x14ac:dyDescent="0.3">
      <c r="A365">
        <v>364</v>
      </c>
      <c r="B365" s="3">
        <v>45845</v>
      </c>
      <c r="C365" s="3">
        <v>45890</v>
      </c>
      <c r="D365">
        <v>84</v>
      </c>
      <c r="E365">
        <v>14</v>
      </c>
      <c r="F365">
        <v>4</v>
      </c>
      <c r="G365" s="2">
        <v>11600</v>
      </c>
      <c r="H365" s="4">
        <v>0</v>
      </c>
      <c r="I365" s="2">
        <v>11600</v>
      </c>
      <c r="J365" t="s">
        <v>253</v>
      </c>
      <c r="K365" t="s">
        <v>254</v>
      </c>
      <c r="L365">
        <v>5</v>
      </c>
      <c r="M365" t="str">
        <f>_xlfn.XLOOKUP(E365,tPacotes[ID_Pacote],tPacotes[Pacote])</f>
        <v>Lençóis Maranhenses</v>
      </c>
      <c r="N365" t="str">
        <f>_xlfn.XLOOKUP(E365,tPacotes[ID_Pacote],tPacotes[Categoria])</f>
        <v>Natureza</v>
      </c>
      <c r="O365" t="str">
        <f>_xlfn.XLOOKUP(D365,tClientes[ID_Cliente],tClientes[UF])</f>
        <v>RS</v>
      </c>
    </row>
    <row r="366" spans="1:15" x14ac:dyDescent="0.3">
      <c r="A366">
        <v>365</v>
      </c>
      <c r="B366" s="3">
        <v>45846</v>
      </c>
      <c r="C366" s="3">
        <v>45859</v>
      </c>
      <c r="D366">
        <v>170</v>
      </c>
      <c r="E366">
        <v>8</v>
      </c>
      <c r="F366">
        <v>3</v>
      </c>
      <c r="G366" s="2">
        <v>17700</v>
      </c>
      <c r="H366" s="4">
        <v>0</v>
      </c>
      <c r="I366" s="2">
        <v>17700</v>
      </c>
      <c r="J366" t="s">
        <v>255</v>
      </c>
      <c r="K366" t="s">
        <v>254</v>
      </c>
      <c r="L366">
        <v>5</v>
      </c>
      <c r="M366" t="str">
        <f>_xlfn.XLOOKUP(E366,tPacotes[ID_Pacote],tPacotes[Pacote])</f>
        <v>Santiago e Neve</v>
      </c>
      <c r="N366" t="str">
        <f>_xlfn.XLOOKUP(E366,tPacotes[ID_Pacote],tPacotes[Categoria])</f>
        <v>Inverno</v>
      </c>
      <c r="O366" t="str">
        <f>_xlfn.XLOOKUP(D366,tClientes[ID_Cliente],tClientes[UF])</f>
        <v>SP</v>
      </c>
    </row>
    <row r="367" spans="1:15" x14ac:dyDescent="0.3">
      <c r="A367">
        <v>366</v>
      </c>
      <c r="B367" s="3">
        <v>45846</v>
      </c>
      <c r="C367" s="3">
        <v>45902</v>
      </c>
      <c r="D367">
        <v>45</v>
      </c>
      <c r="E367">
        <v>8</v>
      </c>
      <c r="F367">
        <v>3</v>
      </c>
      <c r="G367" s="2">
        <v>17700</v>
      </c>
      <c r="H367" s="4">
        <v>0.1</v>
      </c>
      <c r="I367" s="2">
        <v>15930</v>
      </c>
      <c r="J367" t="s">
        <v>255</v>
      </c>
      <c r="K367" t="s">
        <v>254</v>
      </c>
      <c r="L367">
        <v>5</v>
      </c>
      <c r="M367" t="str">
        <f>_xlfn.XLOOKUP(E367,tPacotes[ID_Pacote],tPacotes[Pacote])</f>
        <v>Santiago e Neve</v>
      </c>
      <c r="N367" t="str">
        <f>_xlfn.XLOOKUP(E367,tPacotes[ID_Pacote],tPacotes[Categoria])</f>
        <v>Inverno</v>
      </c>
      <c r="O367" t="str">
        <f>_xlfn.XLOOKUP(D367,tClientes[ID_Cliente],tClientes[UF])</f>
        <v>SP</v>
      </c>
    </row>
    <row r="368" spans="1:15" x14ac:dyDescent="0.3">
      <c r="A368">
        <v>367</v>
      </c>
      <c r="B368" s="3">
        <v>45846</v>
      </c>
      <c r="C368" s="3">
        <v>45908</v>
      </c>
      <c r="D368">
        <v>113</v>
      </c>
      <c r="E368">
        <v>15</v>
      </c>
      <c r="F368">
        <v>3</v>
      </c>
      <c r="G368" s="2">
        <v>9300</v>
      </c>
      <c r="H368" s="4">
        <v>0.1</v>
      </c>
      <c r="I368" s="2">
        <v>8370</v>
      </c>
      <c r="J368" t="s">
        <v>257</v>
      </c>
      <c r="K368" t="s">
        <v>254</v>
      </c>
      <c r="L368">
        <v>5</v>
      </c>
      <c r="M368" t="str">
        <f>_xlfn.XLOOKUP(E368,tPacotes[ID_Pacote],tPacotes[Pacote])</f>
        <v>Jericoacoara</v>
      </c>
      <c r="N368" t="str">
        <f>_xlfn.XLOOKUP(E368,tPacotes[ID_Pacote],tPacotes[Categoria])</f>
        <v>Praia</v>
      </c>
      <c r="O368" t="str">
        <f>_xlfn.XLOOKUP(D368,tClientes[ID_Cliente],tClientes[UF])</f>
        <v>SP</v>
      </c>
    </row>
    <row r="369" spans="1:15" x14ac:dyDescent="0.3">
      <c r="A369">
        <v>368</v>
      </c>
      <c r="B369" s="3">
        <v>45846</v>
      </c>
      <c r="C369" s="3">
        <v>45907</v>
      </c>
      <c r="D369">
        <v>173</v>
      </c>
      <c r="E369">
        <v>6</v>
      </c>
      <c r="F369">
        <v>3</v>
      </c>
      <c r="G369" s="2">
        <v>6300</v>
      </c>
      <c r="H369" s="4">
        <v>0.1</v>
      </c>
      <c r="I369" s="2">
        <v>5670</v>
      </c>
      <c r="J369" t="s">
        <v>256</v>
      </c>
      <c r="K369" t="s">
        <v>254</v>
      </c>
      <c r="L369">
        <v>1</v>
      </c>
      <c r="M369" t="str">
        <f>_xlfn.XLOOKUP(E369,tPacotes[ID_Pacote],tPacotes[Pacote])</f>
        <v>Foz do Iguaçu</v>
      </c>
      <c r="N369" t="str">
        <f>_xlfn.XLOOKUP(E369,tPacotes[ID_Pacote],tPacotes[Categoria])</f>
        <v>Natureza</v>
      </c>
      <c r="O369" t="str">
        <f>_xlfn.XLOOKUP(D369,tClientes[ID_Cliente],tClientes[UF])</f>
        <v>BA</v>
      </c>
    </row>
    <row r="370" spans="1:15" x14ac:dyDescent="0.3">
      <c r="A370">
        <v>369</v>
      </c>
      <c r="B370" s="3">
        <v>45847</v>
      </c>
      <c r="C370" s="3">
        <v>46006</v>
      </c>
      <c r="D370">
        <v>76</v>
      </c>
      <c r="E370">
        <v>1</v>
      </c>
      <c r="F370">
        <v>3</v>
      </c>
      <c r="G370" s="2">
        <v>9600</v>
      </c>
      <c r="H370" s="4">
        <v>0</v>
      </c>
      <c r="I370" s="2">
        <v>9600</v>
      </c>
      <c r="J370" t="s">
        <v>255</v>
      </c>
      <c r="K370" t="s">
        <v>254</v>
      </c>
      <c r="L370">
        <v>5</v>
      </c>
      <c r="M370" t="str">
        <f>_xlfn.XLOOKUP(E370,tPacotes[ID_Pacote],tPacotes[Pacote])</f>
        <v>Nordeste Encantado</v>
      </c>
      <c r="N370" t="str">
        <f>_xlfn.XLOOKUP(E370,tPacotes[ID_Pacote],tPacotes[Categoria])</f>
        <v>Praia</v>
      </c>
      <c r="O370" t="str">
        <f>_xlfn.XLOOKUP(D370,tClientes[ID_Cliente],tClientes[UF])</f>
        <v>DF</v>
      </c>
    </row>
    <row r="371" spans="1:15" x14ac:dyDescent="0.3">
      <c r="A371">
        <v>370</v>
      </c>
      <c r="B371" s="3">
        <v>45847</v>
      </c>
      <c r="C371" s="3">
        <v>45985</v>
      </c>
      <c r="D371">
        <v>14</v>
      </c>
      <c r="E371">
        <v>1</v>
      </c>
      <c r="F371">
        <v>5</v>
      </c>
      <c r="G371" s="2">
        <v>16000</v>
      </c>
      <c r="H371" s="4">
        <v>0</v>
      </c>
      <c r="I371" s="2">
        <v>16000</v>
      </c>
      <c r="J371" t="s">
        <v>255</v>
      </c>
      <c r="K371" t="s">
        <v>254</v>
      </c>
      <c r="L371">
        <v>3</v>
      </c>
      <c r="M371" t="str">
        <f>_xlfn.XLOOKUP(E371,tPacotes[ID_Pacote],tPacotes[Pacote])</f>
        <v>Nordeste Encantado</v>
      </c>
      <c r="N371" t="str">
        <f>_xlfn.XLOOKUP(E371,tPacotes[ID_Pacote],tPacotes[Categoria])</f>
        <v>Praia</v>
      </c>
      <c r="O371" t="str">
        <f>_xlfn.XLOOKUP(D371,tClientes[ID_Cliente],tClientes[UF])</f>
        <v>PE</v>
      </c>
    </row>
    <row r="372" spans="1:15" x14ac:dyDescent="0.3">
      <c r="A372">
        <v>371</v>
      </c>
      <c r="B372" s="3">
        <v>45847</v>
      </c>
      <c r="C372" s="3">
        <v>45906</v>
      </c>
      <c r="D372">
        <v>120</v>
      </c>
      <c r="E372">
        <v>15</v>
      </c>
      <c r="F372">
        <v>2</v>
      </c>
      <c r="G372" s="2">
        <v>6200</v>
      </c>
      <c r="H372" s="4">
        <v>0</v>
      </c>
      <c r="I372" s="2">
        <v>6200</v>
      </c>
      <c r="J372" t="s">
        <v>255</v>
      </c>
      <c r="K372" t="s">
        <v>254</v>
      </c>
      <c r="L372">
        <v>5</v>
      </c>
      <c r="M372" t="str">
        <f>_xlfn.XLOOKUP(E372,tPacotes[ID_Pacote],tPacotes[Pacote])</f>
        <v>Jericoacoara</v>
      </c>
      <c r="N372" t="str">
        <f>_xlfn.XLOOKUP(E372,tPacotes[ID_Pacote],tPacotes[Categoria])</f>
        <v>Praia</v>
      </c>
      <c r="O372" t="str">
        <f>_xlfn.XLOOKUP(D372,tClientes[ID_Cliente],tClientes[UF])</f>
        <v>PR</v>
      </c>
    </row>
    <row r="373" spans="1:15" x14ac:dyDescent="0.3">
      <c r="A373">
        <v>372</v>
      </c>
      <c r="B373" s="3">
        <v>45847</v>
      </c>
      <c r="C373" s="3">
        <v>45863</v>
      </c>
      <c r="D373">
        <v>75</v>
      </c>
      <c r="E373">
        <v>10</v>
      </c>
      <c r="F373">
        <v>2</v>
      </c>
      <c r="G373" s="2">
        <v>23000</v>
      </c>
      <c r="H373" s="4">
        <v>0.05</v>
      </c>
      <c r="I373" s="2">
        <v>21850</v>
      </c>
      <c r="J373" t="s">
        <v>256</v>
      </c>
      <c r="K373" t="s">
        <v>254</v>
      </c>
      <c r="L373">
        <v>4</v>
      </c>
      <c r="M373" t="str">
        <f>_xlfn.XLOOKUP(E373,tPacotes[ID_Pacote],tPacotes[Pacote])</f>
        <v>Orlando Parques</v>
      </c>
      <c r="N373" t="str">
        <f>_xlfn.XLOOKUP(E373,tPacotes[ID_Pacote],tPacotes[Categoria])</f>
        <v>Parques</v>
      </c>
      <c r="O373" t="str">
        <f>_xlfn.XLOOKUP(D373,tClientes[ID_Cliente],tClientes[UF])</f>
        <v>RS</v>
      </c>
    </row>
    <row r="374" spans="1:15" x14ac:dyDescent="0.3">
      <c r="A374">
        <v>373</v>
      </c>
      <c r="B374" s="3">
        <v>45847</v>
      </c>
      <c r="C374" s="3">
        <v>45913</v>
      </c>
      <c r="D374">
        <v>54</v>
      </c>
      <c r="E374">
        <v>15</v>
      </c>
      <c r="F374">
        <v>1</v>
      </c>
      <c r="G374" s="2">
        <v>3100</v>
      </c>
      <c r="H374" s="4">
        <v>0</v>
      </c>
      <c r="I374" s="2">
        <v>3100</v>
      </c>
      <c r="J374" t="s">
        <v>257</v>
      </c>
      <c r="K374" t="s">
        <v>254</v>
      </c>
      <c r="L374">
        <v>5</v>
      </c>
      <c r="M374" t="str">
        <f>_xlfn.XLOOKUP(E374,tPacotes[ID_Pacote],tPacotes[Pacote])</f>
        <v>Jericoacoara</v>
      </c>
      <c r="N374" t="str">
        <f>_xlfn.XLOOKUP(E374,tPacotes[ID_Pacote],tPacotes[Categoria])</f>
        <v>Praia</v>
      </c>
      <c r="O374" t="str">
        <f>_xlfn.XLOOKUP(D374,tClientes[ID_Cliente],tClientes[UF])</f>
        <v>RJ</v>
      </c>
    </row>
    <row r="375" spans="1:15" x14ac:dyDescent="0.3">
      <c r="A375">
        <v>374</v>
      </c>
      <c r="B375" s="3">
        <v>45849</v>
      </c>
      <c r="C375" s="3">
        <v>45947</v>
      </c>
      <c r="D375">
        <v>94</v>
      </c>
      <c r="E375">
        <v>14</v>
      </c>
      <c r="F375">
        <v>2</v>
      </c>
      <c r="G375" s="2">
        <v>5800</v>
      </c>
      <c r="H375" s="4">
        <v>0.05</v>
      </c>
      <c r="I375" s="2">
        <v>5510</v>
      </c>
      <c r="J375" t="s">
        <v>257</v>
      </c>
      <c r="K375" t="s">
        <v>258</v>
      </c>
      <c r="M375" t="str">
        <f>_xlfn.XLOOKUP(E375,tPacotes[ID_Pacote],tPacotes[Pacote])</f>
        <v>Lençóis Maranhenses</v>
      </c>
      <c r="N375" t="str">
        <f>_xlfn.XLOOKUP(E375,tPacotes[ID_Pacote],tPacotes[Categoria])</f>
        <v>Natureza</v>
      </c>
      <c r="O375" t="str">
        <f>_xlfn.XLOOKUP(D375,tClientes[ID_Cliente],tClientes[UF])</f>
        <v>RJ</v>
      </c>
    </row>
    <row r="376" spans="1:15" x14ac:dyDescent="0.3">
      <c r="A376">
        <v>375</v>
      </c>
      <c r="B376" s="3">
        <v>45849</v>
      </c>
      <c r="C376" s="3">
        <v>45900</v>
      </c>
      <c r="D376">
        <v>135</v>
      </c>
      <c r="E376">
        <v>5</v>
      </c>
      <c r="F376">
        <v>2</v>
      </c>
      <c r="G376" s="2">
        <v>6800</v>
      </c>
      <c r="H376" s="4">
        <v>0.1</v>
      </c>
      <c r="I376" s="2">
        <v>6120</v>
      </c>
      <c r="J376" t="s">
        <v>253</v>
      </c>
      <c r="K376" t="s">
        <v>254</v>
      </c>
      <c r="L376">
        <v>5</v>
      </c>
      <c r="M376" t="str">
        <f>_xlfn.XLOOKUP(E376,tPacotes[ID_Pacote],tPacotes[Pacote])</f>
        <v>Bonito Aventura</v>
      </c>
      <c r="N376" t="str">
        <f>_xlfn.XLOOKUP(E376,tPacotes[ID_Pacote],tPacotes[Categoria])</f>
        <v>Aventura</v>
      </c>
      <c r="O376" t="str">
        <f>_xlfn.XLOOKUP(D376,tClientes[ID_Cliente],tClientes[UF])</f>
        <v>RJ</v>
      </c>
    </row>
    <row r="377" spans="1:15" x14ac:dyDescent="0.3">
      <c r="A377">
        <v>376</v>
      </c>
      <c r="B377" s="3">
        <v>45849</v>
      </c>
      <c r="C377" s="3">
        <v>45892</v>
      </c>
      <c r="D377">
        <v>127</v>
      </c>
      <c r="E377">
        <v>2</v>
      </c>
      <c r="F377">
        <v>4</v>
      </c>
      <c r="G377" s="2">
        <v>7200</v>
      </c>
      <c r="H377" s="4">
        <v>0.05</v>
      </c>
      <c r="I377" s="2">
        <v>6840</v>
      </c>
      <c r="J377" t="s">
        <v>255</v>
      </c>
      <c r="K377" t="s">
        <v>254</v>
      </c>
      <c r="L377">
        <v>5</v>
      </c>
      <c r="M377" t="str">
        <f>_xlfn.XLOOKUP(E377,tPacotes[ID_Pacote],tPacotes[Pacote])</f>
        <v>Rio Cidade Maravilhosa</v>
      </c>
      <c r="N377" t="str">
        <f>_xlfn.XLOOKUP(E377,tPacotes[ID_Pacote],tPacotes[Categoria])</f>
        <v>Cultural</v>
      </c>
      <c r="O377" t="str">
        <f>_xlfn.XLOOKUP(D377,tClientes[ID_Cliente],tClientes[UF])</f>
        <v>SP</v>
      </c>
    </row>
    <row r="378" spans="1:15" x14ac:dyDescent="0.3">
      <c r="A378">
        <v>377</v>
      </c>
      <c r="B378" s="3">
        <v>45849</v>
      </c>
      <c r="C378" s="3">
        <v>45864</v>
      </c>
      <c r="D378">
        <v>1</v>
      </c>
      <c r="E378">
        <v>1</v>
      </c>
      <c r="F378">
        <v>1</v>
      </c>
      <c r="G378" s="2">
        <v>3200</v>
      </c>
      <c r="H378" s="4">
        <v>0.1</v>
      </c>
      <c r="I378" s="2">
        <v>2880</v>
      </c>
      <c r="J378" t="s">
        <v>257</v>
      </c>
      <c r="K378" t="s">
        <v>254</v>
      </c>
      <c r="L378">
        <v>4</v>
      </c>
      <c r="M378" t="str">
        <f>_xlfn.XLOOKUP(E378,tPacotes[ID_Pacote],tPacotes[Pacote])</f>
        <v>Nordeste Encantado</v>
      </c>
      <c r="N378" t="str">
        <f>_xlfn.XLOOKUP(E378,tPacotes[ID_Pacote],tPacotes[Categoria])</f>
        <v>Praia</v>
      </c>
      <c r="O378" t="str">
        <f>_xlfn.XLOOKUP(D378,tClientes[ID_Cliente],tClientes[UF])</f>
        <v>DF</v>
      </c>
    </row>
    <row r="379" spans="1:15" x14ac:dyDescent="0.3">
      <c r="A379">
        <v>378</v>
      </c>
      <c r="B379" s="3">
        <v>45850</v>
      </c>
      <c r="C379" s="3">
        <v>45940</v>
      </c>
      <c r="D379">
        <v>163</v>
      </c>
      <c r="E379">
        <v>2</v>
      </c>
      <c r="F379">
        <v>2</v>
      </c>
      <c r="G379" s="2">
        <v>3600</v>
      </c>
      <c r="H379" s="4">
        <v>0.1</v>
      </c>
      <c r="I379" s="2">
        <v>3240</v>
      </c>
      <c r="J379" t="s">
        <v>253</v>
      </c>
      <c r="K379" t="s">
        <v>254</v>
      </c>
      <c r="L379">
        <v>5</v>
      </c>
      <c r="M379" t="str">
        <f>_xlfn.XLOOKUP(E379,tPacotes[ID_Pacote],tPacotes[Pacote])</f>
        <v>Rio Cidade Maravilhosa</v>
      </c>
      <c r="N379" t="str">
        <f>_xlfn.XLOOKUP(E379,tPacotes[ID_Pacote],tPacotes[Categoria])</f>
        <v>Cultural</v>
      </c>
      <c r="O379" t="str">
        <f>_xlfn.XLOOKUP(D379,tClientes[ID_Cliente],tClientes[UF])</f>
        <v>DF</v>
      </c>
    </row>
    <row r="380" spans="1:15" x14ac:dyDescent="0.3">
      <c r="A380">
        <v>379</v>
      </c>
      <c r="B380" s="3">
        <v>45850</v>
      </c>
      <c r="C380" s="3">
        <v>45869</v>
      </c>
      <c r="D380">
        <v>88</v>
      </c>
      <c r="E380">
        <v>5</v>
      </c>
      <c r="F380">
        <v>2</v>
      </c>
      <c r="G380" s="2">
        <v>6800</v>
      </c>
      <c r="H380" s="4">
        <v>0.15</v>
      </c>
      <c r="I380" s="2">
        <v>5780</v>
      </c>
      <c r="J380" t="s">
        <v>255</v>
      </c>
      <c r="K380" t="s">
        <v>254</v>
      </c>
      <c r="L380">
        <v>4</v>
      </c>
      <c r="M380" t="str">
        <f>_xlfn.XLOOKUP(E380,tPacotes[ID_Pacote],tPacotes[Pacote])</f>
        <v>Bonito Aventura</v>
      </c>
      <c r="N380" t="str">
        <f>_xlfn.XLOOKUP(E380,tPacotes[ID_Pacote],tPacotes[Categoria])</f>
        <v>Aventura</v>
      </c>
      <c r="O380" t="str">
        <f>_xlfn.XLOOKUP(D380,tClientes[ID_Cliente],tClientes[UF])</f>
        <v>RJ</v>
      </c>
    </row>
    <row r="381" spans="1:15" x14ac:dyDescent="0.3">
      <c r="A381">
        <v>380</v>
      </c>
      <c r="B381" s="3">
        <v>45850</v>
      </c>
      <c r="C381" s="3">
        <v>45984</v>
      </c>
      <c r="D381">
        <v>7</v>
      </c>
      <c r="E381">
        <v>14</v>
      </c>
      <c r="F381">
        <v>2</v>
      </c>
      <c r="G381" s="2">
        <v>5800</v>
      </c>
      <c r="H381" s="4">
        <v>0</v>
      </c>
      <c r="I381" s="2">
        <v>5800</v>
      </c>
      <c r="J381" t="s">
        <v>255</v>
      </c>
      <c r="K381" t="s">
        <v>254</v>
      </c>
      <c r="L381">
        <v>2</v>
      </c>
      <c r="M381" t="str">
        <f>_xlfn.XLOOKUP(E381,tPacotes[ID_Pacote],tPacotes[Pacote])</f>
        <v>Lençóis Maranhenses</v>
      </c>
      <c r="N381" t="str">
        <f>_xlfn.XLOOKUP(E381,tPacotes[ID_Pacote],tPacotes[Categoria])</f>
        <v>Natureza</v>
      </c>
      <c r="O381" t="str">
        <f>_xlfn.XLOOKUP(D381,tClientes[ID_Cliente],tClientes[UF])</f>
        <v>SP</v>
      </c>
    </row>
    <row r="382" spans="1:15" x14ac:dyDescent="0.3">
      <c r="A382">
        <v>381</v>
      </c>
      <c r="B382" s="3">
        <v>45850</v>
      </c>
      <c r="C382" s="3">
        <v>45898</v>
      </c>
      <c r="D382">
        <v>158</v>
      </c>
      <c r="E382">
        <v>15</v>
      </c>
      <c r="F382">
        <v>2</v>
      </c>
      <c r="G382" s="2">
        <v>6200</v>
      </c>
      <c r="H382" s="4">
        <v>0</v>
      </c>
      <c r="I382" s="2">
        <v>6200</v>
      </c>
      <c r="J382" t="s">
        <v>257</v>
      </c>
      <c r="K382" t="s">
        <v>254</v>
      </c>
      <c r="L382">
        <v>5</v>
      </c>
      <c r="M382" t="str">
        <f>_xlfn.XLOOKUP(E382,tPacotes[ID_Pacote],tPacotes[Pacote])</f>
        <v>Jericoacoara</v>
      </c>
      <c r="N382" t="str">
        <f>_xlfn.XLOOKUP(E382,tPacotes[ID_Pacote],tPacotes[Categoria])</f>
        <v>Praia</v>
      </c>
      <c r="O382" t="str">
        <f>_xlfn.XLOOKUP(D382,tClientes[ID_Cliente],tClientes[UF])</f>
        <v>RS</v>
      </c>
    </row>
    <row r="383" spans="1:15" x14ac:dyDescent="0.3">
      <c r="A383">
        <v>382</v>
      </c>
      <c r="B383" s="3">
        <v>45851</v>
      </c>
      <c r="C383" s="3">
        <v>45860</v>
      </c>
      <c r="D383">
        <v>119</v>
      </c>
      <c r="E383">
        <v>13</v>
      </c>
      <c r="F383">
        <v>1</v>
      </c>
      <c r="G383" s="2">
        <v>7300</v>
      </c>
      <c r="H383" s="4">
        <v>0.05</v>
      </c>
      <c r="I383" s="2">
        <v>6935</v>
      </c>
      <c r="J383" t="s">
        <v>253</v>
      </c>
      <c r="K383" t="s">
        <v>254</v>
      </c>
      <c r="L383">
        <v>4</v>
      </c>
      <c r="M383" t="str">
        <f>_xlfn.XLOOKUP(E383,tPacotes[ID_Pacote],tPacotes[Pacote])</f>
        <v>Machu Picchu</v>
      </c>
      <c r="N383" t="str">
        <f>_xlfn.XLOOKUP(E383,tPacotes[ID_Pacote],tPacotes[Categoria])</f>
        <v>Aventura</v>
      </c>
      <c r="O383" t="str">
        <f>_xlfn.XLOOKUP(D383,tClientes[ID_Cliente],tClientes[UF])</f>
        <v>SP</v>
      </c>
    </row>
    <row r="384" spans="1:15" x14ac:dyDescent="0.3">
      <c r="A384">
        <v>383</v>
      </c>
      <c r="B384" s="3">
        <v>45851</v>
      </c>
      <c r="C384" s="3">
        <v>45869</v>
      </c>
      <c r="D384">
        <v>184</v>
      </c>
      <c r="E384">
        <v>1</v>
      </c>
      <c r="F384">
        <v>5</v>
      </c>
      <c r="G384" s="2">
        <v>16000</v>
      </c>
      <c r="H384" s="4">
        <v>0.15</v>
      </c>
      <c r="I384" s="2">
        <v>13600</v>
      </c>
      <c r="J384" t="s">
        <v>255</v>
      </c>
      <c r="K384" t="s">
        <v>254</v>
      </c>
      <c r="L384">
        <v>5</v>
      </c>
      <c r="M384" t="str">
        <f>_xlfn.XLOOKUP(E384,tPacotes[ID_Pacote],tPacotes[Pacote])</f>
        <v>Nordeste Encantado</v>
      </c>
      <c r="N384" t="str">
        <f>_xlfn.XLOOKUP(E384,tPacotes[ID_Pacote],tPacotes[Categoria])</f>
        <v>Praia</v>
      </c>
      <c r="O384" t="str">
        <f>_xlfn.XLOOKUP(D384,tClientes[ID_Cliente],tClientes[UF])</f>
        <v>SP</v>
      </c>
    </row>
    <row r="385" spans="1:15" x14ac:dyDescent="0.3">
      <c r="A385">
        <v>384</v>
      </c>
      <c r="B385" s="3">
        <v>45851</v>
      </c>
      <c r="C385" s="3">
        <v>45936</v>
      </c>
      <c r="D385">
        <v>48</v>
      </c>
      <c r="E385">
        <v>1</v>
      </c>
      <c r="F385">
        <v>2</v>
      </c>
      <c r="G385" s="2">
        <v>6400</v>
      </c>
      <c r="H385" s="4">
        <v>0.1</v>
      </c>
      <c r="I385" s="2">
        <v>5760</v>
      </c>
      <c r="J385" t="s">
        <v>257</v>
      </c>
      <c r="K385" t="s">
        <v>254</v>
      </c>
      <c r="L385">
        <v>4</v>
      </c>
      <c r="M385" t="str">
        <f>_xlfn.XLOOKUP(E385,tPacotes[ID_Pacote],tPacotes[Pacote])</f>
        <v>Nordeste Encantado</v>
      </c>
      <c r="N385" t="str">
        <f>_xlfn.XLOOKUP(E385,tPacotes[ID_Pacote],tPacotes[Categoria])</f>
        <v>Praia</v>
      </c>
      <c r="O385" t="str">
        <f>_xlfn.XLOOKUP(D385,tClientes[ID_Cliente],tClientes[UF])</f>
        <v>SP</v>
      </c>
    </row>
    <row r="386" spans="1:15" x14ac:dyDescent="0.3">
      <c r="A386">
        <v>385</v>
      </c>
      <c r="B386" s="3">
        <v>45851</v>
      </c>
      <c r="C386" s="3">
        <v>45935</v>
      </c>
      <c r="D386">
        <v>26</v>
      </c>
      <c r="E386">
        <v>13</v>
      </c>
      <c r="F386">
        <v>4</v>
      </c>
      <c r="G386" s="2">
        <v>29200</v>
      </c>
      <c r="H386" s="4">
        <v>0.1</v>
      </c>
      <c r="I386" s="2">
        <v>26280</v>
      </c>
      <c r="J386" t="s">
        <v>253</v>
      </c>
      <c r="K386" t="s">
        <v>254</v>
      </c>
      <c r="L386">
        <v>5</v>
      </c>
      <c r="M386" t="str">
        <f>_xlfn.XLOOKUP(E386,tPacotes[ID_Pacote],tPacotes[Pacote])</f>
        <v>Machu Picchu</v>
      </c>
      <c r="N386" t="str">
        <f>_xlfn.XLOOKUP(E386,tPacotes[ID_Pacote],tPacotes[Categoria])</f>
        <v>Aventura</v>
      </c>
      <c r="O386" t="str">
        <f>_xlfn.XLOOKUP(D386,tClientes[ID_Cliente],tClientes[UF])</f>
        <v>SP</v>
      </c>
    </row>
    <row r="387" spans="1:15" x14ac:dyDescent="0.3">
      <c r="A387">
        <v>386</v>
      </c>
      <c r="B387" s="3">
        <v>45851</v>
      </c>
      <c r="C387" s="3">
        <v>45925</v>
      </c>
      <c r="D387">
        <v>33</v>
      </c>
      <c r="E387">
        <v>11</v>
      </c>
      <c r="F387">
        <v>2</v>
      </c>
      <c r="G387" s="2">
        <v>31600</v>
      </c>
      <c r="H387" s="4">
        <v>0</v>
      </c>
      <c r="I387" s="2">
        <v>31600</v>
      </c>
      <c r="J387" t="s">
        <v>253</v>
      </c>
      <c r="K387" t="s">
        <v>254</v>
      </c>
      <c r="L387">
        <v>4</v>
      </c>
      <c r="M387" t="str">
        <f>_xlfn.XLOOKUP(E387,tPacotes[ID_Pacote],tPacotes[Pacote])</f>
        <v>Paris e Londres</v>
      </c>
      <c r="N387" t="str">
        <f>_xlfn.XLOOKUP(E387,tPacotes[ID_Pacote],tPacotes[Categoria])</f>
        <v>Cultural</v>
      </c>
      <c r="O387" t="str">
        <f>_xlfn.XLOOKUP(D387,tClientes[ID_Cliente],tClientes[UF])</f>
        <v>PR</v>
      </c>
    </row>
    <row r="388" spans="1:15" x14ac:dyDescent="0.3">
      <c r="A388">
        <v>387</v>
      </c>
      <c r="B388" s="3">
        <v>45851</v>
      </c>
      <c r="C388" s="3">
        <v>45903</v>
      </c>
      <c r="D388">
        <v>95</v>
      </c>
      <c r="E388">
        <v>13</v>
      </c>
      <c r="F388">
        <v>4</v>
      </c>
      <c r="G388" s="2">
        <v>29200</v>
      </c>
      <c r="H388" s="4">
        <v>0.05</v>
      </c>
      <c r="I388" s="2">
        <v>27740</v>
      </c>
      <c r="J388" t="s">
        <v>253</v>
      </c>
      <c r="K388" t="s">
        <v>258</v>
      </c>
      <c r="M388" t="str">
        <f>_xlfn.XLOOKUP(E388,tPacotes[ID_Pacote],tPacotes[Pacote])</f>
        <v>Machu Picchu</v>
      </c>
      <c r="N388" t="str">
        <f>_xlfn.XLOOKUP(E388,tPacotes[ID_Pacote],tPacotes[Categoria])</f>
        <v>Aventura</v>
      </c>
      <c r="O388" t="str">
        <f>_xlfn.XLOOKUP(D388,tClientes[ID_Cliente],tClientes[UF])</f>
        <v>PR</v>
      </c>
    </row>
    <row r="389" spans="1:15" x14ac:dyDescent="0.3">
      <c r="A389">
        <v>388</v>
      </c>
      <c r="B389" s="3">
        <v>45854</v>
      </c>
      <c r="C389" s="3">
        <v>45870</v>
      </c>
      <c r="D389">
        <v>60</v>
      </c>
      <c r="E389">
        <v>9</v>
      </c>
      <c r="F389">
        <v>1</v>
      </c>
      <c r="G389" s="2">
        <v>8900</v>
      </c>
      <c r="H389" s="4">
        <v>0</v>
      </c>
      <c r="I389" s="2">
        <v>8900</v>
      </c>
      <c r="J389" t="s">
        <v>253</v>
      </c>
      <c r="K389" t="s">
        <v>254</v>
      </c>
      <c r="L389">
        <v>4</v>
      </c>
      <c r="M389" t="str">
        <f>_xlfn.XLOOKUP(E389,tPacotes[ID_Pacote],tPacotes[Pacote])</f>
        <v>Cancún All Inclusive</v>
      </c>
      <c r="N389" t="str">
        <f>_xlfn.XLOOKUP(E389,tPacotes[ID_Pacote],tPacotes[Categoria])</f>
        <v>Praia</v>
      </c>
      <c r="O389" t="str">
        <f>_xlfn.XLOOKUP(D389,tClientes[ID_Cliente],tClientes[UF])</f>
        <v>PR</v>
      </c>
    </row>
    <row r="390" spans="1:15" x14ac:dyDescent="0.3">
      <c r="A390">
        <v>389</v>
      </c>
      <c r="B390" s="3">
        <v>45854</v>
      </c>
      <c r="C390" s="3">
        <v>45885</v>
      </c>
      <c r="D390">
        <v>83</v>
      </c>
      <c r="E390">
        <v>15</v>
      </c>
      <c r="F390">
        <v>4</v>
      </c>
      <c r="G390" s="2">
        <v>12400</v>
      </c>
      <c r="H390" s="4">
        <v>0</v>
      </c>
      <c r="I390" s="2">
        <v>12400</v>
      </c>
      <c r="J390" t="s">
        <v>253</v>
      </c>
      <c r="K390" t="s">
        <v>254</v>
      </c>
      <c r="L390">
        <v>3</v>
      </c>
      <c r="M390" t="str">
        <f>_xlfn.XLOOKUP(E390,tPacotes[ID_Pacote],tPacotes[Pacote])</f>
        <v>Jericoacoara</v>
      </c>
      <c r="N390" t="str">
        <f>_xlfn.XLOOKUP(E390,tPacotes[ID_Pacote],tPacotes[Categoria])</f>
        <v>Praia</v>
      </c>
      <c r="O390" t="str">
        <f>_xlfn.XLOOKUP(D390,tClientes[ID_Cliente],tClientes[UF])</f>
        <v>SP</v>
      </c>
    </row>
    <row r="391" spans="1:15" x14ac:dyDescent="0.3">
      <c r="A391">
        <v>390</v>
      </c>
      <c r="B391" s="3">
        <v>45854</v>
      </c>
      <c r="C391" s="3">
        <v>45905</v>
      </c>
      <c r="D391">
        <v>67</v>
      </c>
      <c r="E391">
        <v>15</v>
      </c>
      <c r="F391">
        <v>2</v>
      </c>
      <c r="G391" s="2">
        <v>6200</v>
      </c>
      <c r="H391" s="4">
        <v>0</v>
      </c>
      <c r="I391" s="2">
        <v>6200</v>
      </c>
      <c r="J391" t="s">
        <v>253</v>
      </c>
      <c r="K391" t="s">
        <v>254</v>
      </c>
      <c r="L391">
        <v>4</v>
      </c>
      <c r="M391" t="str">
        <f>_xlfn.XLOOKUP(E391,tPacotes[ID_Pacote],tPacotes[Pacote])</f>
        <v>Jericoacoara</v>
      </c>
      <c r="N391" t="str">
        <f>_xlfn.XLOOKUP(E391,tPacotes[ID_Pacote],tPacotes[Categoria])</f>
        <v>Praia</v>
      </c>
      <c r="O391" t="str">
        <f>_xlfn.XLOOKUP(D391,tClientes[ID_Cliente],tClientes[UF])</f>
        <v>RJ</v>
      </c>
    </row>
    <row r="392" spans="1:15" x14ac:dyDescent="0.3">
      <c r="A392">
        <v>391</v>
      </c>
      <c r="B392" s="3">
        <v>45855</v>
      </c>
      <c r="C392" s="3">
        <v>45896</v>
      </c>
      <c r="D392">
        <v>144</v>
      </c>
      <c r="E392">
        <v>1</v>
      </c>
      <c r="F392">
        <v>2</v>
      </c>
      <c r="G392" s="2">
        <v>6400</v>
      </c>
      <c r="H392" s="4">
        <v>0.05</v>
      </c>
      <c r="I392" s="2">
        <v>6080</v>
      </c>
      <c r="J392" t="s">
        <v>253</v>
      </c>
      <c r="K392" t="s">
        <v>254</v>
      </c>
      <c r="L392">
        <v>4</v>
      </c>
      <c r="M392" t="str">
        <f>_xlfn.XLOOKUP(E392,tPacotes[ID_Pacote],tPacotes[Pacote])</f>
        <v>Nordeste Encantado</v>
      </c>
      <c r="N392" t="str">
        <f>_xlfn.XLOOKUP(E392,tPacotes[ID_Pacote],tPacotes[Categoria])</f>
        <v>Praia</v>
      </c>
      <c r="O392" t="str">
        <f>_xlfn.XLOOKUP(D392,tClientes[ID_Cliente],tClientes[UF])</f>
        <v>DF</v>
      </c>
    </row>
    <row r="393" spans="1:15" x14ac:dyDescent="0.3">
      <c r="A393">
        <v>392</v>
      </c>
      <c r="B393" s="3">
        <v>45855</v>
      </c>
      <c r="C393" s="3">
        <v>45866</v>
      </c>
      <c r="D393">
        <v>152</v>
      </c>
      <c r="E393">
        <v>6</v>
      </c>
      <c r="F393">
        <v>4</v>
      </c>
      <c r="G393" s="2">
        <v>8400</v>
      </c>
      <c r="H393" s="4">
        <v>0.05</v>
      </c>
      <c r="I393" s="2">
        <v>7980</v>
      </c>
      <c r="J393" t="s">
        <v>255</v>
      </c>
      <c r="K393" t="s">
        <v>254</v>
      </c>
      <c r="L393">
        <v>5</v>
      </c>
      <c r="M393" t="str">
        <f>_xlfn.XLOOKUP(E393,tPacotes[ID_Pacote],tPacotes[Pacote])</f>
        <v>Foz do Iguaçu</v>
      </c>
      <c r="N393" t="str">
        <f>_xlfn.XLOOKUP(E393,tPacotes[ID_Pacote],tPacotes[Categoria])</f>
        <v>Natureza</v>
      </c>
      <c r="O393" t="str">
        <f>_xlfn.XLOOKUP(D393,tClientes[ID_Cliente],tClientes[UF])</f>
        <v>SP</v>
      </c>
    </row>
    <row r="394" spans="1:15" x14ac:dyDescent="0.3">
      <c r="A394">
        <v>393</v>
      </c>
      <c r="B394" s="3">
        <v>45855</v>
      </c>
      <c r="C394" s="3">
        <v>45873</v>
      </c>
      <c r="D394">
        <v>129</v>
      </c>
      <c r="E394">
        <v>6</v>
      </c>
      <c r="F394">
        <v>2</v>
      </c>
      <c r="G394" s="2">
        <v>4200</v>
      </c>
      <c r="H394" s="4">
        <v>0.05</v>
      </c>
      <c r="I394" s="2">
        <v>3990</v>
      </c>
      <c r="J394" t="s">
        <v>255</v>
      </c>
      <c r="K394" t="s">
        <v>254</v>
      </c>
      <c r="L394">
        <v>4</v>
      </c>
      <c r="M394" t="str">
        <f>_xlfn.XLOOKUP(E394,tPacotes[ID_Pacote],tPacotes[Pacote])</f>
        <v>Foz do Iguaçu</v>
      </c>
      <c r="N394" t="str">
        <f>_xlfn.XLOOKUP(E394,tPacotes[ID_Pacote],tPacotes[Categoria])</f>
        <v>Natureza</v>
      </c>
      <c r="O394" t="str">
        <f>_xlfn.XLOOKUP(D394,tClientes[ID_Cliente],tClientes[UF])</f>
        <v>MG</v>
      </c>
    </row>
    <row r="395" spans="1:15" x14ac:dyDescent="0.3">
      <c r="A395">
        <v>394</v>
      </c>
      <c r="B395" s="3">
        <v>45855</v>
      </c>
      <c r="C395" s="3">
        <v>45869</v>
      </c>
      <c r="D395">
        <v>80</v>
      </c>
      <c r="E395">
        <v>15</v>
      </c>
      <c r="F395">
        <v>1</v>
      </c>
      <c r="G395" s="2">
        <v>3100</v>
      </c>
      <c r="H395" s="4">
        <v>0.15</v>
      </c>
      <c r="I395" s="2">
        <v>2635</v>
      </c>
      <c r="J395" t="s">
        <v>253</v>
      </c>
      <c r="K395" t="s">
        <v>258</v>
      </c>
      <c r="M395" t="str">
        <f>_xlfn.XLOOKUP(E395,tPacotes[ID_Pacote],tPacotes[Pacote])</f>
        <v>Jericoacoara</v>
      </c>
      <c r="N395" t="str">
        <f>_xlfn.XLOOKUP(E395,tPacotes[ID_Pacote],tPacotes[Categoria])</f>
        <v>Praia</v>
      </c>
      <c r="O395" t="str">
        <f>_xlfn.XLOOKUP(D395,tClientes[ID_Cliente],tClientes[UF])</f>
        <v>SP</v>
      </c>
    </row>
    <row r="396" spans="1:15" x14ac:dyDescent="0.3">
      <c r="A396">
        <v>395</v>
      </c>
      <c r="B396" s="3">
        <v>45855</v>
      </c>
      <c r="C396" s="3">
        <v>45917</v>
      </c>
      <c r="D396">
        <v>105</v>
      </c>
      <c r="E396">
        <v>14</v>
      </c>
      <c r="F396">
        <v>2</v>
      </c>
      <c r="G396" s="2">
        <v>5800</v>
      </c>
      <c r="H396" s="4">
        <v>0</v>
      </c>
      <c r="I396" s="2">
        <v>5800</v>
      </c>
      <c r="J396" t="s">
        <v>257</v>
      </c>
      <c r="K396" t="s">
        <v>254</v>
      </c>
      <c r="L396">
        <v>3</v>
      </c>
      <c r="M396" t="str">
        <f>_xlfn.XLOOKUP(E396,tPacotes[ID_Pacote],tPacotes[Pacote])</f>
        <v>Lençóis Maranhenses</v>
      </c>
      <c r="N396" t="str">
        <f>_xlfn.XLOOKUP(E396,tPacotes[ID_Pacote],tPacotes[Categoria])</f>
        <v>Natureza</v>
      </c>
      <c r="O396" t="str">
        <f>_xlfn.XLOOKUP(D396,tClientes[ID_Cliente],tClientes[UF])</f>
        <v>BA</v>
      </c>
    </row>
    <row r="397" spans="1:15" x14ac:dyDescent="0.3">
      <c r="A397">
        <v>396</v>
      </c>
      <c r="B397" s="3">
        <v>45856</v>
      </c>
      <c r="C397" s="3">
        <v>45877</v>
      </c>
      <c r="D397">
        <v>182</v>
      </c>
      <c r="E397">
        <v>7</v>
      </c>
      <c r="F397">
        <v>2</v>
      </c>
      <c r="G397" s="2">
        <v>8400</v>
      </c>
      <c r="H397" s="4">
        <v>0</v>
      </c>
      <c r="I397" s="2">
        <v>8400</v>
      </c>
      <c r="J397" t="s">
        <v>255</v>
      </c>
      <c r="K397" t="s">
        <v>254</v>
      </c>
      <c r="L397">
        <v>4</v>
      </c>
      <c r="M397" t="str">
        <f>_xlfn.XLOOKUP(E397,tPacotes[ID_Pacote],tPacotes[Pacote])</f>
        <v>Buenos Aires Clássica</v>
      </c>
      <c r="N397" t="str">
        <f>_xlfn.XLOOKUP(E397,tPacotes[ID_Pacote],tPacotes[Categoria])</f>
        <v>Cultural</v>
      </c>
      <c r="O397" t="str">
        <f>_xlfn.XLOOKUP(D397,tClientes[ID_Cliente],tClientes[UF])</f>
        <v>MG</v>
      </c>
    </row>
    <row r="398" spans="1:15" x14ac:dyDescent="0.3">
      <c r="A398">
        <v>397</v>
      </c>
      <c r="B398" s="3">
        <v>45857</v>
      </c>
      <c r="C398" s="3">
        <v>45948</v>
      </c>
      <c r="D398">
        <v>154</v>
      </c>
      <c r="E398">
        <v>3</v>
      </c>
      <c r="F398">
        <v>2</v>
      </c>
      <c r="G398" s="2">
        <v>5200</v>
      </c>
      <c r="H398" s="4">
        <v>0</v>
      </c>
      <c r="I398" s="2">
        <v>5200</v>
      </c>
      <c r="J398" t="s">
        <v>253</v>
      </c>
      <c r="K398" t="s">
        <v>254</v>
      </c>
      <c r="L398">
        <v>4</v>
      </c>
      <c r="M398" t="str">
        <f>_xlfn.XLOOKUP(E398,tPacotes[ID_Pacote],tPacotes[Pacote])</f>
        <v>Serra Gaúcha</v>
      </c>
      <c r="N398" t="str">
        <f>_xlfn.XLOOKUP(E398,tPacotes[ID_Pacote],tPacotes[Categoria])</f>
        <v>Inverno</v>
      </c>
      <c r="O398" t="str">
        <f>_xlfn.XLOOKUP(D398,tClientes[ID_Cliente],tClientes[UF])</f>
        <v>DF</v>
      </c>
    </row>
    <row r="399" spans="1:15" x14ac:dyDescent="0.3">
      <c r="A399">
        <v>398</v>
      </c>
      <c r="B399" s="3">
        <v>45857</v>
      </c>
      <c r="C399" s="3">
        <v>46001</v>
      </c>
      <c r="D399">
        <v>70</v>
      </c>
      <c r="E399">
        <v>10</v>
      </c>
      <c r="F399">
        <v>2</v>
      </c>
      <c r="G399" s="2">
        <v>23000</v>
      </c>
      <c r="H399" s="4">
        <v>0</v>
      </c>
      <c r="I399" s="2">
        <v>23000</v>
      </c>
      <c r="J399" t="s">
        <v>255</v>
      </c>
      <c r="K399" t="s">
        <v>254</v>
      </c>
      <c r="L399">
        <v>4</v>
      </c>
      <c r="M399" t="str">
        <f>_xlfn.XLOOKUP(E399,tPacotes[ID_Pacote],tPacotes[Pacote])</f>
        <v>Orlando Parques</v>
      </c>
      <c r="N399" t="str">
        <f>_xlfn.XLOOKUP(E399,tPacotes[ID_Pacote],tPacotes[Categoria])</f>
        <v>Parques</v>
      </c>
      <c r="O399" t="str">
        <f>_xlfn.XLOOKUP(D399,tClientes[ID_Cliente],tClientes[UF])</f>
        <v>MG</v>
      </c>
    </row>
    <row r="400" spans="1:15" x14ac:dyDescent="0.3">
      <c r="A400">
        <v>399</v>
      </c>
      <c r="B400" s="3">
        <v>45857</v>
      </c>
      <c r="C400" s="3">
        <v>45910</v>
      </c>
      <c r="D400">
        <v>123</v>
      </c>
      <c r="E400">
        <v>11</v>
      </c>
      <c r="F400">
        <v>4</v>
      </c>
      <c r="G400" s="2">
        <v>63200</v>
      </c>
      <c r="H400" s="4">
        <v>0</v>
      </c>
      <c r="I400" s="2">
        <v>63200</v>
      </c>
      <c r="J400" t="s">
        <v>253</v>
      </c>
      <c r="K400" t="s">
        <v>254</v>
      </c>
      <c r="L400">
        <v>3</v>
      </c>
      <c r="M400" t="str">
        <f>_xlfn.XLOOKUP(E400,tPacotes[ID_Pacote],tPacotes[Pacote])</f>
        <v>Paris e Londres</v>
      </c>
      <c r="N400" t="str">
        <f>_xlfn.XLOOKUP(E400,tPacotes[ID_Pacote],tPacotes[Categoria])</f>
        <v>Cultural</v>
      </c>
      <c r="O400" t="str">
        <f>_xlfn.XLOOKUP(D400,tClientes[ID_Cliente],tClientes[UF])</f>
        <v>PR</v>
      </c>
    </row>
    <row r="401" spans="1:15" x14ac:dyDescent="0.3">
      <c r="A401">
        <v>400</v>
      </c>
      <c r="B401" s="3">
        <v>45858</v>
      </c>
      <c r="C401" s="3">
        <v>45886</v>
      </c>
      <c r="D401">
        <v>66</v>
      </c>
      <c r="E401">
        <v>10</v>
      </c>
      <c r="F401">
        <v>2</v>
      </c>
      <c r="G401" s="2">
        <v>23000</v>
      </c>
      <c r="H401" s="4">
        <v>0.1</v>
      </c>
      <c r="I401" s="2">
        <v>20700</v>
      </c>
      <c r="J401" t="s">
        <v>255</v>
      </c>
      <c r="K401" t="s">
        <v>258</v>
      </c>
      <c r="M401" t="str">
        <f>_xlfn.XLOOKUP(E401,tPacotes[ID_Pacote],tPacotes[Pacote])</f>
        <v>Orlando Parques</v>
      </c>
      <c r="N401" t="str">
        <f>_xlfn.XLOOKUP(E401,tPacotes[ID_Pacote],tPacotes[Categoria])</f>
        <v>Parques</v>
      </c>
      <c r="O401" t="str">
        <f>_xlfn.XLOOKUP(D401,tClientes[ID_Cliente],tClientes[UF])</f>
        <v>BA</v>
      </c>
    </row>
    <row r="402" spans="1:15" x14ac:dyDescent="0.3">
      <c r="A402">
        <v>401</v>
      </c>
      <c r="B402" s="3">
        <v>45859</v>
      </c>
      <c r="C402" s="3">
        <v>45887</v>
      </c>
      <c r="D402">
        <v>80</v>
      </c>
      <c r="E402">
        <v>1</v>
      </c>
      <c r="F402">
        <v>2</v>
      </c>
      <c r="G402" s="2">
        <v>6400</v>
      </c>
      <c r="H402" s="4">
        <v>0</v>
      </c>
      <c r="I402" s="2">
        <v>6400</v>
      </c>
      <c r="J402" t="s">
        <v>257</v>
      </c>
      <c r="K402" t="s">
        <v>254</v>
      </c>
      <c r="L402">
        <v>2</v>
      </c>
      <c r="M402" t="str">
        <f>_xlfn.XLOOKUP(E402,tPacotes[ID_Pacote],tPacotes[Pacote])</f>
        <v>Nordeste Encantado</v>
      </c>
      <c r="N402" t="str">
        <f>_xlfn.XLOOKUP(E402,tPacotes[ID_Pacote],tPacotes[Categoria])</f>
        <v>Praia</v>
      </c>
      <c r="O402" t="str">
        <f>_xlfn.XLOOKUP(D402,tClientes[ID_Cliente],tClientes[UF])</f>
        <v>SP</v>
      </c>
    </row>
    <row r="403" spans="1:15" x14ac:dyDescent="0.3">
      <c r="A403">
        <v>402</v>
      </c>
      <c r="B403" s="3">
        <v>45860</v>
      </c>
      <c r="C403" s="3">
        <v>45946</v>
      </c>
      <c r="D403">
        <v>191</v>
      </c>
      <c r="E403">
        <v>11</v>
      </c>
      <c r="F403">
        <v>3</v>
      </c>
      <c r="G403" s="2">
        <v>47400</v>
      </c>
      <c r="H403" s="4">
        <v>0</v>
      </c>
      <c r="I403" s="2">
        <v>47400</v>
      </c>
      <c r="J403" t="s">
        <v>255</v>
      </c>
      <c r="K403" t="s">
        <v>254</v>
      </c>
      <c r="L403">
        <v>1</v>
      </c>
      <c r="M403" t="str">
        <f>_xlfn.XLOOKUP(E403,tPacotes[ID_Pacote],tPacotes[Pacote])</f>
        <v>Paris e Londres</v>
      </c>
      <c r="N403" t="str">
        <f>_xlfn.XLOOKUP(E403,tPacotes[ID_Pacote],tPacotes[Categoria])</f>
        <v>Cultural</v>
      </c>
      <c r="O403" t="str">
        <f>_xlfn.XLOOKUP(D403,tClientes[ID_Cliente],tClientes[UF])</f>
        <v>SP</v>
      </c>
    </row>
    <row r="404" spans="1:15" x14ac:dyDescent="0.3">
      <c r="A404">
        <v>403</v>
      </c>
      <c r="B404" s="3">
        <v>45860</v>
      </c>
      <c r="C404" s="3">
        <v>45871</v>
      </c>
      <c r="D404">
        <v>22</v>
      </c>
      <c r="E404">
        <v>3</v>
      </c>
      <c r="F404">
        <v>2</v>
      </c>
      <c r="G404" s="2">
        <v>5200</v>
      </c>
      <c r="H404" s="4">
        <v>0</v>
      </c>
      <c r="I404" s="2">
        <v>5200</v>
      </c>
      <c r="J404" t="s">
        <v>253</v>
      </c>
      <c r="K404" t="s">
        <v>258</v>
      </c>
      <c r="M404" t="str">
        <f>_xlfn.XLOOKUP(E404,tPacotes[ID_Pacote],tPacotes[Pacote])</f>
        <v>Serra Gaúcha</v>
      </c>
      <c r="N404" t="str">
        <f>_xlfn.XLOOKUP(E404,tPacotes[ID_Pacote],tPacotes[Categoria])</f>
        <v>Inverno</v>
      </c>
      <c r="O404" t="str">
        <f>_xlfn.XLOOKUP(D404,tClientes[ID_Cliente],tClientes[UF])</f>
        <v>SP</v>
      </c>
    </row>
    <row r="405" spans="1:15" x14ac:dyDescent="0.3">
      <c r="A405">
        <v>404</v>
      </c>
      <c r="B405" s="3">
        <v>45860</v>
      </c>
      <c r="C405" s="3">
        <v>45907</v>
      </c>
      <c r="D405">
        <v>125</v>
      </c>
      <c r="E405">
        <v>15</v>
      </c>
      <c r="F405">
        <v>3</v>
      </c>
      <c r="G405" s="2">
        <v>9300</v>
      </c>
      <c r="H405" s="4">
        <v>0</v>
      </c>
      <c r="I405" s="2">
        <v>9300</v>
      </c>
      <c r="J405" t="s">
        <v>257</v>
      </c>
      <c r="K405" t="s">
        <v>254</v>
      </c>
      <c r="L405">
        <v>2</v>
      </c>
      <c r="M405" t="str">
        <f>_xlfn.XLOOKUP(E405,tPacotes[ID_Pacote],tPacotes[Pacote])</f>
        <v>Jericoacoara</v>
      </c>
      <c r="N405" t="str">
        <f>_xlfn.XLOOKUP(E405,tPacotes[ID_Pacote],tPacotes[Categoria])</f>
        <v>Praia</v>
      </c>
      <c r="O405" t="str">
        <f>_xlfn.XLOOKUP(D405,tClientes[ID_Cliente],tClientes[UF])</f>
        <v>MG</v>
      </c>
    </row>
    <row r="406" spans="1:15" x14ac:dyDescent="0.3">
      <c r="A406">
        <v>405</v>
      </c>
      <c r="B406" s="3">
        <v>45860</v>
      </c>
      <c r="C406" s="3">
        <v>45884</v>
      </c>
      <c r="D406">
        <v>81</v>
      </c>
      <c r="E406">
        <v>7</v>
      </c>
      <c r="F406">
        <v>1</v>
      </c>
      <c r="G406" s="2">
        <v>4200</v>
      </c>
      <c r="H406" s="4">
        <v>0</v>
      </c>
      <c r="I406" s="2">
        <v>4200</v>
      </c>
      <c r="J406" t="s">
        <v>257</v>
      </c>
      <c r="K406" t="s">
        <v>254</v>
      </c>
      <c r="L406">
        <v>2</v>
      </c>
      <c r="M406" t="str">
        <f>_xlfn.XLOOKUP(E406,tPacotes[ID_Pacote],tPacotes[Pacote])</f>
        <v>Buenos Aires Clássica</v>
      </c>
      <c r="N406" t="str">
        <f>_xlfn.XLOOKUP(E406,tPacotes[ID_Pacote],tPacotes[Categoria])</f>
        <v>Cultural</v>
      </c>
      <c r="O406" t="str">
        <f>_xlfn.XLOOKUP(D406,tClientes[ID_Cliente],tClientes[UF])</f>
        <v>SP</v>
      </c>
    </row>
    <row r="407" spans="1:15" x14ac:dyDescent="0.3">
      <c r="A407">
        <v>406</v>
      </c>
      <c r="B407" s="3">
        <v>45860</v>
      </c>
      <c r="C407" s="3">
        <v>45875</v>
      </c>
      <c r="D407">
        <v>122</v>
      </c>
      <c r="E407">
        <v>8</v>
      </c>
      <c r="F407">
        <v>4</v>
      </c>
      <c r="G407" s="2">
        <v>23600</v>
      </c>
      <c r="H407" s="4">
        <v>0.1</v>
      </c>
      <c r="I407" s="2">
        <v>21240</v>
      </c>
      <c r="J407" t="s">
        <v>253</v>
      </c>
      <c r="K407" t="s">
        <v>254</v>
      </c>
      <c r="L407">
        <v>4</v>
      </c>
      <c r="M407" t="str">
        <f>_xlfn.XLOOKUP(E407,tPacotes[ID_Pacote],tPacotes[Pacote])</f>
        <v>Santiago e Neve</v>
      </c>
      <c r="N407" t="str">
        <f>_xlfn.XLOOKUP(E407,tPacotes[ID_Pacote],tPacotes[Categoria])</f>
        <v>Inverno</v>
      </c>
      <c r="O407" t="str">
        <f>_xlfn.XLOOKUP(D407,tClientes[ID_Cliente],tClientes[UF])</f>
        <v>PR</v>
      </c>
    </row>
    <row r="408" spans="1:15" x14ac:dyDescent="0.3">
      <c r="A408">
        <v>407</v>
      </c>
      <c r="B408" s="3">
        <v>45860</v>
      </c>
      <c r="C408" s="3">
        <v>45904</v>
      </c>
      <c r="D408">
        <v>38</v>
      </c>
      <c r="E408">
        <v>4</v>
      </c>
      <c r="F408">
        <v>2</v>
      </c>
      <c r="G408" s="2">
        <v>13800</v>
      </c>
      <c r="H408" s="4">
        <v>0</v>
      </c>
      <c r="I408" s="2">
        <v>13800</v>
      </c>
      <c r="J408" t="s">
        <v>257</v>
      </c>
      <c r="K408" t="s">
        <v>254</v>
      </c>
      <c r="L408">
        <v>5</v>
      </c>
      <c r="M408" t="str">
        <f>_xlfn.XLOOKUP(E408,tPacotes[ID_Pacote],tPacotes[Pacote])</f>
        <v>Fernando de Noronha</v>
      </c>
      <c r="N408" t="str">
        <f>_xlfn.XLOOKUP(E408,tPacotes[ID_Pacote],tPacotes[Categoria])</f>
        <v>Praia</v>
      </c>
      <c r="O408" t="str">
        <f>_xlfn.XLOOKUP(D408,tClientes[ID_Cliente],tClientes[UF])</f>
        <v>SP</v>
      </c>
    </row>
    <row r="409" spans="1:15" x14ac:dyDescent="0.3">
      <c r="A409">
        <v>408</v>
      </c>
      <c r="B409" s="3">
        <v>45861</v>
      </c>
      <c r="C409" s="3">
        <v>45888</v>
      </c>
      <c r="D409">
        <v>77</v>
      </c>
      <c r="E409">
        <v>9</v>
      </c>
      <c r="F409">
        <v>2</v>
      </c>
      <c r="G409" s="2">
        <v>17800</v>
      </c>
      <c r="H409" s="4">
        <v>0</v>
      </c>
      <c r="I409" s="2">
        <v>17800</v>
      </c>
      <c r="J409" t="s">
        <v>253</v>
      </c>
      <c r="K409" t="s">
        <v>254</v>
      </c>
      <c r="L409">
        <v>4</v>
      </c>
      <c r="M409" t="str">
        <f>_xlfn.XLOOKUP(E409,tPacotes[ID_Pacote],tPacotes[Pacote])</f>
        <v>Cancún All Inclusive</v>
      </c>
      <c r="N409" t="str">
        <f>_xlfn.XLOOKUP(E409,tPacotes[ID_Pacote],tPacotes[Categoria])</f>
        <v>Praia</v>
      </c>
      <c r="O409" t="str">
        <f>_xlfn.XLOOKUP(D409,tClientes[ID_Cliente],tClientes[UF])</f>
        <v>RJ</v>
      </c>
    </row>
    <row r="410" spans="1:15" x14ac:dyDescent="0.3">
      <c r="A410">
        <v>409</v>
      </c>
      <c r="B410" s="3">
        <v>45861</v>
      </c>
      <c r="C410" s="3">
        <v>45915</v>
      </c>
      <c r="D410">
        <v>86</v>
      </c>
      <c r="E410">
        <v>2</v>
      </c>
      <c r="F410">
        <v>2</v>
      </c>
      <c r="G410" s="2">
        <v>3600</v>
      </c>
      <c r="H410" s="4">
        <v>0.1</v>
      </c>
      <c r="I410" s="2">
        <v>3240</v>
      </c>
      <c r="J410" t="s">
        <v>255</v>
      </c>
      <c r="K410" t="s">
        <v>254</v>
      </c>
      <c r="L410">
        <v>5</v>
      </c>
      <c r="M410" t="str">
        <f>_xlfn.XLOOKUP(E410,tPacotes[ID_Pacote],tPacotes[Pacote])</f>
        <v>Rio Cidade Maravilhosa</v>
      </c>
      <c r="N410" t="str">
        <f>_xlfn.XLOOKUP(E410,tPacotes[ID_Pacote],tPacotes[Categoria])</f>
        <v>Cultural</v>
      </c>
      <c r="O410" t="str">
        <f>_xlfn.XLOOKUP(D410,tClientes[ID_Cliente],tClientes[UF])</f>
        <v>DF</v>
      </c>
    </row>
    <row r="411" spans="1:15" x14ac:dyDescent="0.3">
      <c r="A411">
        <v>410</v>
      </c>
      <c r="B411" s="3">
        <v>45861</v>
      </c>
      <c r="C411" s="3">
        <v>45921</v>
      </c>
      <c r="D411">
        <v>105</v>
      </c>
      <c r="E411">
        <v>2</v>
      </c>
      <c r="F411">
        <v>2</v>
      </c>
      <c r="G411" s="2">
        <v>3600</v>
      </c>
      <c r="H411" s="4">
        <v>0</v>
      </c>
      <c r="I411" s="2">
        <v>3600</v>
      </c>
      <c r="J411" t="s">
        <v>257</v>
      </c>
      <c r="K411" t="s">
        <v>254</v>
      </c>
      <c r="L411">
        <v>4</v>
      </c>
      <c r="M411" t="str">
        <f>_xlfn.XLOOKUP(E411,tPacotes[ID_Pacote],tPacotes[Pacote])</f>
        <v>Rio Cidade Maravilhosa</v>
      </c>
      <c r="N411" t="str">
        <f>_xlfn.XLOOKUP(E411,tPacotes[ID_Pacote],tPacotes[Categoria])</f>
        <v>Cultural</v>
      </c>
      <c r="O411" t="str">
        <f>_xlfn.XLOOKUP(D411,tClientes[ID_Cliente],tClientes[UF])</f>
        <v>BA</v>
      </c>
    </row>
    <row r="412" spans="1:15" x14ac:dyDescent="0.3">
      <c r="A412">
        <v>411</v>
      </c>
      <c r="B412" s="3">
        <v>45861</v>
      </c>
      <c r="C412" s="3">
        <v>45870</v>
      </c>
      <c r="D412">
        <v>177</v>
      </c>
      <c r="E412">
        <v>5</v>
      </c>
      <c r="F412">
        <v>3</v>
      </c>
      <c r="G412" s="2">
        <v>10200</v>
      </c>
      <c r="H412" s="4">
        <v>0</v>
      </c>
      <c r="I412" s="2">
        <v>10200</v>
      </c>
      <c r="J412" t="s">
        <v>253</v>
      </c>
      <c r="K412" t="s">
        <v>254</v>
      </c>
      <c r="L412">
        <v>5</v>
      </c>
      <c r="M412" t="str">
        <f>_xlfn.XLOOKUP(E412,tPacotes[ID_Pacote],tPacotes[Pacote])</f>
        <v>Bonito Aventura</v>
      </c>
      <c r="N412" t="str">
        <f>_xlfn.XLOOKUP(E412,tPacotes[ID_Pacote],tPacotes[Categoria])</f>
        <v>Aventura</v>
      </c>
      <c r="O412" t="str">
        <f>_xlfn.XLOOKUP(D412,tClientes[ID_Cliente],tClientes[UF])</f>
        <v>RJ</v>
      </c>
    </row>
    <row r="413" spans="1:15" x14ac:dyDescent="0.3">
      <c r="A413">
        <v>412</v>
      </c>
      <c r="B413" s="3">
        <v>45861</v>
      </c>
      <c r="C413" s="3">
        <v>45882</v>
      </c>
      <c r="D413">
        <v>180</v>
      </c>
      <c r="E413">
        <v>1</v>
      </c>
      <c r="F413">
        <v>1</v>
      </c>
      <c r="G413" s="2">
        <v>3200</v>
      </c>
      <c r="H413" s="4">
        <v>0</v>
      </c>
      <c r="I413" s="2">
        <v>3200</v>
      </c>
      <c r="J413" t="s">
        <v>255</v>
      </c>
      <c r="K413" t="s">
        <v>254</v>
      </c>
      <c r="L413">
        <v>5</v>
      </c>
      <c r="M413" t="str">
        <f>_xlfn.XLOOKUP(E413,tPacotes[ID_Pacote],tPacotes[Pacote])</f>
        <v>Nordeste Encantado</v>
      </c>
      <c r="N413" t="str">
        <f>_xlfn.XLOOKUP(E413,tPacotes[ID_Pacote],tPacotes[Categoria])</f>
        <v>Praia</v>
      </c>
      <c r="O413" t="str">
        <f>_xlfn.XLOOKUP(D413,tClientes[ID_Cliente],tClientes[UF])</f>
        <v>PR</v>
      </c>
    </row>
    <row r="414" spans="1:15" x14ac:dyDescent="0.3">
      <c r="A414">
        <v>413</v>
      </c>
      <c r="B414" s="3">
        <v>45861</v>
      </c>
      <c r="C414" s="3">
        <v>45876</v>
      </c>
      <c r="D414">
        <v>164</v>
      </c>
      <c r="E414">
        <v>6</v>
      </c>
      <c r="F414">
        <v>2</v>
      </c>
      <c r="G414" s="2">
        <v>4200</v>
      </c>
      <c r="H414" s="4">
        <v>0</v>
      </c>
      <c r="I414" s="2">
        <v>4200</v>
      </c>
      <c r="J414" t="s">
        <v>253</v>
      </c>
      <c r="K414" t="s">
        <v>254</v>
      </c>
      <c r="L414">
        <v>5</v>
      </c>
      <c r="M414" t="str">
        <f>_xlfn.XLOOKUP(E414,tPacotes[ID_Pacote],tPacotes[Pacote])</f>
        <v>Foz do Iguaçu</v>
      </c>
      <c r="N414" t="str">
        <f>_xlfn.XLOOKUP(E414,tPacotes[ID_Pacote],tPacotes[Categoria])</f>
        <v>Natureza</v>
      </c>
      <c r="O414" t="str">
        <f>_xlfn.XLOOKUP(D414,tClientes[ID_Cliente],tClientes[UF])</f>
        <v>RJ</v>
      </c>
    </row>
    <row r="415" spans="1:15" x14ac:dyDescent="0.3">
      <c r="A415">
        <v>414</v>
      </c>
      <c r="B415" s="3">
        <v>45861</v>
      </c>
      <c r="C415" s="3">
        <v>45888</v>
      </c>
      <c r="D415">
        <v>79</v>
      </c>
      <c r="E415">
        <v>3</v>
      </c>
      <c r="F415">
        <v>2</v>
      </c>
      <c r="G415" s="2">
        <v>5200</v>
      </c>
      <c r="H415" s="4">
        <v>0</v>
      </c>
      <c r="I415" s="2">
        <v>5200</v>
      </c>
      <c r="J415" t="s">
        <v>256</v>
      </c>
      <c r="K415" t="s">
        <v>258</v>
      </c>
      <c r="M415" t="str">
        <f>_xlfn.XLOOKUP(E415,tPacotes[ID_Pacote],tPacotes[Pacote])</f>
        <v>Serra Gaúcha</v>
      </c>
      <c r="N415" t="str">
        <f>_xlfn.XLOOKUP(E415,tPacotes[ID_Pacote],tPacotes[Categoria])</f>
        <v>Inverno</v>
      </c>
      <c r="O415" t="str">
        <f>_xlfn.XLOOKUP(D415,tClientes[ID_Cliente],tClientes[UF])</f>
        <v>RJ</v>
      </c>
    </row>
    <row r="416" spans="1:15" x14ac:dyDescent="0.3">
      <c r="A416">
        <v>415</v>
      </c>
      <c r="B416" s="3">
        <v>45861</v>
      </c>
      <c r="C416" s="3">
        <v>45929</v>
      </c>
      <c r="D416">
        <v>90</v>
      </c>
      <c r="E416">
        <v>6</v>
      </c>
      <c r="F416">
        <v>1</v>
      </c>
      <c r="G416" s="2">
        <v>2100</v>
      </c>
      <c r="H416" s="4">
        <v>0.1</v>
      </c>
      <c r="I416" s="2">
        <v>1890</v>
      </c>
      <c r="J416" t="s">
        <v>256</v>
      </c>
      <c r="K416" t="s">
        <v>254</v>
      </c>
      <c r="L416">
        <v>2</v>
      </c>
      <c r="M416" t="str">
        <f>_xlfn.XLOOKUP(E416,tPacotes[ID_Pacote],tPacotes[Pacote])</f>
        <v>Foz do Iguaçu</v>
      </c>
      <c r="N416" t="str">
        <f>_xlfn.XLOOKUP(E416,tPacotes[ID_Pacote],tPacotes[Categoria])</f>
        <v>Natureza</v>
      </c>
      <c r="O416" t="str">
        <f>_xlfn.XLOOKUP(D416,tClientes[ID_Cliente],tClientes[UF])</f>
        <v>RS</v>
      </c>
    </row>
    <row r="417" spans="1:15" x14ac:dyDescent="0.3">
      <c r="A417">
        <v>416</v>
      </c>
      <c r="B417" s="3">
        <v>45862</v>
      </c>
      <c r="C417" s="3">
        <v>45949</v>
      </c>
      <c r="D417">
        <v>26</v>
      </c>
      <c r="E417">
        <v>7</v>
      </c>
      <c r="F417">
        <v>2</v>
      </c>
      <c r="G417" s="2">
        <v>8400</v>
      </c>
      <c r="H417" s="4">
        <v>0.1</v>
      </c>
      <c r="I417" s="2">
        <v>7560</v>
      </c>
      <c r="J417" t="s">
        <v>253</v>
      </c>
      <c r="K417" t="s">
        <v>254</v>
      </c>
      <c r="L417">
        <v>4</v>
      </c>
      <c r="M417" t="str">
        <f>_xlfn.XLOOKUP(E417,tPacotes[ID_Pacote],tPacotes[Pacote])</f>
        <v>Buenos Aires Clássica</v>
      </c>
      <c r="N417" t="str">
        <f>_xlfn.XLOOKUP(E417,tPacotes[ID_Pacote],tPacotes[Categoria])</f>
        <v>Cultural</v>
      </c>
      <c r="O417" t="str">
        <f>_xlfn.XLOOKUP(D417,tClientes[ID_Cliente],tClientes[UF])</f>
        <v>SP</v>
      </c>
    </row>
    <row r="418" spans="1:15" x14ac:dyDescent="0.3">
      <c r="A418">
        <v>417</v>
      </c>
      <c r="B418" s="3">
        <v>45862</v>
      </c>
      <c r="C418" s="3">
        <v>45920</v>
      </c>
      <c r="D418">
        <v>124</v>
      </c>
      <c r="E418">
        <v>1</v>
      </c>
      <c r="F418">
        <v>2</v>
      </c>
      <c r="G418" s="2">
        <v>6400</v>
      </c>
      <c r="H418" s="4">
        <v>0</v>
      </c>
      <c r="I418" s="2">
        <v>6400</v>
      </c>
      <c r="J418" t="s">
        <v>253</v>
      </c>
      <c r="K418" t="s">
        <v>254</v>
      </c>
      <c r="L418">
        <v>4</v>
      </c>
      <c r="M418" t="str">
        <f>_xlfn.XLOOKUP(E418,tPacotes[ID_Pacote],tPacotes[Pacote])</f>
        <v>Nordeste Encantado</v>
      </c>
      <c r="N418" t="str">
        <f>_xlfn.XLOOKUP(E418,tPacotes[ID_Pacote],tPacotes[Categoria])</f>
        <v>Praia</v>
      </c>
      <c r="O418" t="str">
        <f>_xlfn.XLOOKUP(D418,tClientes[ID_Cliente],tClientes[UF])</f>
        <v>BA</v>
      </c>
    </row>
    <row r="419" spans="1:15" x14ac:dyDescent="0.3">
      <c r="A419">
        <v>418</v>
      </c>
      <c r="B419" s="3">
        <v>45863</v>
      </c>
      <c r="C419" s="3">
        <v>45921</v>
      </c>
      <c r="D419">
        <v>67</v>
      </c>
      <c r="E419">
        <v>1</v>
      </c>
      <c r="F419">
        <v>3</v>
      </c>
      <c r="G419" s="2">
        <v>9600</v>
      </c>
      <c r="H419" s="4">
        <v>0</v>
      </c>
      <c r="I419" s="2">
        <v>9600</v>
      </c>
      <c r="J419" t="s">
        <v>253</v>
      </c>
      <c r="K419" t="s">
        <v>254</v>
      </c>
      <c r="L419">
        <v>5</v>
      </c>
      <c r="M419" t="str">
        <f>_xlfn.XLOOKUP(E419,tPacotes[ID_Pacote],tPacotes[Pacote])</f>
        <v>Nordeste Encantado</v>
      </c>
      <c r="N419" t="str">
        <f>_xlfn.XLOOKUP(E419,tPacotes[ID_Pacote],tPacotes[Categoria])</f>
        <v>Praia</v>
      </c>
      <c r="O419" t="str">
        <f>_xlfn.XLOOKUP(D419,tClientes[ID_Cliente],tClientes[UF])</f>
        <v>RJ</v>
      </c>
    </row>
    <row r="420" spans="1:15" x14ac:dyDescent="0.3">
      <c r="A420">
        <v>419</v>
      </c>
      <c r="B420" s="3">
        <v>45863</v>
      </c>
      <c r="C420" s="3">
        <v>45899</v>
      </c>
      <c r="D420">
        <v>191</v>
      </c>
      <c r="E420">
        <v>11</v>
      </c>
      <c r="F420">
        <v>4</v>
      </c>
      <c r="G420" s="2">
        <v>63200</v>
      </c>
      <c r="H420" s="4">
        <v>0.05</v>
      </c>
      <c r="I420" s="2">
        <v>60040</v>
      </c>
      <c r="J420" t="s">
        <v>253</v>
      </c>
      <c r="K420" t="s">
        <v>254</v>
      </c>
      <c r="L420">
        <v>3</v>
      </c>
      <c r="M420" t="str">
        <f>_xlfn.XLOOKUP(E420,tPacotes[ID_Pacote],tPacotes[Pacote])</f>
        <v>Paris e Londres</v>
      </c>
      <c r="N420" t="str">
        <f>_xlfn.XLOOKUP(E420,tPacotes[ID_Pacote],tPacotes[Categoria])</f>
        <v>Cultural</v>
      </c>
      <c r="O420" t="str">
        <f>_xlfn.XLOOKUP(D420,tClientes[ID_Cliente],tClientes[UF])</f>
        <v>SP</v>
      </c>
    </row>
    <row r="421" spans="1:15" x14ac:dyDescent="0.3">
      <c r="A421">
        <v>420</v>
      </c>
      <c r="B421" s="3">
        <v>45864</v>
      </c>
      <c r="C421" s="3">
        <v>45879</v>
      </c>
      <c r="D421">
        <v>177</v>
      </c>
      <c r="E421">
        <v>2</v>
      </c>
      <c r="F421">
        <v>2</v>
      </c>
      <c r="G421" s="2">
        <v>3600</v>
      </c>
      <c r="H421" s="4">
        <v>0.05</v>
      </c>
      <c r="I421" s="2">
        <v>3420</v>
      </c>
      <c r="J421" t="s">
        <v>257</v>
      </c>
      <c r="K421" t="s">
        <v>254</v>
      </c>
      <c r="L421">
        <v>3</v>
      </c>
      <c r="M421" t="str">
        <f>_xlfn.XLOOKUP(E421,tPacotes[ID_Pacote],tPacotes[Pacote])</f>
        <v>Rio Cidade Maravilhosa</v>
      </c>
      <c r="N421" t="str">
        <f>_xlfn.XLOOKUP(E421,tPacotes[ID_Pacote],tPacotes[Categoria])</f>
        <v>Cultural</v>
      </c>
      <c r="O421" t="str">
        <f>_xlfn.XLOOKUP(D421,tClientes[ID_Cliente],tClientes[UF])</f>
        <v>RJ</v>
      </c>
    </row>
    <row r="422" spans="1:15" x14ac:dyDescent="0.3">
      <c r="A422">
        <v>421</v>
      </c>
      <c r="B422" s="3">
        <v>45865</v>
      </c>
      <c r="C422" s="3">
        <v>45898</v>
      </c>
      <c r="D422">
        <v>192</v>
      </c>
      <c r="E422">
        <v>15</v>
      </c>
      <c r="F422">
        <v>2</v>
      </c>
      <c r="G422" s="2">
        <v>6200</v>
      </c>
      <c r="H422" s="4">
        <v>0.1</v>
      </c>
      <c r="I422" s="2">
        <v>5580</v>
      </c>
      <c r="J422" t="s">
        <v>253</v>
      </c>
      <c r="K422" t="s">
        <v>254</v>
      </c>
      <c r="L422">
        <v>5</v>
      </c>
      <c r="M422" t="str">
        <f>_xlfn.XLOOKUP(E422,tPacotes[ID_Pacote],tPacotes[Pacote])</f>
        <v>Jericoacoara</v>
      </c>
      <c r="N422" t="str">
        <f>_xlfn.XLOOKUP(E422,tPacotes[ID_Pacote],tPacotes[Categoria])</f>
        <v>Praia</v>
      </c>
      <c r="O422" t="str">
        <f>_xlfn.XLOOKUP(D422,tClientes[ID_Cliente],tClientes[UF])</f>
        <v>SP</v>
      </c>
    </row>
    <row r="423" spans="1:15" x14ac:dyDescent="0.3">
      <c r="A423">
        <v>422</v>
      </c>
      <c r="B423" s="3">
        <v>45865</v>
      </c>
      <c r="C423" s="3">
        <v>46033</v>
      </c>
      <c r="D423">
        <v>178</v>
      </c>
      <c r="E423">
        <v>1</v>
      </c>
      <c r="F423">
        <v>2</v>
      </c>
      <c r="G423" s="2">
        <v>6400</v>
      </c>
      <c r="H423" s="4">
        <v>0</v>
      </c>
      <c r="I423" s="2">
        <v>6400</v>
      </c>
      <c r="J423" t="s">
        <v>253</v>
      </c>
      <c r="K423" t="s">
        <v>254</v>
      </c>
      <c r="L423">
        <v>5</v>
      </c>
      <c r="M423" t="str">
        <f>_xlfn.XLOOKUP(E423,tPacotes[ID_Pacote],tPacotes[Pacote])</f>
        <v>Nordeste Encantado</v>
      </c>
      <c r="N423" t="str">
        <f>_xlfn.XLOOKUP(E423,tPacotes[ID_Pacote],tPacotes[Categoria])</f>
        <v>Praia</v>
      </c>
      <c r="O423" t="str">
        <f>_xlfn.XLOOKUP(D423,tClientes[ID_Cliente],tClientes[UF])</f>
        <v>PE</v>
      </c>
    </row>
    <row r="424" spans="1:15" x14ac:dyDescent="0.3">
      <c r="A424">
        <v>423</v>
      </c>
      <c r="B424" s="3">
        <v>45865</v>
      </c>
      <c r="C424" s="3">
        <v>45902</v>
      </c>
      <c r="D424">
        <v>64</v>
      </c>
      <c r="E424">
        <v>2</v>
      </c>
      <c r="F424">
        <v>2</v>
      </c>
      <c r="G424" s="2">
        <v>3600</v>
      </c>
      <c r="H424" s="4">
        <v>0</v>
      </c>
      <c r="I424" s="2">
        <v>3600</v>
      </c>
      <c r="J424" t="s">
        <v>253</v>
      </c>
      <c r="K424" t="s">
        <v>254</v>
      </c>
      <c r="L424">
        <v>4</v>
      </c>
      <c r="M424" t="str">
        <f>_xlfn.XLOOKUP(E424,tPacotes[ID_Pacote],tPacotes[Pacote])</f>
        <v>Rio Cidade Maravilhosa</v>
      </c>
      <c r="N424" t="str">
        <f>_xlfn.XLOOKUP(E424,tPacotes[ID_Pacote],tPacotes[Categoria])</f>
        <v>Cultural</v>
      </c>
      <c r="O424" t="str">
        <f>_xlfn.XLOOKUP(D424,tClientes[ID_Cliente],tClientes[UF])</f>
        <v>PE</v>
      </c>
    </row>
    <row r="425" spans="1:15" x14ac:dyDescent="0.3">
      <c r="A425">
        <v>424</v>
      </c>
      <c r="B425" s="3">
        <v>45865</v>
      </c>
      <c r="C425" s="3">
        <v>46004</v>
      </c>
      <c r="D425">
        <v>7</v>
      </c>
      <c r="E425">
        <v>11</v>
      </c>
      <c r="F425">
        <v>4</v>
      </c>
      <c r="G425" s="2">
        <v>63200</v>
      </c>
      <c r="H425" s="4">
        <v>0</v>
      </c>
      <c r="I425" s="2">
        <v>63200</v>
      </c>
      <c r="J425" t="s">
        <v>255</v>
      </c>
      <c r="K425" t="s">
        <v>254</v>
      </c>
      <c r="L425">
        <v>3</v>
      </c>
      <c r="M425" t="str">
        <f>_xlfn.XLOOKUP(E425,tPacotes[ID_Pacote],tPacotes[Pacote])</f>
        <v>Paris e Londres</v>
      </c>
      <c r="N425" t="str">
        <f>_xlfn.XLOOKUP(E425,tPacotes[ID_Pacote],tPacotes[Categoria])</f>
        <v>Cultural</v>
      </c>
      <c r="O425" t="str">
        <f>_xlfn.XLOOKUP(D425,tClientes[ID_Cliente],tClientes[UF])</f>
        <v>SP</v>
      </c>
    </row>
    <row r="426" spans="1:15" x14ac:dyDescent="0.3">
      <c r="A426">
        <v>425</v>
      </c>
      <c r="B426" s="3">
        <v>45866</v>
      </c>
      <c r="C426" s="3">
        <v>45950</v>
      </c>
      <c r="D426">
        <v>84</v>
      </c>
      <c r="E426">
        <v>12</v>
      </c>
      <c r="F426">
        <v>2</v>
      </c>
      <c r="G426" s="2">
        <v>24800</v>
      </c>
      <c r="H426" s="4">
        <v>0.1</v>
      </c>
      <c r="I426" s="2">
        <v>22320</v>
      </c>
      <c r="J426" t="s">
        <v>253</v>
      </c>
      <c r="K426" t="s">
        <v>254</v>
      </c>
      <c r="L426">
        <v>2</v>
      </c>
      <c r="M426" t="str">
        <f>_xlfn.XLOOKUP(E426,tPacotes[ID_Pacote],tPacotes[Pacote])</f>
        <v>Lisboa e Porto</v>
      </c>
      <c r="N426" t="str">
        <f>_xlfn.XLOOKUP(E426,tPacotes[ID_Pacote],tPacotes[Categoria])</f>
        <v>Cultural</v>
      </c>
      <c r="O426" t="str">
        <f>_xlfn.XLOOKUP(D426,tClientes[ID_Cliente],tClientes[UF])</f>
        <v>RS</v>
      </c>
    </row>
    <row r="427" spans="1:15" x14ac:dyDescent="0.3">
      <c r="A427">
        <v>426</v>
      </c>
      <c r="B427" s="3">
        <v>45867</v>
      </c>
      <c r="C427" s="3">
        <v>45878</v>
      </c>
      <c r="D427">
        <v>113</v>
      </c>
      <c r="E427">
        <v>15</v>
      </c>
      <c r="F427">
        <v>4</v>
      </c>
      <c r="G427" s="2">
        <v>12400</v>
      </c>
      <c r="H427" s="4">
        <v>0</v>
      </c>
      <c r="I427" s="2">
        <v>12400</v>
      </c>
      <c r="J427" t="s">
        <v>255</v>
      </c>
      <c r="K427" t="s">
        <v>254</v>
      </c>
      <c r="L427">
        <v>5</v>
      </c>
      <c r="M427" t="str">
        <f>_xlfn.XLOOKUP(E427,tPacotes[ID_Pacote],tPacotes[Pacote])</f>
        <v>Jericoacoara</v>
      </c>
      <c r="N427" t="str">
        <f>_xlfn.XLOOKUP(E427,tPacotes[ID_Pacote],tPacotes[Categoria])</f>
        <v>Praia</v>
      </c>
      <c r="O427" t="str">
        <f>_xlfn.XLOOKUP(D427,tClientes[ID_Cliente],tClientes[UF])</f>
        <v>SP</v>
      </c>
    </row>
    <row r="428" spans="1:15" x14ac:dyDescent="0.3">
      <c r="A428">
        <v>427</v>
      </c>
      <c r="B428" s="3">
        <v>45867</v>
      </c>
      <c r="C428" s="3">
        <v>45906</v>
      </c>
      <c r="D428">
        <v>101</v>
      </c>
      <c r="E428">
        <v>2</v>
      </c>
      <c r="F428">
        <v>2</v>
      </c>
      <c r="G428" s="2">
        <v>3600</v>
      </c>
      <c r="H428" s="4">
        <v>0.05</v>
      </c>
      <c r="I428" s="2">
        <v>3420</v>
      </c>
      <c r="J428" t="s">
        <v>253</v>
      </c>
      <c r="K428" t="s">
        <v>254</v>
      </c>
      <c r="L428">
        <v>3</v>
      </c>
      <c r="M428" t="str">
        <f>_xlfn.XLOOKUP(E428,tPacotes[ID_Pacote],tPacotes[Pacote])</f>
        <v>Rio Cidade Maravilhosa</v>
      </c>
      <c r="N428" t="str">
        <f>_xlfn.XLOOKUP(E428,tPacotes[ID_Pacote],tPacotes[Categoria])</f>
        <v>Cultural</v>
      </c>
      <c r="O428" t="str">
        <f>_xlfn.XLOOKUP(D428,tClientes[ID_Cliente],tClientes[UF])</f>
        <v>SP</v>
      </c>
    </row>
    <row r="429" spans="1:15" x14ac:dyDescent="0.3">
      <c r="A429">
        <v>428</v>
      </c>
      <c r="B429" s="3">
        <v>45867</v>
      </c>
      <c r="C429" s="3">
        <v>45931</v>
      </c>
      <c r="D429">
        <v>82</v>
      </c>
      <c r="E429">
        <v>8</v>
      </c>
      <c r="F429">
        <v>1</v>
      </c>
      <c r="G429" s="2">
        <v>5900</v>
      </c>
      <c r="H429" s="4">
        <v>0</v>
      </c>
      <c r="I429" s="2">
        <v>5900</v>
      </c>
      <c r="J429" t="s">
        <v>255</v>
      </c>
      <c r="K429" t="s">
        <v>254</v>
      </c>
      <c r="L429">
        <v>4</v>
      </c>
      <c r="M429" t="str">
        <f>_xlfn.XLOOKUP(E429,tPacotes[ID_Pacote],tPacotes[Pacote])</f>
        <v>Santiago e Neve</v>
      </c>
      <c r="N429" t="str">
        <f>_xlfn.XLOOKUP(E429,tPacotes[ID_Pacote],tPacotes[Categoria])</f>
        <v>Inverno</v>
      </c>
      <c r="O429" t="str">
        <f>_xlfn.XLOOKUP(D429,tClientes[ID_Cliente],tClientes[UF])</f>
        <v>SP</v>
      </c>
    </row>
    <row r="430" spans="1:15" x14ac:dyDescent="0.3">
      <c r="A430">
        <v>429</v>
      </c>
      <c r="B430" s="3">
        <v>45868</v>
      </c>
      <c r="C430" s="3">
        <v>45948</v>
      </c>
      <c r="D430">
        <v>79</v>
      </c>
      <c r="E430">
        <v>2</v>
      </c>
      <c r="F430">
        <v>2</v>
      </c>
      <c r="G430" s="2">
        <v>3600</v>
      </c>
      <c r="H430" s="4">
        <v>0</v>
      </c>
      <c r="I430" s="2">
        <v>3600</v>
      </c>
      <c r="J430" t="s">
        <v>253</v>
      </c>
      <c r="K430" t="s">
        <v>254</v>
      </c>
      <c r="L430">
        <v>4</v>
      </c>
      <c r="M430" t="str">
        <f>_xlfn.XLOOKUP(E430,tPacotes[ID_Pacote],tPacotes[Pacote])</f>
        <v>Rio Cidade Maravilhosa</v>
      </c>
      <c r="N430" t="str">
        <f>_xlfn.XLOOKUP(E430,tPacotes[ID_Pacote],tPacotes[Categoria])</f>
        <v>Cultural</v>
      </c>
      <c r="O430" t="str">
        <f>_xlfn.XLOOKUP(D430,tClientes[ID_Cliente],tClientes[UF])</f>
        <v>RJ</v>
      </c>
    </row>
    <row r="431" spans="1:15" x14ac:dyDescent="0.3">
      <c r="A431">
        <v>430</v>
      </c>
      <c r="B431" s="3">
        <v>45868</v>
      </c>
      <c r="C431" s="3">
        <v>45908</v>
      </c>
      <c r="D431">
        <v>180</v>
      </c>
      <c r="E431">
        <v>10</v>
      </c>
      <c r="F431">
        <v>3</v>
      </c>
      <c r="G431" s="2">
        <v>34500</v>
      </c>
      <c r="H431" s="4">
        <v>0</v>
      </c>
      <c r="I431" s="2">
        <v>34500</v>
      </c>
      <c r="J431" t="s">
        <v>257</v>
      </c>
      <c r="K431" t="s">
        <v>254</v>
      </c>
      <c r="L431">
        <v>2</v>
      </c>
      <c r="M431" t="str">
        <f>_xlfn.XLOOKUP(E431,tPacotes[ID_Pacote],tPacotes[Pacote])</f>
        <v>Orlando Parques</v>
      </c>
      <c r="N431" t="str">
        <f>_xlfn.XLOOKUP(E431,tPacotes[ID_Pacote],tPacotes[Categoria])</f>
        <v>Parques</v>
      </c>
      <c r="O431" t="str">
        <f>_xlfn.XLOOKUP(D431,tClientes[ID_Cliente],tClientes[UF])</f>
        <v>PR</v>
      </c>
    </row>
    <row r="432" spans="1:15" x14ac:dyDescent="0.3">
      <c r="A432">
        <v>431</v>
      </c>
      <c r="B432" s="3">
        <v>45869</v>
      </c>
      <c r="C432" s="3">
        <v>45875</v>
      </c>
      <c r="D432">
        <v>120</v>
      </c>
      <c r="E432">
        <v>7</v>
      </c>
      <c r="F432">
        <v>5</v>
      </c>
      <c r="G432" s="2">
        <v>21000</v>
      </c>
      <c r="H432" s="4">
        <v>0.05</v>
      </c>
      <c r="I432" s="2">
        <v>19950</v>
      </c>
      <c r="J432" t="s">
        <v>253</v>
      </c>
      <c r="K432" t="s">
        <v>254</v>
      </c>
      <c r="L432">
        <v>5</v>
      </c>
      <c r="M432" t="str">
        <f>_xlfn.XLOOKUP(E432,tPacotes[ID_Pacote],tPacotes[Pacote])</f>
        <v>Buenos Aires Clássica</v>
      </c>
      <c r="N432" t="str">
        <f>_xlfn.XLOOKUP(E432,tPacotes[ID_Pacote],tPacotes[Categoria])</f>
        <v>Cultural</v>
      </c>
      <c r="O432" t="str">
        <f>_xlfn.XLOOKUP(D432,tClientes[ID_Cliente],tClientes[UF])</f>
        <v>PR</v>
      </c>
    </row>
    <row r="433" spans="1:15" x14ac:dyDescent="0.3">
      <c r="A433">
        <v>432</v>
      </c>
      <c r="B433" s="3">
        <v>45869</v>
      </c>
      <c r="C433" s="3">
        <v>45884</v>
      </c>
      <c r="D433">
        <v>58</v>
      </c>
      <c r="E433">
        <v>14</v>
      </c>
      <c r="F433">
        <v>1</v>
      </c>
      <c r="G433" s="2">
        <v>2900</v>
      </c>
      <c r="H433" s="4">
        <v>0.05</v>
      </c>
      <c r="I433" s="2">
        <v>2755</v>
      </c>
      <c r="J433" t="s">
        <v>256</v>
      </c>
      <c r="K433" t="s">
        <v>254</v>
      </c>
      <c r="L433">
        <v>5</v>
      </c>
      <c r="M433" t="str">
        <f>_xlfn.XLOOKUP(E433,tPacotes[ID_Pacote],tPacotes[Pacote])</f>
        <v>Lençóis Maranhenses</v>
      </c>
      <c r="N433" t="str">
        <f>_xlfn.XLOOKUP(E433,tPacotes[ID_Pacote],tPacotes[Categoria])</f>
        <v>Natureza</v>
      </c>
      <c r="O433" t="str">
        <f>_xlfn.XLOOKUP(D433,tClientes[ID_Cliente],tClientes[UF])</f>
        <v>SP</v>
      </c>
    </row>
    <row r="434" spans="1:15" x14ac:dyDescent="0.3">
      <c r="A434">
        <v>433</v>
      </c>
      <c r="B434" s="3">
        <v>45869</v>
      </c>
      <c r="C434" s="3">
        <v>45885</v>
      </c>
      <c r="D434">
        <v>112</v>
      </c>
      <c r="E434">
        <v>4</v>
      </c>
      <c r="F434">
        <v>4</v>
      </c>
      <c r="G434" s="2">
        <v>27600</v>
      </c>
      <c r="H434" s="4">
        <v>0</v>
      </c>
      <c r="I434" s="2">
        <v>27600</v>
      </c>
      <c r="J434" t="s">
        <v>255</v>
      </c>
      <c r="K434" t="s">
        <v>254</v>
      </c>
      <c r="L434">
        <v>4</v>
      </c>
      <c r="M434" t="str">
        <f>_xlfn.XLOOKUP(E434,tPacotes[ID_Pacote],tPacotes[Pacote])</f>
        <v>Fernando de Noronha</v>
      </c>
      <c r="N434" t="str">
        <f>_xlfn.XLOOKUP(E434,tPacotes[ID_Pacote],tPacotes[Categoria])</f>
        <v>Praia</v>
      </c>
      <c r="O434" t="str">
        <f>_xlfn.XLOOKUP(D434,tClientes[ID_Cliente],tClientes[UF])</f>
        <v>SP</v>
      </c>
    </row>
    <row r="435" spans="1:15" x14ac:dyDescent="0.3">
      <c r="A435">
        <v>434</v>
      </c>
      <c r="B435" s="3">
        <v>45871</v>
      </c>
      <c r="C435" s="3">
        <v>45905</v>
      </c>
      <c r="D435">
        <v>122</v>
      </c>
      <c r="E435">
        <v>3</v>
      </c>
      <c r="F435">
        <v>3</v>
      </c>
      <c r="G435" s="2">
        <v>7800</v>
      </c>
      <c r="H435" s="4">
        <v>0.15</v>
      </c>
      <c r="I435" s="2">
        <v>6630</v>
      </c>
      <c r="J435" t="s">
        <v>255</v>
      </c>
      <c r="K435" t="s">
        <v>254</v>
      </c>
      <c r="L435">
        <v>4</v>
      </c>
      <c r="M435" t="str">
        <f>_xlfn.XLOOKUP(E435,tPacotes[ID_Pacote],tPacotes[Pacote])</f>
        <v>Serra Gaúcha</v>
      </c>
      <c r="N435" t="str">
        <f>_xlfn.XLOOKUP(E435,tPacotes[ID_Pacote],tPacotes[Categoria])</f>
        <v>Inverno</v>
      </c>
      <c r="O435" t="str">
        <f>_xlfn.XLOOKUP(D435,tClientes[ID_Cliente],tClientes[UF])</f>
        <v>PR</v>
      </c>
    </row>
    <row r="436" spans="1:15" x14ac:dyDescent="0.3">
      <c r="A436">
        <v>435</v>
      </c>
      <c r="B436" s="3">
        <v>45871</v>
      </c>
      <c r="C436" s="3">
        <v>45946</v>
      </c>
      <c r="D436">
        <v>167</v>
      </c>
      <c r="E436">
        <v>1</v>
      </c>
      <c r="F436">
        <v>5</v>
      </c>
      <c r="G436" s="2">
        <v>16000</v>
      </c>
      <c r="H436" s="4">
        <v>0</v>
      </c>
      <c r="I436" s="2">
        <v>16000</v>
      </c>
      <c r="J436" t="s">
        <v>257</v>
      </c>
      <c r="K436" t="s">
        <v>254</v>
      </c>
      <c r="L436">
        <v>5</v>
      </c>
      <c r="M436" t="str">
        <f>_xlfn.XLOOKUP(E436,tPacotes[ID_Pacote],tPacotes[Pacote])</f>
        <v>Nordeste Encantado</v>
      </c>
      <c r="N436" t="str">
        <f>_xlfn.XLOOKUP(E436,tPacotes[ID_Pacote],tPacotes[Categoria])</f>
        <v>Praia</v>
      </c>
      <c r="O436" t="str">
        <f>_xlfn.XLOOKUP(D436,tClientes[ID_Cliente],tClientes[UF])</f>
        <v>SP</v>
      </c>
    </row>
    <row r="437" spans="1:15" x14ac:dyDescent="0.3">
      <c r="A437">
        <v>436</v>
      </c>
      <c r="B437" s="3">
        <v>45871</v>
      </c>
      <c r="C437" s="3">
        <v>45988</v>
      </c>
      <c r="D437">
        <v>107</v>
      </c>
      <c r="E437">
        <v>2</v>
      </c>
      <c r="F437">
        <v>1</v>
      </c>
      <c r="G437" s="2">
        <v>1800</v>
      </c>
      <c r="H437" s="4">
        <v>0</v>
      </c>
      <c r="I437" s="2">
        <v>1800</v>
      </c>
      <c r="J437" t="s">
        <v>257</v>
      </c>
      <c r="K437" t="s">
        <v>254</v>
      </c>
      <c r="L437">
        <v>4</v>
      </c>
      <c r="M437" t="str">
        <f>_xlfn.XLOOKUP(E437,tPacotes[ID_Pacote],tPacotes[Pacote])</f>
        <v>Rio Cidade Maravilhosa</v>
      </c>
      <c r="N437" t="str">
        <f>_xlfn.XLOOKUP(E437,tPacotes[ID_Pacote],tPacotes[Categoria])</f>
        <v>Cultural</v>
      </c>
      <c r="O437" t="str">
        <f>_xlfn.XLOOKUP(D437,tClientes[ID_Cliente],tClientes[UF])</f>
        <v>DF</v>
      </c>
    </row>
    <row r="438" spans="1:15" x14ac:dyDescent="0.3">
      <c r="A438">
        <v>437</v>
      </c>
      <c r="B438" s="3">
        <v>45872</v>
      </c>
      <c r="C438" s="3">
        <v>45881</v>
      </c>
      <c r="D438">
        <v>44</v>
      </c>
      <c r="E438">
        <v>6</v>
      </c>
      <c r="F438">
        <v>1</v>
      </c>
      <c r="G438" s="2">
        <v>2100</v>
      </c>
      <c r="H438" s="4">
        <v>0.05</v>
      </c>
      <c r="I438" s="2">
        <v>1995</v>
      </c>
      <c r="J438" t="s">
        <v>253</v>
      </c>
      <c r="K438" t="s">
        <v>254</v>
      </c>
      <c r="L438">
        <v>5</v>
      </c>
      <c r="M438" t="str">
        <f>_xlfn.XLOOKUP(E438,tPacotes[ID_Pacote],tPacotes[Pacote])</f>
        <v>Foz do Iguaçu</v>
      </c>
      <c r="N438" t="str">
        <f>_xlfn.XLOOKUP(E438,tPacotes[ID_Pacote],tPacotes[Categoria])</f>
        <v>Natureza</v>
      </c>
      <c r="O438" t="str">
        <f>_xlfn.XLOOKUP(D438,tClientes[ID_Cliente],tClientes[UF])</f>
        <v>DF</v>
      </c>
    </row>
    <row r="439" spans="1:15" x14ac:dyDescent="0.3">
      <c r="A439">
        <v>438</v>
      </c>
      <c r="B439" s="3">
        <v>45872</v>
      </c>
      <c r="C439" s="3">
        <v>45886</v>
      </c>
      <c r="D439">
        <v>138</v>
      </c>
      <c r="E439">
        <v>10</v>
      </c>
      <c r="F439">
        <v>4</v>
      </c>
      <c r="G439" s="2">
        <v>46000</v>
      </c>
      <c r="H439" s="4">
        <v>0</v>
      </c>
      <c r="I439" s="2">
        <v>46000</v>
      </c>
      <c r="J439" t="s">
        <v>255</v>
      </c>
      <c r="K439" t="s">
        <v>254</v>
      </c>
      <c r="L439">
        <v>4</v>
      </c>
      <c r="M439" t="str">
        <f>_xlfn.XLOOKUP(E439,tPacotes[ID_Pacote],tPacotes[Pacote])</f>
        <v>Orlando Parques</v>
      </c>
      <c r="N439" t="str">
        <f>_xlfn.XLOOKUP(E439,tPacotes[ID_Pacote],tPacotes[Categoria])</f>
        <v>Parques</v>
      </c>
      <c r="O439" t="str">
        <f>_xlfn.XLOOKUP(D439,tClientes[ID_Cliente],tClientes[UF])</f>
        <v>SP</v>
      </c>
    </row>
    <row r="440" spans="1:15" x14ac:dyDescent="0.3">
      <c r="A440">
        <v>439</v>
      </c>
      <c r="B440" s="3">
        <v>45872</v>
      </c>
      <c r="C440" s="3">
        <v>45908</v>
      </c>
      <c r="D440">
        <v>17</v>
      </c>
      <c r="E440">
        <v>13</v>
      </c>
      <c r="F440">
        <v>4</v>
      </c>
      <c r="G440" s="2">
        <v>29200</v>
      </c>
      <c r="H440" s="4">
        <v>0</v>
      </c>
      <c r="I440" s="2">
        <v>29200</v>
      </c>
      <c r="J440" t="s">
        <v>255</v>
      </c>
      <c r="K440" t="s">
        <v>254</v>
      </c>
      <c r="L440">
        <v>5</v>
      </c>
      <c r="M440" t="str">
        <f>_xlfn.XLOOKUP(E440,tPacotes[ID_Pacote],tPacotes[Pacote])</f>
        <v>Machu Picchu</v>
      </c>
      <c r="N440" t="str">
        <f>_xlfn.XLOOKUP(E440,tPacotes[ID_Pacote],tPacotes[Categoria])</f>
        <v>Aventura</v>
      </c>
      <c r="O440" t="str">
        <f>_xlfn.XLOOKUP(D440,tClientes[ID_Cliente],tClientes[UF])</f>
        <v>RJ</v>
      </c>
    </row>
    <row r="441" spans="1:15" x14ac:dyDescent="0.3">
      <c r="A441">
        <v>440</v>
      </c>
      <c r="B441" s="3">
        <v>45872</v>
      </c>
      <c r="C441" s="3">
        <v>45886</v>
      </c>
      <c r="D441">
        <v>183</v>
      </c>
      <c r="E441">
        <v>3</v>
      </c>
      <c r="F441">
        <v>4</v>
      </c>
      <c r="G441" s="2">
        <v>10400</v>
      </c>
      <c r="H441" s="4">
        <v>0</v>
      </c>
      <c r="I441" s="2">
        <v>10400</v>
      </c>
      <c r="J441" t="s">
        <v>253</v>
      </c>
      <c r="K441" t="s">
        <v>254</v>
      </c>
      <c r="L441">
        <v>4</v>
      </c>
      <c r="M441" t="str">
        <f>_xlfn.XLOOKUP(E441,tPacotes[ID_Pacote],tPacotes[Pacote])</f>
        <v>Serra Gaúcha</v>
      </c>
      <c r="N441" t="str">
        <f>_xlfn.XLOOKUP(E441,tPacotes[ID_Pacote],tPacotes[Categoria])</f>
        <v>Inverno</v>
      </c>
      <c r="O441" t="str">
        <f>_xlfn.XLOOKUP(D441,tClientes[ID_Cliente],tClientes[UF])</f>
        <v>MG</v>
      </c>
    </row>
    <row r="442" spans="1:15" x14ac:dyDescent="0.3">
      <c r="A442">
        <v>441</v>
      </c>
      <c r="B442" s="3">
        <v>45874</v>
      </c>
      <c r="C442" s="3">
        <v>45892</v>
      </c>
      <c r="D442">
        <v>128</v>
      </c>
      <c r="E442">
        <v>2</v>
      </c>
      <c r="F442">
        <v>4</v>
      </c>
      <c r="G442" s="2">
        <v>7200</v>
      </c>
      <c r="H442" s="4">
        <v>0.1</v>
      </c>
      <c r="I442" s="2">
        <v>6480</v>
      </c>
      <c r="J442" t="s">
        <v>253</v>
      </c>
      <c r="K442" t="s">
        <v>254</v>
      </c>
      <c r="L442">
        <v>3</v>
      </c>
      <c r="M442" t="str">
        <f>_xlfn.XLOOKUP(E442,tPacotes[ID_Pacote],tPacotes[Pacote])</f>
        <v>Rio Cidade Maravilhosa</v>
      </c>
      <c r="N442" t="str">
        <f>_xlfn.XLOOKUP(E442,tPacotes[ID_Pacote],tPacotes[Categoria])</f>
        <v>Cultural</v>
      </c>
      <c r="O442" t="str">
        <f>_xlfn.XLOOKUP(D442,tClientes[ID_Cliente],tClientes[UF])</f>
        <v>DF</v>
      </c>
    </row>
    <row r="443" spans="1:15" x14ac:dyDescent="0.3">
      <c r="A443">
        <v>442</v>
      </c>
      <c r="B443" s="3">
        <v>45875</v>
      </c>
      <c r="C443" s="3">
        <v>45879</v>
      </c>
      <c r="D443">
        <v>45</v>
      </c>
      <c r="E443">
        <v>2</v>
      </c>
      <c r="F443">
        <v>5</v>
      </c>
      <c r="G443" s="2">
        <v>9000</v>
      </c>
      <c r="H443" s="4">
        <v>0</v>
      </c>
      <c r="I443" s="2">
        <v>9000</v>
      </c>
      <c r="J443" t="s">
        <v>253</v>
      </c>
      <c r="K443" t="s">
        <v>254</v>
      </c>
      <c r="L443">
        <v>5</v>
      </c>
      <c r="M443" t="str">
        <f>_xlfn.XLOOKUP(E443,tPacotes[ID_Pacote],tPacotes[Pacote])</f>
        <v>Rio Cidade Maravilhosa</v>
      </c>
      <c r="N443" t="str">
        <f>_xlfn.XLOOKUP(E443,tPacotes[ID_Pacote],tPacotes[Categoria])</f>
        <v>Cultural</v>
      </c>
      <c r="O443" t="str">
        <f>_xlfn.XLOOKUP(D443,tClientes[ID_Cliente],tClientes[UF])</f>
        <v>SP</v>
      </c>
    </row>
    <row r="444" spans="1:15" x14ac:dyDescent="0.3">
      <c r="A444">
        <v>443</v>
      </c>
      <c r="B444" s="3">
        <v>45876</v>
      </c>
      <c r="C444" s="3">
        <v>45963</v>
      </c>
      <c r="D444">
        <v>101</v>
      </c>
      <c r="E444">
        <v>6</v>
      </c>
      <c r="F444">
        <v>2</v>
      </c>
      <c r="G444" s="2">
        <v>4200</v>
      </c>
      <c r="H444" s="4">
        <v>0.05</v>
      </c>
      <c r="I444" s="2">
        <v>3990</v>
      </c>
      <c r="J444" t="s">
        <v>257</v>
      </c>
      <c r="K444" t="s">
        <v>254</v>
      </c>
      <c r="L444">
        <v>4</v>
      </c>
      <c r="M444" t="str">
        <f>_xlfn.XLOOKUP(E444,tPacotes[ID_Pacote],tPacotes[Pacote])</f>
        <v>Foz do Iguaçu</v>
      </c>
      <c r="N444" t="str">
        <f>_xlfn.XLOOKUP(E444,tPacotes[ID_Pacote],tPacotes[Categoria])</f>
        <v>Natureza</v>
      </c>
      <c r="O444" t="str">
        <f>_xlfn.XLOOKUP(D444,tClientes[ID_Cliente],tClientes[UF])</f>
        <v>SP</v>
      </c>
    </row>
    <row r="445" spans="1:15" x14ac:dyDescent="0.3">
      <c r="A445">
        <v>444</v>
      </c>
      <c r="B445" s="3">
        <v>45876</v>
      </c>
      <c r="C445" s="3">
        <v>45942</v>
      </c>
      <c r="D445">
        <v>18</v>
      </c>
      <c r="E445">
        <v>2</v>
      </c>
      <c r="F445">
        <v>2</v>
      </c>
      <c r="G445" s="2">
        <v>3600</v>
      </c>
      <c r="H445" s="4">
        <v>0</v>
      </c>
      <c r="I445" s="2">
        <v>3600</v>
      </c>
      <c r="J445" t="s">
        <v>257</v>
      </c>
      <c r="K445" t="s">
        <v>254</v>
      </c>
      <c r="L445">
        <v>4</v>
      </c>
      <c r="M445" t="str">
        <f>_xlfn.XLOOKUP(E445,tPacotes[ID_Pacote],tPacotes[Pacote])</f>
        <v>Rio Cidade Maravilhosa</v>
      </c>
      <c r="N445" t="str">
        <f>_xlfn.XLOOKUP(E445,tPacotes[ID_Pacote],tPacotes[Categoria])</f>
        <v>Cultural</v>
      </c>
      <c r="O445" t="str">
        <f>_xlfn.XLOOKUP(D445,tClientes[ID_Cliente],tClientes[UF])</f>
        <v>PR</v>
      </c>
    </row>
    <row r="446" spans="1:15" x14ac:dyDescent="0.3">
      <c r="A446">
        <v>445</v>
      </c>
      <c r="B446" s="3">
        <v>45878</v>
      </c>
      <c r="C446" s="3">
        <v>45898</v>
      </c>
      <c r="D446">
        <v>40</v>
      </c>
      <c r="E446">
        <v>7</v>
      </c>
      <c r="F446">
        <v>2</v>
      </c>
      <c r="G446" s="2">
        <v>8400</v>
      </c>
      <c r="H446" s="4">
        <v>0</v>
      </c>
      <c r="I446" s="2">
        <v>8400</v>
      </c>
      <c r="J446" t="s">
        <v>255</v>
      </c>
      <c r="K446" t="s">
        <v>254</v>
      </c>
      <c r="L446">
        <v>4</v>
      </c>
      <c r="M446" t="str">
        <f>_xlfn.XLOOKUP(E446,tPacotes[ID_Pacote],tPacotes[Pacote])</f>
        <v>Buenos Aires Clássica</v>
      </c>
      <c r="N446" t="str">
        <f>_xlfn.XLOOKUP(E446,tPacotes[ID_Pacote],tPacotes[Categoria])</f>
        <v>Cultural</v>
      </c>
      <c r="O446" t="str">
        <f>_xlfn.XLOOKUP(D446,tClientes[ID_Cliente],tClientes[UF])</f>
        <v>RJ</v>
      </c>
    </row>
    <row r="447" spans="1:15" x14ac:dyDescent="0.3">
      <c r="A447">
        <v>446</v>
      </c>
      <c r="B447" s="3">
        <v>45878</v>
      </c>
      <c r="C447" s="3">
        <v>45982</v>
      </c>
      <c r="D447">
        <v>121</v>
      </c>
      <c r="E447">
        <v>6</v>
      </c>
      <c r="F447">
        <v>1</v>
      </c>
      <c r="G447" s="2">
        <v>2100</v>
      </c>
      <c r="H447" s="4">
        <v>0.1</v>
      </c>
      <c r="I447" s="2">
        <v>1890</v>
      </c>
      <c r="J447" t="s">
        <v>253</v>
      </c>
      <c r="K447" t="s">
        <v>254</v>
      </c>
      <c r="L447">
        <v>3</v>
      </c>
      <c r="M447" t="str">
        <f>_xlfn.XLOOKUP(E447,tPacotes[ID_Pacote],tPacotes[Pacote])</f>
        <v>Foz do Iguaçu</v>
      </c>
      <c r="N447" t="str">
        <f>_xlfn.XLOOKUP(E447,tPacotes[ID_Pacote],tPacotes[Categoria])</f>
        <v>Natureza</v>
      </c>
      <c r="O447" t="str">
        <f>_xlfn.XLOOKUP(D447,tClientes[ID_Cliente],tClientes[UF])</f>
        <v>RS</v>
      </c>
    </row>
    <row r="448" spans="1:15" x14ac:dyDescent="0.3">
      <c r="A448">
        <v>447</v>
      </c>
      <c r="B448" s="3">
        <v>45879</v>
      </c>
      <c r="C448" s="3">
        <v>46017</v>
      </c>
      <c r="D448">
        <v>128</v>
      </c>
      <c r="E448">
        <v>6</v>
      </c>
      <c r="F448">
        <v>2</v>
      </c>
      <c r="G448" s="2">
        <v>4200</v>
      </c>
      <c r="H448" s="4">
        <v>0</v>
      </c>
      <c r="I448" s="2">
        <v>4200</v>
      </c>
      <c r="J448" t="s">
        <v>253</v>
      </c>
      <c r="K448" t="s">
        <v>254</v>
      </c>
      <c r="L448">
        <v>5</v>
      </c>
      <c r="M448" t="str">
        <f>_xlfn.XLOOKUP(E448,tPacotes[ID_Pacote],tPacotes[Pacote])</f>
        <v>Foz do Iguaçu</v>
      </c>
      <c r="N448" t="str">
        <f>_xlfn.XLOOKUP(E448,tPacotes[ID_Pacote],tPacotes[Categoria])</f>
        <v>Natureza</v>
      </c>
      <c r="O448" t="str">
        <f>_xlfn.XLOOKUP(D448,tClientes[ID_Cliente],tClientes[UF])</f>
        <v>DF</v>
      </c>
    </row>
    <row r="449" spans="1:15" x14ac:dyDescent="0.3">
      <c r="A449">
        <v>448</v>
      </c>
      <c r="B449" s="3">
        <v>45879</v>
      </c>
      <c r="C449" s="3">
        <v>46040</v>
      </c>
      <c r="D449">
        <v>197</v>
      </c>
      <c r="E449">
        <v>14</v>
      </c>
      <c r="F449">
        <v>2</v>
      </c>
      <c r="G449" s="2">
        <v>5800</v>
      </c>
      <c r="H449" s="4">
        <v>0</v>
      </c>
      <c r="I449" s="2">
        <v>5800</v>
      </c>
      <c r="J449" t="s">
        <v>255</v>
      </c>
      <c r="K449" t="s">
        <v>254</v>
      </c>
      <c r="L449">
        <v>5</v>
      </c>
      <c r="M449" t="str">
        <f>_xlfn.XLOOKUP(E449,tPacotes[ID_Pacote],tPacotes[Pacote])</f>
        <v>Lençóis Maranhenses</v>
      </c>
      <c r="N449" t="str">
        <f>_xlfn.XLOOKUP(E449,tPacotes[ID_Pacote],tPacotes[Categoria])</f>
        <v>Natureza</v>
      </c>
      <c r="O449" t="str">
        <f>_xlfn.XLOOKUP(D449,tClientes[ID_Cliente],tClientes[UF])</f>
        <v>SP</v>
      </c>
    </row>
    <row r="450" spans="1:15" x14ac:dyDescent="0.3">
      <c r="A450">
        <v>449</v>
      </c>
      <c r="B450" s="3">
        <v>45879</v>
      </c>
      <c r="C450" s="3">
        <v>45887</v>
      </c>
      <c r="D450">
        <v>38</v>
      </c>
      <c r="E450">
        <v>5</v>
      </c>
      <c r="F450">
        <v>1</v>
      </c>
      <c r="G450" s="2">
        <v>3400</v>
      </c>
      <c r="H450" s="4">
        <v>0.05</v>
      </c>
      <c r="I450" s="2">
        <v>3230</v>
      </c>
      <c r="J450" t="s">
        <v>257</v>
      </c>
      <c r="K450" t="s">
        <v>254</v>
      </c>
      <c r="L450">
        <v>5</v>
      </c>
      <c r="M450" t="str">
        <f>_xlfn.XLOOKUP(E450,tPacotes[ID_Pacote],tPacotes[Pacote])</f>
        <v>Bonito Aventura</v>
      </c>
      <c r="N450" t="str">
        <f>_xlfn.XLOOKUP(E450,tPacotes[ID_Pacote],tPacotes[Categoria])</f>
        <v>Aventura</v>
      </c>
      <c r="O450" t="str">
        <f>_xlfn.XLOOKUP(D450,tClientes[ID_Cliente],tClientes[UF])</f>
        <v>SP</v>
      </c>
    </row>
    <row r="451" spans="1:15" x14ac:dyDescent="0.3">
      <c r="A451">
        <v>450</v>
      </c>
      <c r="B451" s="3">
        <v>45880</v>
      </c>
      <c r="C451" s="3">
        <v>45908</v>
      </c>
      <c r="D451">
        <v>20</v>
      </c>
      <c r="E451">
        <v>12</v>
      </c>
      <c r="F451">
        <v>3</v>
      </c>
      <c r="G451" s="2">
        <v>37200</v>
      </c>
      <c r="H451" s="4">
        <v>0.1</v>
      </c>
      <c r="I451" s="2">
        <v>33480</v>
      </c>
      <c r="J451" t="s">
        <v>257</v>
      </c>
      <c r="K451" t="s">
        <v>254</v>
      </c>
      <c r="L451">
        <v>3</v>
      </c>
      <c r="M451" t="str">
        <f>_xlfn.XLOOKUP(E451,tPacotes[ID_Pacote],tPacotes[Pacote])</f>
        <v>Lisboa e Porto</v>
      </c>
      <c r="N451" t="str">
        <f>_xlfn.XLOOKUP(E451,tPacotes[ID_Pacote],tPacotes[Categoria])</f>
        <v>Cultural</v>
      </c>
      <c r="O451" t="str">
        <f>_xlfn.XLOOKUP(D451,tClientes[ID_Cliente],tClientes[UF])</f>
        <v>PR</v>
      </c>
    </row>
    <row r="452" spans="1:15" x14ac:dyDescent="0.3">
      <c r="A452">
        <v>451</v>
      </c>
      <c r="B452" s="3">
        <v>45880</v>
      </c>
      <c r="C452" s="3">
        <v>45924</v>
      </c>
      <c r="D452">
        <v>119</v>
      </c>
      <c r="E452">
        <v>8</v>
      </c>
      <c r="F452">
        <v>1</v>
      </c>
      <c r="G452" s="2">
        <v>5900</v>
      </c>
      <c r="H452" s="4">
        <v>0.05</v>
      </c>
      <c r="I452" s="2">
        <v>5605</v>
      </c>
      <c r="J452" t="s">
        <v>253</v>
      </c>
      <c r="K452" t="s">
        <v>258</v>
      </c>
      <c r="M452" t="str">
        <f>_xlfn.XLOOKUP(E452,tPacotes[ID_Pacote],tPacotes[Pacote])</f>
        <v>Santiago e Neve</v>
      </c>
      <c r="N452" t="str">
        <f>_xlfn.XLOOKUP(E452,tPacotes[ID_Pacote],tPacotes[Categoria])</f>
        <v>Inverno</v>
      </c>
      <c r="O452" t="str">
        <f>_xlfn.XLOOKUP(D452,tClientes[ID_Cliente],tClientes[UF])</f>
        <v>SP</v>
      </c>
    </row>
    <row r="453" spans="1:15" x14ac:dyDescent="0.3">
      <c r="A453">
        <v>452</v>
      </c>
      <c r="B453" s="3">
        <v>45880</v>
      </c>
      <c r="C453" s="3">
        <v>46022</v>
      </c>
      <c r="D453">
        <v>45</v>
      </c>
      <c r="E453">
        <v>5</v>
      </c>
      <c r="F453">
        <v>1</v>
      </c>
      <c r="G453" s="2">
        <v>3400</v>
      </c>
      <c r="H453" s="4">
        <v>0</v>
      </c>
      <c r="I453" s="2">
        <v>3400</v>
      </c>
      <c r="J453" t="s">
        <v>257</v>
      </c>
      <c r="K453" t="s">
        <v>254</v>
      </c>
      <c r="L453">
        <v>4</v>
      </c>
      <c r="M453" t="str">
        <f>_xlfn.XLOOKUP(E453,tPacotes[ID_Pacote],tPacotes[Pacote])</f>
        <v>Bonito Aventura</v>
      </c>
      <c r="N453" t="str">
        <f>_xlfn.XLOOKUP(E453,tPacotes[ID_Pacote],tPacotes[Categoria])</f>
        <v>Aventura</v>
      </c>
      <c r="O453" t="str">
        <f>_xlfn.XLOOKUP(D453,tClientes[ID_Cliente],tClientes[UF])</f>
        <v>SP</v>
      </c>
    </row>
    <row r="454" spans="1:15" x14ac:dyDescent="0.3">
      <c r="A454">
        <v>453</v>
      </c>
      <c r="B454" s="3">
        <v>45881</v>
      </c>
      <c r="C454" s="3">
        <v>45892</v>
      </c>
      <c r="D454">
        <v>4</v>
      </c>
      <c r="E454">
        <v>3</v>
      </c>
      <c r="F454">
        <v>5</v>
      </c>
      <c r="G454" s="2">
        <v>13000</v>
      </c>
      <c r="H454" s="4">
        <v>0</v>
      </c>
      <c r="I454" s="2">
        <v>13000</v>
      </c>
      <c r="J454" t="s">
        <v>253</v>
      </c>
      <c r="K454" t="s">
        <v>254</v>
      </c>
      <c r="L454">
        <v>5</v>
      </c>
      <c r="M454" t="str">
        <f>_xlfn.XLOOKUP(E454,tPacotes[ID_Pacote],tPacotes[Pacote])</f>
        <v>Serra Gaúcha</v>
      </c>
      <c r="N454" t="str">
        <f>_xlfn.XLOOKUP(E454,tPacotes[ID_Pacote],tPacotes[Categoria])</f>
        <v>Inverno</v>
      </c>
      <c r="O454" t="str">
        <f>_xlfn.XLOOKUP(D454,tClientes[ID_Cliente],tClientes[UF])</f>
        <v>RJ</v>
      </c>
    </row>
    <row r="455" spans="1:15" x14ac:dyDescent="0.3">
      <c r="A455">
        <v>454</v>
      </c>
      <c r="B455" s="3">
        <v>45881</v>
      </c>
      <c r="C455" s="3">
        <v>46017</v>
      </c>
      <c r="D455">
        <v>129</v>
      </c>
      <c r="E455">
        <v>1</v>
      </c>
      <c r="F455">
        <v>1</v>
      </c>
      <c r="G455" s="2">
        <v>3200</v>
      </c>
      <c r="H455" s="4">
        <v>0</v>
      </c>
      <c r="I455" s="2">
        <v>3200</v>
      </c>
      <c r="J455" t="s">
        <v>257</v>
      </c>
      <c r="K455" t="s">
        <v>254</v>
      </c>
      <c r="L455">
        <v>1</v>
      </c>
      <c r="M455" t="str">
        <f>_xlfn.XLOOKUP(E455,tPacotes[ID_Pacote],tPacotes[Pacote])</f>
        <v>Nordeste Encantado</v>
      </c>
      <c r="N455" t="str">
        <f>_xlfn.XLOOKUP(E455,tPacotes[ID_Pacote],tPacotes[Categoria])</f>
        <v>Praia</v>
      </c>
      <c r="O455" t="str">
        <f>_xlfn.XLOOKUP(D455,tClientes[ID_Cliente],tClientes[UF])</f>
        <v>MG</v>
      </c>
    </row>
    <row r="456" spans="1:15" x14ac:dyDescent="0.3">
      <c r="A456">
        <v>455</v>
      </c>
      <c r="B456" s="3">
        <v>45881</v>
      </c>
      <c r="C456" s="3">
        <v>45922</v>
      </c>
      <c r="D456">
        <v>12</v>
      </c>
      <c r="E456">
        <v>9</v>
      </c>
      <c r="F456">
        <v>3</v>
      </c>
      <c r="G456" s="2">
        <v>26700</v>
      </c>
      <c r="H456" s="4">
        <v>0</v>
      </c>
      <c r="I456" s="2">
        <v>26700</v>
      </c>
      <c r="J456" t="s">
        <v>253</v>
      </c>
      <c r="K456" t="s">
        <v>254</v>
      </c>
      <c r="L456">
        <v>4</v>
      </c>
      <c r="M456" t="str">
        <f>_xlfn.XLOOKUP(E456,tPacotes[ID_Pacote],tPacotes[Pacote])</f>
        <v>Cancún All Inclusive</v>
      </c>
      <c r="N456" t="str">
        <f>_xlfn.XLOOKUP(E456,tPacotes[ID_Pacote],tPacotes[Categoria])</f>
        <v>Praia</v>
      </c>
      <c r="O456" t="str">
        <f>_xlfn.XLOOKUP(D456,tClientes[ID_Cliente],tClientes[UF])</f>
        <v>RJ</v>
      </c>
    </row>
    <row r="457" spans="1:15" x14ac:dyDescent="0.3">
      <c r="A457">
        <v>456</v>
      </c>
      <c r="B457" s="3">
        <v>45882</v>
      </c>
      <c r="C457" s="3">
        <v>45899</v>
      </c>
      <c r="D457">
        <v>101</v>
      </c>
      <c r="E457">
        <v>15</v>
      </c>
      <c r="F457">
        <v>4</v>
      </c>
      <c r="G457" s="2">
        <v>12400</v>
      </c>
      <c r="H457" s="4">
        <v>0.1</v>
      </c>
      <c r="I457" s="2">
        <v>11160</v>
      </c>
      <c r="J457" t="s">
        <v>253</v>
      </c>
      <c r="K457" t="s">
        <v>254</v>
      </c>
      <c r="L457">
        <v>5</v>
      </c>
      <c r="M457" t="str">
        <f>_xlfn.XLOOKUP(E457,tPacotes[ID_Pacote],tPacotes[Pacote])</f>
        <v>Jericoacoara</v>
      </c>
      <c r="N457" t="str">
        <f>_xlfn.XLOOKUP(E457,tPacotes[ID_Pacote],tPacotes[Categoria])</f>
        <v>Praia</v>
      </c>
      <c r="O457" t="str">
        <f>_xlfn.XLOOKUP(D457,tClientes[ID_Cliente],tClientes[UF])</f>
        <v>SP</v>
      </c>
    </row>
    <row r="458" spans="1:15" x14ac:dyDescent="0.3">
      <c r="A458">
        <v>457</v>
      </c>
      <c r="B458" s="3">
        <v>45882</v>
      </c>
      <c r="C458" s="3">
        <v>45939</v>
      </c>
      <c r="D458">
        <v>12</v>
      </c>
      <c r="E458">
        <v>11</v>
      </c>
      <c r="F458">
        <v>2</v>
      </c>
      <c r="G458" s="2">
        <v>31600</v>
      </c>
      <c r="H458" s="4">
        <v>0</v>
      </c>
      <c r="I458" s="2">
        <v>31600</v>
      </c>
      <c r="J458" t="s">
        <v>253</v>
      </c>
      <c r="K458" t="s">
        <v>254</v>
      </c>
      <c r="L458">
        <v>3</v>
      </c>
      <c r="M458" t="str">
        <f>_xlfn.XLOOKUP(E458,tPacotes[ID_Pacote],tPacotes[Pacote])</f>
        <v>Paris e Londres</v>
      </c>
      <c r="N458" t="str">
        <f>_xlfn.XLOOKUP(E458,tPacotes[ID_Pacote],tPacotes[Categoria])</f>
        <v>Cultural</v>
      </c>
      <c r="O458" t="str">
        <f>_xlfn.XLOOKUP(D458,tClientes[ID_Cliente],tClientes[UF])</f>
        <v>RJ</v>
      </c>
    </row>
    <row r="459" spans="1:15" x14ac:dyDescent="0.3">
      <c r="A459">
        <v>458</v>
      </c>
      <c r="B459" s="3">
        <v>45882</v>
      </c>
      <c r="C459" s="3">
        <v>46006</v>
      </c>
      <c r="D459">
        <v>83</v>
      </c>
      <c r="E459">
        <v>14</v>
      </c>
      <c r="F459">
        <v>2</v>
      </c>
      <c r="G459" s="2">
        <v>5800</v>
      </c>
      <c r="H459" s="4">
        <v>0</v>
      </c>
      <c r="I459" s="2">
        <v>5800</v>
      </c>
      <c r="J459" t="s">
        <v>253</v>
      </c>
      <c r="K459" t="s">
        <v>254</v>
      </c>
      <c r="L459">
        <v>5</v>
      </c>
      <c r="M459" t="str">
        <f>_xlfn.XLOOKUP(E459,tPacotes[ID_Pacote],tPacotes[Pacote])</f>
        <v>Lençóis Maranhenses</v>
      </c>
      <c r="N459" t="str">
        <f>_xlfn.XLOOKUP(E459,tPacotes[ID_Pacote],tPacotes[Categoria])</f>
        <v>Natureza</v>
      </c>
      <c r="O459" t="str">
        <f>_xlfn.XLOOKUP(D459,tClientes[ID_Cliente],tClientes[UF])</f>
        <v>SP</v>
      </c>
    </row>
    <row r="460" spans="1:15" x14ac:dyDescent="0.3">
      <c r="A460">
        <v>459</v>
      </c>
      <c r="B460" s="3">
        <v>45882</v>
      </c>
      <c r="C460" s="3">
        <v>45885</v>
      </c>
      <c r="D460">
        <v>136</v>
      </c>
      <c r="E460">
        <v>1</v>
      </c>
      <c r="F460">
        <v>2</v>
      </c>
      <c r="G460" s="2">
        <v>6400</v>
      </c>
      <c r="H460" s="4">
        <v>0.1</v>
      </c>
      <c r="I460" s="2">
        <v>5760</v>
      </c>
      <c r="J460" t="s">
        <v>255</v>
      </c>
      <c r="K460" t="s">
        <v>254</v>
      </c>
      <c r="L460">
        <v>4</v>
      </c>
      <c r="M460" t="str">
        <f>_xlfn.XLOOKUP(E460,tPacotes[ID_Pacote],tPacotes[Pacote])</f>
        <v>Nordeste Encantado</v>
      </c>
      <c r="N460" t="str">
        <f>_xlfn.XLOOKUP(E460,tPacotes[ID_Pacote],tPacotes[Categoria])</f>
        <v>Praia</v>
      </c>
      <c r="O460" t="str">
        <f>_xlfn.XLOOKUP(D460,tClientes[ID_Cliente],tClientes[UF])</f>
        <v>MG</v>
      </c>
    </row>
    <row r="461" spans="1:15" x14ac:dyDescent="0.3">
      <c r="A461">
        <v>460</v>
      </c>
      <c r="B461" s="3">
        <v>45882</v>
      </c>
      <c r="C461" s="3">
        <v>46000</v>
      </c>
      <c r="D461">
        <v>32</v>
      </c>
      <c r="E461">
        <v>10</v>
      </c>
      <c r="F461">
        <v>2</v>
      </c>
      <c r="G461" s="2">
        <v>23000</v>
      </c>
      <c r="H461" s="4">
        <v>0</v>
      </c>
      <c r="I461" s="2">
        <v>23000</v>
      </c>
      <c r="J461" t="s">
        <v>253</v>
      </c>
      <c r="K461" t="s">
        <v>254</v>
      </c>
      <c r="L461">
        <v>4</v>
      </c>
      <c r="M461" t="str">
        <f>_xlfn.XLOOKUP(E461,tPacotes[ID_Pacote],tPacotes[Pacote])</f>
        <v>Orlando Parques</v>
      </c>
      <c r="N461" t="str">
        <f>_xlfn.XLOOKUP(E461,tPacotes[ID_Pacote],tPacotes[Categoria])</f>
        <v>Parques</v>
      </c>
      <c r="O461" t="str">
        <f>_xlfn.XLOOKUP(D461,tClientes[ID_Cliente],tClientes[UF])</f>
        <v>PR</v>
      </c>
    </row>
    <row r="462" spans="1:15" x14ac:dyDescent="0.3">
      <c r="A462">
        <v>461</v>
      </c>
      <c r="B462" s="3">
        <v>45882</v>
      </c>
      <c r="C462" s="3">
        <v>45914</v>
      </c>
      <c r="D462">
        <v>26</v>
      </c>
      <c r="E462">
        <v>10</v>
      </c>
      <c r="F462">
        <v>2</v>
      </c>
      <c r="G462" s="2">
        <v>23000</v>
      </c>
      <c r="H462" s="4">
        <v>0</v>
      </c>
      <c r="I462" s="2">
        <v>23000</v>
      </c>
      <c r="J462" t="s">
        <v>257</v>
      </c>
      <c r="K462" t="s">
        <v>254</v>
      </c>
      <c r="L462">
        <v>4</v>
      </c>
      <c r="M462" t="str">
        <f>_xlfn.XLOOKUP(E462,tPacotes[ID_Pacote],tPacotes[Pacote])</f>
        <v>Orlando Parques</v>
      </c>
      <c r="N462" t="str">
        <f>_xlfn.XLOOKUP(E462,tPacotes[ID_Pacote],tPacotes[Categoria])</f>
        <v>Parques</v>
      </c>
      <c r="O462" t="str">
        <f>_xlfn.XLOOKUP(D462,tClientes[ID_Cliente],tClientes[UF])</f>
        <v>SP</v>
      </c>
    </row>
    <row r="463" spans="1:15" x14ac:dyDescent="0.3">
      <c r="A463">
        <v>462</v>
      </c>
      <c r="B463" s="3">
        <v>45882</v>
      </c>
      <c r="C463" s="3">
        <v>45942</v>
      </c>
      <c r="D463">
        <v>150</v>
      </c>
      <c r="E463">
        <v>1</v>
      </c>
      <c r="F463">
        <v>1</v>
      </c>
      <c r="G463" s="2">
        <v>3200</v>
      </c>
      <c r="H463" s="4">
        <v>0</v>
      </c>
      <c r="I463" s="2">
        <v>3200</v>
      </c>
      <c r="J463" t="s">
        <v>253</v>
      </c>
      <c r="K463" t="s">
        <v>254</v>
      </c>
      <c r="L463">
        <v>4</v>
      </c>
      <c r="M463" t="str">
        <f>_xlfn.XLOOKUP(E463,tPacotes[ID_Pacote],tPacotes[Pacote])</f>
        <v>Nordeste Encantado</v>
      </c>
      <c r="N463" t="str">
        <f>_xlfn.XLOOKUP(E463,tPacotes[ID_Pacote],tPacotes[Categoria])</f>
        <v>Praia</v>
      </c>
      <c r="O463" t="str">
        <f>_xlfn.XLOOKUP(D463,tClientes[ID_Cliente],tClientes[UF])</f>
        <v>SP</v>
      </c>
    </row>
    <row r="464" spans="1:15" x14ac:dyDescent="0.3">
      <c r="A464">
        <v>463</v>
      </c>
      <c r="B464" s="3">
        <v>45883</v>
      </c>
      <c r="C464" s="3">
        <v>45961</v>
      </c>
      <c r="D464">
        <v>191</v>
      </c>
      <c r="E464">
        <v>3</v>
      </c>
      <c r="F464">
        <v>2</v>
      </c>
      <c r="G464" s="2">
        <v>5200</v>
      </c>
      <c r="H464" s="4">
        <v>0</v>
      </c>
      <c r="I464" s="2">
        <v>5200</v>
      </c>
      <c r="J464" t="s">
        <v>253</v>
      </c>
      <c r="K464" t="s">
        <v>254</v>
      </c>
      <c r="L464">
        <v>5</v>
      </c>
      <c r="M464" t="str">
        <f>_xlfn.XLOOKUP(E464,tPacotes[ID_Pacote],tPacotes[Pacote])</f>
        <v>Serra Gaúcha</v>
      </c>
      <c r="N464" t="str">
        <f>_xlfn.XLOOKUP(E464,tPacotes[ID_Pacote],tPacotes[Categoria])</f>
        <v>Inverno</v>
      </c>
      <c r="O464" t="str">
        <f>_xlfn.XLOOKUP(D464,tClientes[ID_Cliente],tClientes[UF])</f>
        <v>SP</v>
      </c>
    </row>
    <row r="465" spans="1:15" x14ac:dyDescent="0.3">
      <c r="A465">
        <v>464</v>
      </c>
      <c r="B465" s="3">
        <v>45883</v>
      </c>
      <c r="C465" s="3">
        <v>45960</v>
      </c>
      <c r="D465">
        <v>90</v>
      </c>
      <c r="E465">
        <v>9</v>
      </c>
      <c r="F465">
        <v>1</v>
      </c>
      <c r="G465" s="2">
        <v>8900</v>
      </c>
      <c r="H465" s="4">
        <v>0</v>
      </c>
      <c r="I465" s="2">
        <v>8900</v>
      </c>
      <c r="J465" t="s">
        <v>256</v>
      </c>
      <c r="K465" t="s">
        <v>254</v>
      </c>
      <c r="L465">
        <v>4</v>
      </c>
      <c r="M465" t="str">
        <f>_xlfn.XLOOKUP(E465,tPacotes[ID_Pacote],tPacotes[Pacote])</f>
        <v>Cancún All Inclusive</v>
      </c>
      <c r="N465" t="str">
        <f>_xlfn.XLOOKUP(E465,tPacotes[ID_Pacote],tPacotes[Categoria])</f>
        <v>Praia</v>
      </c>
      <c r="O465" t="str">
        <f>_xlfn.XLOOKUP(D465,tClientes[ID_Cliente],tClientes[UF])</f>
        <v>RS</v>
      </c>
    </row>
    <row r="466" spans="1:15" x14ac:dyDescent="0.3">
      <c r="A466">
        <v>465</v>
      </c>
      <c r="B466" s="3">
        <v>45884</v>
      </c>
      <c r="C466" s="3">
        <v>45997</v>
      </c>
      <c r="D466">
        <v>19</v>
      </c>
      <c r="E466">
        <v>10</v>
      </c>
      <c r="F466">
        <v>2</v>
      </c>
      <c r="G466" s="2">
        <v>23000</v>
      </c>
      <c r="H466" s="4">
        <v>0.15</v>
      </c>
      <c r="I466" s="2">
        <v>19550</v>
      </c>
      <c r="J466" t="s">
        <v>253</v>
      </c>
      <c r="K466" t="s">
        <v>254</v>
      </c>
      <c r="L466">
        <v>5</v>
      </c>
      <c r="M466" t="str">
        <f>_xlfn.XLOOKUP(E466,tPacotes[ID_Pacote],tPacotes[Pacote])</f>
        <v>Orlando Parques</v>
      </c>
      <c r="N466" t="str">
        <f>_xlfn.XLOOKUP(E466,tPacotes[ID_Pacote],tPacotes[Categoria])</f>
        <v>Parques</v>
      </c>
      <c r="O466" t="str">
        <f>_xlfn.XLOOKUP(D466,tClientes[ID_Cliente],tClientes[UF])</f>
        <v>SP</v>
      </c>
    </row>
    <row r="467" spans="1:15" x14ac:dyDescent="0.3">
      <c r="A467">
        <v>466</v>
      </c>
      <c r="B467" s="3">
        <v>45884</v>
      </c>
      <c r="C467" s="3">
        <v>46000</v>
      </c>
      <c r="D467">
        <v>190</v>
      </c>
      <c r="E467">
        <v>1</v>
      </c>
      <c r="F467">
        <v>3</v>
      </c>
      <c r="G467" s="2">
        <v>9600</v>
      </c>
      <c r="H467" s="4">
        <v>0.05</v>
      </c>
      <c r="I467" s="2">
        <v>9120</v>
      </c>
      <c r="J467" t="s">
        <v>255</v>
      </c>
      <c r="K467" t="s">
        <v>254</v>
      </c>
      <c r="L467">
        <v>5</v>
      </c>
      <c r="M467" t="str">
        <f>_xlfn.XLOOKUP(E467,tPacotes[ID_Pacote],tPacotes[Pacote])</f>
        <v>Nordeste Encantado</v>
      </c>
      <c r="N467" t="str">
        <f>_xlfn.XLOOKUP(E467,tPacotes[ID_Pacote],tPacotes[Categoria])</f>
        <v>Praia</v>
      </c>
      <c r="O467" t="str">
        <f>_xlfn.XLOOKUP(D467,tClientes[ID_Cliente],tClientes[UF])</f>
        <v>SP</v>
      </c>
    </row>
    <row r="468" spans="1:15" x14ac:dyDescent="0.3">
      <c r="A468">
        <v>467</v>
      </c>
      <c r="B468" s="3">
        <v>45885</v>
      </c>
      <c r="C468" s="3">
        <v>46030</v>
      </c>
      <c r="D468">
        <v>115</v>
      </c>
      <c r="E468">
        <v>9</v>
      </c>
      <c r="F468">
        <v>2</v>
      </c>
      <c r="G468" s="2">
        <v>17800</v>
      </c>
      <c r="H468" s="4">
        <v>0</v>
      </c>
      <c r="I468" s="2">
        <v>17800</v>
      </c>
      <c r="J468" t="s">
        <v>257</v>
      </c>
      <c r="K468" t="s">
        <v>254</v>
      </c>
      <c r="L468">
        <v>4</v>
      </c>
      <c r="M468" t="str">
        <f>_xlfn.XLOOKUP(E468,tPacotes[ID_Pacote],tPacotes[Pacote])</f>
        <v>Cancún All Inclusive</v>
      </c>
      <c r="N468" t="str">
        <f>_xlfn.XLOOKUP(E468,tPacotes[ID_Pacote],tPacotes[Categoria])</f>
        <v>Praia</v>
      </c>
      <c r="O468" t="str">
        <f>_xlfn.XLOOKUP(D468,tClientes[ID_Cliente],tClientes[UF])</f>
        <v>SP</v>
      </c>
    </row>
    <row r="469" spans="1:15" x14ac:dyDescent="0.3">
      <c r="A469">
        <v>468</v>
      </c>
      <c r="B469" s="3">
        <v>45885</v>
      </c>
      <c r="C469" s="3">
        <v>45942</v>
      </c>
      <c r="D469">
        <v>191</v>
      </c>
      <c r="E469">
        <v>9</v>
      </c>
      <c r="F469">
        <v>2</v>
      </c>
      <c r="G469" s="2">
        <v>17800</v>
      </c>
      <c r="H469" s="4">
        <v>0</v>
      </c>
      <c r="I469" s="2">
        <v>17800</v>
      </c>
      <c r="J469" t="s">
        <v>257</v>
      </c>
      <c r="K469" t="s">
        <v>254</v>
      </c>
      <c r="L469">
        <v>5</v>
      </c>
      <c r="M469" t="str">
        <f>_xlfn.XLOOKUP(E469,tPacotes[ID_Pacote],tPacotes[Pacote])</f>
        <v>Cancún All Inclusive</v>
      </c>
      <c r="N469" t="str">
        <f>_xlfn.XLOOKUP(E469,tPacotes[ID_Pacote],tPacotes[Categoria])</f>
        <v>Praia</v>
      </c>
      <c r="O469" t="str">
        <f>_xlfn.XLOOKUP(D469,tClientes[ID_Cliente],tClientes[UF])</f>
        <v>SP</v>
      </c>
    </row>
    <row r="470" spans="1:15" x14ac:dyDescent="0.3">
      <c r="A470">
        <v>469</v>
      </c>
      <c r="B470" s="3">
        <v>45885</v>
      </c>
      <c r="C470" s="3">
        <v>45941</v>
      </c>
      <c r="D470">
        <v>157</v>
      </c>
      <c r="E470">
        <v>9</v>
      </c>
      <c r="F470">
        <v>2</v>
      </c>
      <c r="G470" s="2">
        <v>17800</v>
      </c>
      <c r="H470" s="4">
        <v>0.15</v>
      </c>
      <c r="I470" s="2">
        <v>15130</v>
      </c>
      <c r="J470" t="s">
        <v>253</v>
      </c>
      <c r="K470" t="s">
        <v>254</v>
      </c>
      <c r="L470">
        <v>5</v>
      </c>
      <c r="M470" t="str">
        <f>_xlfn.XLOOKUP(E470,tPacotes[ID_Pacote],tPacotes[Pacote])</f>
        <v>Cancún All Inclusive</v>
      </c>
      <c r="N470" t="str">
        <f>_xlfn.XLOOKUP(E470,tPacotes[ID_Pacote],tPacotes[Categoria])</f>
        <v>Praia</v>
      </c>
      <c r="O470" t="str">
        <f>_xlfn.XLOOKUP(D470,tClientes[ID_Cliente],tClientes[UF])</f>
        <v>SP</v>
      </c>
    </row>
    <row r="471" spans="1:15" x14ac:dyDescent="0.3">
      <c r="A471">
        <v>470</v>
      </c>
      <c r="B471" s="3">
        <v>45885</v>
      </c>
      <c r="C471" s="3">
        <v>45917</v>
      </c>
      <c r="D471">
        <v>9</v>
      </c>
      <c r="E471">
        <v>1</v>
      </c>
      <c r="F471">
        <v>2</v>
      </c>
      <c r="G471" s="2">
        <v>6400</v>
      </c>
      <c r="H471" s="4">
        <v>0</v>
      </c>
      <c r="I471" s="2">
        <v>6400</v>
      </c>
      <c r="J471" t="s">
        <v>255</v>
      </c>
      <c r="K471" t="s">
        <v>258</v>
      </c>
      <c r="M471" t="str">
        <f>_xlfn.XLOOKUP(E471,tPacotes[ID_Pacote],tPacotes[Pacote])</f>
        <v>Nordeste Encantado</v>
      </c>
      <c r="N471" t="str">
        <f>_xlfn.XLOOKUP(E471,tPacotes[ID_Pacote],tPacotes[Categoria])</f>
        <v>Praia</v>
      </c>
      <c r="O471" t="str">
        <f>_xlfn.XLOOKUP(D471,tClientes[ID_Cliente],tClientes[UF])</f>
        <v>MG</v>
      </c>
    </row>
    <row r="472" spans="1:15" x14ac:dyDescent="0.3">
      <c r="A472">
        <v>471</v>
      </c>
      <c r="B472" s="3">
        <v>45885</v>
      </c>
      <c r="C472" s="3">
        <v>45902</v>
      </c>
      <c r="D472">
        <v>57</v>
      </c>
      <c r="E472">
        <v>7</v>
      </c>
      <c r="F472">
        <v>3</v>
      </c>
      <c r="G472" s="2">
        <v>12600</v>
      </c>
      <c r="H472" s="4">
        <v>0</v>
      </c>
      <c r="I472" s="2">
        <v>12600</v>
      </c>
      <c r="J472" t="s">
        <v>253</v>
      </c>
      <c r="K472" t="s">
        <v>254</v>
      </c>
      <c r="L472">
        <v>5</v>
      </c>
      <c r="M472" t="str">
        <f>_xlfn.XLOOKUP(E472,tPacotes[ID_Pacote],tPacotes[Pacote])</f>
        <v>Buenos Aires Clássica</v>
      </c>
      <c r="N472" t="str">
        <f>_xlfn.XLOOKUP(E472,tPacotes[ID_Pacote],tPacotes[Categoria])</f>
        <v>Cultural</v>
      </c>
      <c r="O472" t="str">
        <f>_xlfn.XLOOKUP(D472,tClientes[ID_Cliente],tClientes[UF])</f>
        <v>MG</v>
      </c>
    </row>
    <row r="473" spans="1:15" x14ac:dyDescent="0.3">
      <c r="A473">
        <v>472</v>
      </c>
      <c r="B473" s="3">
        <v>45886</v>
      </c>
      <c r="C473" s="3">
        <v>45902</v>
      </c>
      <c r="D473">
        <v>186</v>
      </c>
      <c r="E473">
        <v>5</v>
      </c>
      <c r="F473">
        <v>1</v>
      </c>
      <c r="G473" s="2">
        <v>3400</v>
      </c>
      <c r="H473" s="4">
        <v>0.05</v>
      </c>
      <c r="I473" s="2">
        <v>3230</v>
      </c>
      <c r="J473" t="s">
        <v>253</v>
      </c>
      <c r="K473" t="s">
        <v>254</v>
      </c>
      <c r="L473">
        <v>4</v>
      </c>
      <c r="M473" t="str">
        <f>_xlfn.XLOOKUP(E473,tPacotes[ID_Pacote],tPacotes[Pacote])</f>
        <v>Bonito Aventura</v>
      </c>
      <c r="N473" t="str">
        <f>_xlfn.XLOOKUP(E473,tPacotes[ID_Pacote],tPacotes[Categoria])</f>
        <v>Aventura</v>
      </c>
      <c r="O473" t="str">
        <f>_xlfn.XLOOKUP(D473,tClientes[ID_Cliente],tClientes[UF])</f>
        <v>RJ</v>
      </c>
    </row>
    <row r="474" spans="1:15" x14ac:dyDescent="0.3">
      <c r="A474">
        <v>473</v>
      </c>
      <c r="B474" s="3">
        <v>45886</v>
      </c>
      <c r="C474" s="3">
        <v>45958</v>
      </c>
      <c r="D474">
        <v>159</v>
      </c>
      <c r="E474">
        <v>7</v>
      </c>
      <c r="F474">
        <v>2</v>
      </c>
      <c r="G474" s="2">
        <v>8400</v>
      </c>
      <c r="H474" s="4">
        <v>0</v>
      </c>
      <c r="I474" s="2">
        <v>8400</v>
      </c>
      <c r="J474" t="s">
        <v>257</v>
      </c>
      <c r="K474" t="s">
        <v>254</v>
      </c>
      <c r="L474">
        <v>4</v>
      </c>
      <c r="M474" t="str">
        <f>_xlfn.XLOOKUP(E474,tPacotes[ID_Pacote],tPacotes[Pacote])</f>
        <v>Buenos Aires Clássica</v>
      </c>
      <c r="N474" t="str">
        <f>_xlfn.XLOOKUP(E474,tPacotes[ID_Pacote],tPacotes[Categoria])</f>
        <v>Cultural</v>
      </c>
      <c r="O474" t="str">
        <f>_xlfn.XLOOKUP(D474,tClientes[ID_Cliente],tClientes[UF])</f>
        <v>SP</v>
      </c>
    </row>
    <row r="475" spans="1:15" x14ac:dyDescent="0.3">
      <c r="A475">
        <v>474</v>
      </c>
      <c r="B475" s="3">
        <v>45886</v>
      </c>
      <c r="C475" s="3">
        <v>45949</v>
      </c>
      <c r="D475">
        <v>148</v>
      </c>
      <c r="E475">
        <v>1</v>
      </c>
      <c r="F475">
        <v>2</v>
      </c>
      <c r="G475" s="2">
        <v>6400</v>
      </c>
      <c r="H475" s="4">
        <v>0</v>
      </c>
      <c r="I475" s="2">
        <v>6400</v>
      </c>
      <c r="J475" t="s">
        <v>255</v>
      </c>
      <c r="K475" t="s">
        <v>254</v>
      </c>
      <c r="L475">
        <v>4</v>
      </c>
      <c r="M475" t="str">
        <f>_xlfn.XLOOKUP(E475,tPacotes[ID_Pacote],tPacotes[Pacote])</f>
        <v>Nordeste Encantado</v>
      </c>
      <c r="N475" t="str">
        <f>_xlfn.XLOOKUP(E475,tPacotes[ID_Pacote],tPacotes[Categoria])</f>
        <v>Praia</v>
      </c>
      <c r="O475" t="str">
        <f>_xlfn.XLOOKUP(D475,tClientes[ID_Cliente],tClientes[UF])</f>
        <v>SP</v>
      </c>
    </row>
    <row r="476" spans="1:15" x14ac:dyDescent="0.3">
      <c r="A476">
        <v>475</v>
      </c>
      <c r="B476" s="3">
        <v>45887</v>
      </c>
      <c r="C476" s="3">
        <v>46060</v>
      </c>
      <c r="D476">
        <v>32</v>
      </c>
      <c r="E476">
        <v>1</v>
      </c>
      <c r="F476">
        <v>2</v>
      </c>
      <c r="G476" s="2">
        <v>6400</v>
      </c>
      <c r="H476" s="4">
        <v>0.15</v>
      </c>
      <c r="I476" s="2">
        <v>5440</v>
      </c>
      <c r="J476" t="s">
        <v>253</v>
      </c>
      <c r="K476" t="s">
        <v>254</v>
      </c>
      <c r="L476">
        <v>5</v>
      </c>
      <c r="M476" t="str">
        <f>_xlfn.XLOOKUP(E476,tPacotes[ID_Pacote],tPacotes[Pacote])</f>
        <v>Nordeste Encantado</v>
      </c>
      <c r="N476" t="str">
        <f>_xlfn.XLOOKUP(E476,tPacotes[ID_Pacote],tPacotes[Categoria])</f>
        <v>Praia</v>
      </c>
      <c r="O476" t="str">
        <f>_xlfn.XLOOKUP(D476,tClientes[ID_Cliente],tClientes[UF])</f>
        <v>PR</v>
      </c>
    </row>
    <row r="477" spans="1:15" x14ac:dyDescent="0.3">
      <c r="A477">
        <v>476</v>
      </c>
      <c r="B477" s="3">
        <v>45887</v>
      </c>
      <c r="C477" s="3">
        <v>45933</v>
      </c>
      <c r="D477">
        <v>198</v>
      </c>
      <c r="E477">
        <v>9</v>
      </c>
      <c r="F477">
        <v>2</v>
      </c>
      <c r="G477" s="2">
        <v>17800</v>
      </c>
      <c r="H477" s="4">
        <v>0</v>
      </c>
      <c r="I477" s="2">
        <v>17800</v>
      </c>
      <c r="J477" t="s">
        <v>253</v>
      </c>
      <c r="K477" t="s">
        <v>258</v>
      </c>
      <c r="M477" t="str">
        <f>_xlfn.XLOOKUP(E477,tPacotes[ID_Pacote],tPacotes[Pacote])</f>
        <v>Cancún All Inclusive</v>
      </c>
      <c r="N477" t="str">
        <f>_xlfn.XLOOKUP(E477,tPacotes[ID_Pacote],tPacotes[Categoria])</f>
        <v>Praia</v>
      </c>
      <c r="O477" t="str">
        <f>_xlfn.XLOOKUP(D477,tClientes[ID_Cliente],tClientes[UF])</f>
        <v>SP</v>
      </c>
    </row>
    <row r="478" spans="1:15" x14ac:dyDescent="0.3">
      <c r="A478">
        <v>477</v>
      </c>
      <c r="B478" s="3">
        <v>45887</v>
      </c>
      <c r="C478" s="3">
        <v>45898</v>
      </c>
      <c r="D478">
        <v>120</v>
      </c>
      <c r="E478">
        <v>8</v>
      </c>
      <c r="F478">
        <v>4</v>
      </c>
      <c r="G478" s="2">
        <v>23600</v>
      </c>
      <c r="H478" s="4">
        <v>0.05</v>
      </c>
      <c r="I478" s="2">
        <v>22420</v>
      </c>
      <c r="J478" t="s">
        <v>253</v>
      </c>
      <c r="K478" t="s">
        <v>254</v>
      </c>
      <c r="L478">
        <v>4</v>
      </c>
      <c r="M478" t="str">
        <f>_xlfn.XLOOKUP(E478,tPacotes[ID_Pacote],tPacotes[Pacote])</f>
        <v>Santiago e Neve</v>
      </c>
      <c r="N478" t="str">
        <f>_xlfn.XLOOKUP(E478,tPacotes[ID_Pacote],tPacotes[Categoria])</f>
        <v>Inverno</v>
      </c>
      <c r="O478" t="str">
        <f>_xlfn.XLOOKUP(D478,tClientes[ID_Cliente],tClientes[UF])</f>
        <v>PR</v>
      </c>
    </row>
    <row r="479" spans="1:15" x14ac:dyDescent="0.3">
      <c r="A479">
        <v>478</v>
      </c>
      <c r="B479" s="3">
        <v>45889</v>
      </c>
      <c r="C479" s="3">
        <v>45936</v>
      </c>
      <c r="D479">
        <v>38</v>
      </c>
      <c r="E479">
        <v>12</v>
      </c>
      <c r="F479">
        <v>3</v>
      </c>
      <c r="G479" s="2">
        <v>37200</v>
      </c>
      <c r="H479" s="4">
        <v>0.1</v>
      </c>
      <c r="I479" s="2">
        <v>33480</v>
      </c>
      <c r="J479" t="s">
        <v>257</v>
      </c>
      <c r="K479" t="s">
        <v>254</v>
      </c>
      <c r="L479">
        <v>5</v>
      </c>
      <c r="M479" t="str">
        <f>_xlfn.XLOOKUP(E479,tPacotes[ID_Pacote],tPacotes[Pacote])</f>
        <v>Lisboa e Porto</v>
      </c>
      <c r="N479" t="str">
        <f>_xlfn.XLOOKUP(E479,tPacotes[ID_Pacote],tPacotes[Categoria])</f>
        <v>Cultural</v>
      </c>
      <c r="O479" t="str">
        <f>_xlfn.XLOOKUP(D479,tClientes[ID_Cliente],tClientes[UF])</f>
        <v>SP</v>
      </c>
    </row>
    <row r="480" spans="1:15" x14ac:dyDescent="0.3">
      <c r="A480">
        <v>479</v>
      </c>
      <c r="B480" s="3">
        <v>45890</v>
      </c>
      <c r="C480" s="3">
        <v>45894</v>
      </c>
      <c r="D480">
        <v>77</v>
      </c>
      <c r="E480">
        <v>7</v>
      </c>
      <c r="F480">
        <v>5</v>
      </c>
      <c r="G480" s="2">
        <v>21000</v>
      </c>
      <c r="H480" s="4">
        <v>0.15</v>
      </c>
      <c r="I480" s="2">
        <v>17850</v>
      </c>
      <c r="J480" t="s">
        <v>253</v>
      </c>
      <c r="K480" t="s">
        <v>254</v>
      </c>
      <c r="L480">
        <v>2</v>
      </c>
      <c r="M480" t="str">
        <f>_xlfn.XLOOKUP(E480,tPacotes[ID_Pacote],tPacotes[Pacote])</f>
        <v>Buenos Aires Clássica</v>
      </c>
      <c r="N480" t="str">
        <f>_xlfn.XLOOKUP(E480,tPacotes[ID_Pacote],tPacotes[Categoria])</f>
        <v>Cultural</v>
      </c>
      <c r="O480" t="str">
        <f>_xlfn.XLOOKUP(D480,tClientes[ID_Cliente],tClientes[UF])</f>
        <v>RJ</v>
      </c>
    </row>
    <row r="481" spans="1:15" x14ac:dyDescent="0.3">
      <c r="A481">
        <v>480</v>
      </c>
      <c r="B481" s="3">
        <v>45890</v>
      </c>
      <c r="C481" s="3">
        <v>46069</v>
      </c>
      <c r="D481">
        <v>93</v>
      </c>
      <c r="E481">
        <v>2</v>
      </c>
      <c r="F481">
        <v>3</v>
      </c>
      <c r="G481" s="2">
        <v>5400</v>
      </c>
      <c r="H481" s="4">
        <v>0.1</v>
      </c>
      <c r="I481" s="2">
        <v>4860</v>
      </c>
      <c r="J481" t="s">
        <v>253</v>
      </c>
      <c r="K481" t="s">
        <v>254</v>
      </c>
      <c r="L481">
        <v>4</v>
      </c>
      <c r="M481" t="str">
        <f>_xlfn.XLOOKUP(E481,tPacotes[ID_Pacote],tPacotes[Pacote])</f>
        <v>Rio Cidade Maravilhosa</v>
      </c>
      <c r="N481" t="str">
        <f>_xlfn.XLOOKUP(E481,tPacotes[ID_Pacote],tPacotes[Categoria])</f>
        <v>Cultural</v>
      </c>
      <c r="O481" t="str">
        <f>_xlfn.XLOOKUP(D481,tClientes[ID_Cliente],tClientes[UF])</f>
        <v>DF</v>
      </c>
    </row>
    <row r="482" spans="1:15" x14ac:dyDescent="0.3">
      <c r="A482">
        <v>481</v>
      </c>
      <c r="B482" s="3">
        <v>45891</v>
      </c>
      <c r="C482" s="3">
        <v>45943</v>
      </c>
      <c r="D482">
        <v>122</v>
      </c>
      <c r="E482">
        <v>15</v>
      </c>
      <c r="F482">
        <v>5</v>
      </c>
      <c r="G482" s="2">
        <v>15500</v>
      </c>
      <c r="H482" s="4">
        <v>0</v>
      </c>
      <c r="I482" s="2">
        <v>15500</v>
      </c>
      <c r="J482" t="s">
        <v>255</v>
      </c>
      <c r="K482" t="s">
        <v>254</v>
      </c>
      <c r="L482">
        <v>4</v>
      </c>
      <c r="M482" t="str">
        <f>_xlfn.XLOOKUP(E482,tPacotes[ID_Pacote],tPacotes[Pacote])</f>
        <v>Jericoacoara</v>
      </c>
      <c r="N482" t="str">
        <f>_xlfn.XLOOKUP(E482,tPacotes[ID_Pacote],tPacotes[Categoria])</f>
        <v>Praia</v>
      </c>
      <c r="O482" t="str">
        <f>_xlfn.XLOOKUP(D482,tClientes[ID_Cliente],tClientes[UF])</f>
        <v>PR</v>
      </c>
    </row>
    <row r="483" spans="1:15" x14ac:dyDescent="0.3">
      <c r="A483">
        <v>482</v>
      </c>
      <c r="B483" s="3">
        <v>45892</v>
      </c>
      <c r="C483" s="3">
        <v>45902</v>
      </c>
      <c r="D483">
        <v>145</v>
      </c>
      <c r="E483">
        <v>1</v>
      </c>
      <c r="F483">
        <v>4</v>
      </c>
      <c r="G483" s="2">
        <v>12800</v>
      </c>
      <c r="H483" s="4">
        <v>0</v>
      </c>
      <c r="I483" s="2">
        <v>12800</v>
      </c>
      <c r="J483" t="s">
        <v>253</v>
      </c>
      <c r="K483" t="s">
        <v>254</v>
      </c>
      <c r="L483">
        <v>4</v>
      </c>
      <c r="M483" t="str">
        <f>_xlfn.XLOOKUP(E483,tPacotes[ID_Pacote],tPacotes[Pacote])</f>
        <v>Nordeste Encantado</v>
      </c>
      <c r="N483" t="str">
        <f>_xlfn.XLOOKUP(E483,tPacotes[ID_Pacote],tPacotes[Categoria])</f>
        <v>Praia</v>
      </c>
      <c r="O483" t="str">
        <f>_xlfn.XLOOKUP(D483,tClientes[ID_Cliente],tClientes[UF])</f>
        <v>SP</v>
      </c>
    </row>
    <row r="484" spans="1:15" x14ac:dyDescent="0.3">
      <c r="A484">
        <v>483</v>
      </c>
      <c r="B484" s="3">
        <v>45892</v>
      </c>
      <c r="C484" s="3">
        <v>45980</v>
      </c>
      <c r="D484">
        <v>57</v>
      </c>
      <c r="E484">
        <v>10</v>
      </c>
      <c r="F484">
        <v>3</v>
      </c>
      <c r="G484" s="2">
        <v>34500</v>
      </c>
      <c r="H484" s="4">
        <v>0</v>
      </c>
      <c r="I484" s="2">
        <v>34500</v>
      </c>
      <c r="J484" t="s">
        <v>257</v>
      </c>
      <c r="K484" t="s">
        <v>254</v>
      </c>
      <c r="L484">
        <v>5</v>
      </c>
      <c r="M484" t="str">
        <f>_xlfn.XLOOKUP(E484,tPacotes[ID_Pacote],tPacotes[Pacote])</f>
        <v>Orlando Parques</v>
      </c>
      <c r="N484" t="str">
        <f>_xlfn.XLOOKUP(E484,tPacotes[ID_Pacote],tPacotes[Categoria])</f>
        <v>Parques</v>
      </c>
      <c r="O484" t="str">
        <f>_xlfn.XLOOKUP(D484,tClientes[ID_Cliente],tClientes[UF])</f>
        <v>MG</v>
      </c>
    </row>
    <row r="485" spans="1:15" x14ac:dyDescent="0.3">
      <c r="A485">
        <v>484</v>
      </c>
      <c r="B485" s="3">
        <v>45892</v>
      </c>
      <c r="C485" s="3">
        <v>45907</v>
      </c>
      <c r="D485">
        <v>74</v>
      </c>
      <c r="E485">
        <v>1</v>
      </c>
      <c r="F485">
        <v>1</v>
      </c>
      <c r="G485" s="2">
        <v>3200</v>
      </c>
      <c r="H485" s="4">
        <v>0</v>
      </c>
      <c r="I485" s="2">
        <v>3200</v>
      </c>
      <c r="J485" t="s">
        <v>253</v>
      </c>
      <c r="K485" t="s">
        <v>254</v>
      </c>
      <c r="L485">
        <v>3</v>
      </c>
      <c r="M485" t="str">
        <f>_xlfn.XLOOKUP(E485,tPacotes[ID_Pacote],tPacotes[Pacote])</f>
        <v>Nordeste Encantado</v>
      </c>
      <c r="N485" t="str">
        <f>_xlfn.XLOOKUP(E485,tPacotes[ID_Pacote],tPacotes[Categoria])</f>
        <v>Praia</v>
      </c>
      <c r="O485" t="str">
        <f>_xlfn.XLOOKUP(D485,tClientes[ID_Cliente],tClientes[UF])</f>
        <v>SP</v>
      </c>
    </row>
    <row r="486" spans="1:15" x14ac:dyDescent="0.3">
      <c r="A486">
        <v>485</v>
      </c>
      <c r="B486" s="3">
        <v>45893</v>
      </c>
      <c r="C486" s="3">
        <v>45904</v>
      </c>
      <c r="D486">
        <v>97</v>
      </c>
      <c r="E486">
        <v>3</v>
      </c>
      <c r="F486">
        <v>2</v>
      </c>
      <c r="G486" s="2">
        <v>5200</v>
      </c>
      <c r="H486" s="4">
        <v>0.1</v>
      </c>
      <c r="I486" s="2">
        <v>4680</v>
      </c>
      <c r="J486" t="s">
        <v>255</v>
      </c>
      <c r="K486" t="s">
        <v>254</v>
      </c>
      <c r="L486">
        <v>5</v>
      </c>
      <c r="M486" t="str">
        <f>_xlfn.XLOOKUP(E486,tPacotes[ID_Pacote],tPacotes[Pacote])</f>
        <v>Serra Gaúcha</v>
      </c>
      <c r="N486" t="str">
        <f>_xlfn.XLOOKUP(E486,tPacotes[ID_Pacote],tPacotes[Categoria])</f>
        <v>Inverno</v>
      </c>
      <c r="O486" t="str">
        <f>_xlfn.XLOOKUP(D486,tClientes[ID_Cliente],tClientes[UF])</f>
        <v>SP</v>
      </c>
    </row>
    <row r="487" spans="1:15" x14ac:dyDescent="0.3">
      <c r="A487">
        <v>486</v>
      </c>
      <c r="B487" s="3">
        <v>45895</v>
      </c>
      <c r="C487" s="3">
        <v>45915</v>
      </c>
      <c r="D487">
        <v>121</v>
      </c>
      <c r="E487">
        <v>13</v>
      </c>
      <c r="F487">
        <v>1</v>
      </c>
      <c r="G487" s="2">
        <v>7300</v>
      </c>
      <c r="H487" s="4">
        <v>0</v>
      </c>
      <c r="I487" s="2">
        <v>7300</v>
      </c>
      <c r="J487" t="s">
        <v>255</v>
      </c>
      <c r="K487" t="s">
        <v>258</v>
      </c>
      <c r="M487" t="str">
        <f>_xlfn.XLOOKUP(E487,tPacotes[ID_Pacote],tPacotes[Pacote])</f>
        <v>Machu Picchu</v>
      </c>
      <c r="N487" t="str">
        <f>_xlfn.XLOOKUP(E487,tPacotes[ID_Pacote],tPacotes[Categoria])</f>
        <v>Aventura</v>
      </c>
      <c r="O487" t="str">
        <f>_xlfn.XLOOKUP(D487,tClientes[ID_Cliente],tClientes[UF])</f>
        <v>RS</v>
      </c>
    </row>
    <row r="488" spans="1:15" x14ac:dyDescent="0.3">
      <c r="A488">
        <v>487</v>
      </c>
      <c r="B488" s="3">
        <v>45896</v>
      </c>
      <c r="C488" s="3">
        <v>45963</v>
      </c>
      <c r="D488">
        <v>42</v>
      </c>
      <c r="E488">
        <v>9</v>
      </c>
      <c r="F488">
        <v>1</v>
      </c>
      <c r="G488" s="2">
        <v>8900</v>
      </c>
      <c r="H488" s="4">
        <v>0</v>
      </c>
      <c r="I488" s="2">
        <v>8900</v>
      </c>
      <c r="J488" t="s">
        <v>256</v>
      </c>
      <c r="K488" t="s">
        <v>254</v>
      </c>
      <c r="L488">
        <v>2</v>
      </c>
      <c r="M488" t="str">
        <f>_xlfn.XLOOKUP(E488,tPacotes[ID_Pacote],tPacotes[Pacote])</f>
        <v>Cancún All Inclusive</v>
      </c>
      <c r="N488" t="str">
        <f>_xlfn.XLOOKUP(E488,tPacotes[ID_Pacote],tPacotes[Categoria])</f>
        <v>Praia</v>
      </c>
      <c r="O488" t="str">
        <f>_xlfn.XLOOKUP(D488,tClientes[ID_Cliente],tClientes[UF])</f>
        <v>SP</v>
      </c>
    </row>
    <row r="489" spans="1:15" x14ac:dyDescent="0.3">
      <c r="A489">
        <v>488</v>
      </c>
      <c r="B489" s="3">
        <v>45896</v>
      </c>
      <c r="C489" s="3">
        <v>46058</v>
      </c>
      <c r="D489">
        <v>6</v>
      </c>
      <c r="E489">
        <v>14</v>
      </c>
      <c r="F489">
        <v>1</v>
      </c>
      <c r="G489" s="2">
        <v>2900</v>
      </c>
      <c r="H489" s="4">
        <v>0.05</v>
      </c>
      <c r="I489" s="2">
        <v>2755</v>
      </c>
      <c r="J489" t="s">
        <v>253</v>
      </c>
      <c r="K489" t="s">
        <v>254</v>
      </c>
      <c r="L489">
        <v>5</v>
      </c>
      <c r="M489" t="str">
        <f>_xlfn.XLOOKUP(E489,tPacotes[ID_Pacote],tPacotes[Pacote])</f>
        <v>Lençóis Maranhenses</v>
      </c>
      <c r="N489" t="str">
        <f>_xlfn.XLOOKUP(E489,tPacotes[ID_Pacote],tPacotes[Categoria])</f>
        <v>Natureza</v>
      </c>
      <c r="O489" t="str">
        <f>_xlfn.XLOOKUP(D489,tClientes[ID_Cliente],tClientes[UF])</f>
        <v>SP</v>
      </c>
    </row>
    <row r="490" spans="1:15" x14ac:dyDescent="0.3">
      <c r="A490">
        <v>489</v>
      </c>
      <c r="B490" s="3">
        <v>45897</v>
      </c>
      <c r="C490" s="3">
        <v>46066</v>
      </c>
      <c r="D490">
        <v>118</v>
      </c>
      <c r="E490">
        <v>2</v>
      </c>
      <c r="F490">
        <v>3</v>
      </c>
      <c r="G490" s="2">
        <v>5400</v>
      </c>
      <c r="H490" s="4">
        <v>0</v>
      </c>
      <c r="I490" s="2">
        <v>5400</v>
      </c>
      <c r="J490" t="s">
        <v>255</v>
      </c>
      <c r="K490" t="s">
        <v>254</v>
      </c>
      <c r="L490">
        <v>4</v>
      </c>
      <c r="M490" t="str">
        <f>_xlfn.XLOOKUP(E490,tPacotes[ID_Pacote],tPacotes[Pacote])</f>
        <v>Rio Cidade Maravilhosa</v>
      </c>
      <c r="N490" t="str">
        <f>_xlfn.XLOOKUP(E490,tPacotes[ID_Pacote],tPacotes[Categoria])</f>
        <v>Cultural</v>
      </c>
      <c r="O490" t="str">
        <f>_xlfn.XLOOKUP(D490,tClientes[ID_Cliente],tClientes[UF])</f>
        <v>SP</v>
      </c>
    </row>
    <row r="491" spans="1:15" x14ac:dyDescent="0.3">
      <c r="A491">
        <v>490</v>
      </c>
      <c r="B491" s="3">
        <v>45897</v>
      </c>
      <c r="C491" s="3">
        <v>46054</v>
      </c>
      <c r="D491">
        <v>33</v>
      </c>
      <c r="E491">
        <v>15</v>
      </c>
      <c r="F491">
        <v>3</v>
      </c>
      <c r="G491" s="2">
        <v>9300</v>
      </c>
      <c r="H491" s="4">
        <v>0</v>
      </c>
      <c r="I491" s="2">
        <v>9300</v>
      </c>
      <c r="J491" t="s">
        <v>257</v>
      </c>
      <c r="K491" t="s">
        <v>254</v>
      </c>
      <c r="L491">
        <v>3</v>
      </c>
      <c r="M491" t="str">
        <f>_xlfn.XLOOKUP(E491,tPacotes[ID_Pacote],tPacotes[Pacote])</f>
        <v>Jericoacoara</v>
      </c>
      <c r="N491" t="str">
        <f>_xlfn.XLOOKUP(E491,tPacotes[ID_Pacote],tPacotes[Categoria])</f>
        <v>Praia</v>
      </c>
      <c r="O491" t="str">
        <f>_xlfn.XLOOKUP(D491,tClientes[ID_Cliente],tClientes[UF])</f>
        <v>PR</v>
      </c>
    </row>
    <row r="492" spans="1:15" x14ac:dyDescent="0.3">
      <c r="A492">
        <v>491</v>
      </c>
      <c r="B492" s="3">
        <v>45897</v>
      </c>
      <c r="C492" s="3">
        <v>45938</v>
      </c>
      <c r="D492">
        <v>73</v>
      </c>
      <c r="E492">
        <v>12</v>
      </c>
      <c r="F492">
        <v>2</v>
      </c>
      <c r="G492" s="2">
        <v>24800</v>
      </c>
      <c r="H492" s="4">
        <v>0.1</v>
      </c>
      <c r="I492" s="2">
        <v>22320</v>
      </c>
      <c r="J492" t="s">
        <v>257</v>
      </c>
      <c r="K492" t="s">
        <v>258</v>
      </c>
      <c r="M492" t="str">
        <f>_xlfn.XLOOKUP(E492,tPacotes[ID_Pacote],tPacotes[Pacote])</f>
        <v>Lisboa e Porto</v>
      </c>
      <c r="N492" t="str">
        <f>_xlfn.XLOOKUP(E492,tPacotes[ID_Pacote],tPacotes[Categoria])</f>
        <v>Cultural</v>
      </c>
      <c r="O492" t="str">
        <f>_xlfn.XLOOKUP(D492,tClientes[ID_Cliente],tClientes[UF])</f>
        <v>SP</v>
      </c>
    </row>
    <row r="493" spans="1:15" x14ac:dyDescent="0.3">
      <c r="A493">
        <v>492</v>
      </c>
      <c r="B493" s="3">
        <v>45898</v>
      </c>
      <c r="C493" s="3">
        <v>45912</v>
      </c>
      <c r="D493">
        <v>79</v>
      </c>
      <c r="E493">
        <v>15</v>
      </c>
      <c r="F493">
        <v>1</v>
      </c>
      <c r="G493" s="2">
        <v>3100</v>
      </c>
      <c r="H493" s="4">
        <v>0</v>
      </c>
      <c r="I493" s="2">
        <v>3100</v>
      </c>
      <c r="J493" t="s">
        <v>253</v>
      </c>
      <c r="K493" t="s">
        <v>254</v>
      </c>
      <c r="L493">
        <v>4</v>
      </c>
      <c r="M493" t="str">
        <f>_xlfn.XLOOKUP(E493,tPacotes[ID_Pacote],tPacotes[Pacote])</f>
        <v>Jericoacoara</v>
      </c>
      <c r="N493" t="str">
        <f>_xlfn.XLOOKUP(E493,tPacotes[ID_Pacote],tPacotes[Categoria])</f>
        <v>Praia</v>
      </c>
      <c r="O493" t="str">
        <f>_xlfn.XLOOKUP(D493,tClientes[ID_Cliente],tClientes[UF])</f>
        <v>RJ</v>
      </c>
    </row>
    <row r="494" spans="1:15" x14ac:dyDescent="0.3">
      <c r="A494">
        <v>493</v>
      </c>
      <c r="B494" s="3">
        <v>45899</v>
      </c>
      <c r="C494" s="3">
        <v>45956</v>
      </c>
      <c r="D494">
        <v>104</v>
      </c>
      <c r="E494">
        <v>7</v>
      </c>
      <c r="F494">
        <v>3</v>
      </c>
      <c r="G494" s="2">
        <v>12600</v>
      </c>
      <c r="H494" s="4">
        <v>0.1</v>
      </c>
      <c r="I494" s="2">
        <v>11340</v>
      </c>
      <c r="J494" t="s">
        <v>257</v>
      </c>
      <c r="K494" t="s">
        <v>254</v>
      </c>
      <c r="L494">
        <v>3</v>
      </c>
      <c r="M494" t="str">
        <f>_xlfn.XLOOKUP(E494,tPacotes[ID_Pacote],tPacotes[Pacote])</f>
        <v>Buenos Aires Clássica</v>
      </c>
      <c r="N494" t="str">
        <f>_xlfn.XLOOKUP(E494,tPacotes[ID_Pacote],tPacotes[Categoria])</f>
        <v>Cultural</v>
      </c>
      <c r="O494" t="str">
        <f>_xlfn.XLOOKUP(D494,tClientes[ID_Cliente],tClientes[UF])</f>
        <v>RJ</v>
      </c>
    </row>
    <row r="495" spans="1:15" x14ac:dyDescent="0.3">
      <c r="A495">
        <v>494</v>
      </c>
      <c r="B495" s="3">
        <v>45899</v>
      </c>
      <c r="C495" s="3">
        <v>46079</v>
      </c>
      <c r="D495">
        <v>184</v>
      </c>
      <c r="E495">
        <v>15</v>
      </c>
      <c r="F495">
        <v>2</v>
      </c>
      <c r="G495" s="2">
        <v>6200</v>
      </c>
      <c r="H495" s="4">
        <v>0</v>
      </c>
      <c r="I495" s="2">
        <v>6200</v>
      </c>
      <c r="J495" t="s">
        <v>255</v>
      </c>
      <c r="K495" t="s">
        <v>254</v>
      </c>
      <c r="L495">
        <v>4</v>
      </c>
      <c r="M495" t="str">
        <f>_xlfn.XLOOKUP(E495,tPacotes[ID_Pacote],tPacotes[Pacote])</f>
        <v>Jericoacoara</v>
      </c>
      <c r="N495" t="str">
        <f>_xlfn.XLOOKUP(E495,tPacotes[ID_Pacote],tPacotes[Categoria])</f>
        <v>Praia</v>
      </c>
      <c r="O495" t="str">
        <f>_xlfn.XLOOKUP(D495,tClientes[ID_Cliente],tClientes[UF])</f>
        <v>SP</v>
      </c>
    </row>
    <row r="496" spans="1:15" x14ac:dyDescent="0.3">
      <c r="A496">
        <v>495</v>
      </c>
      <c r="B496" s="3">
        <v>45900</v>
      </c>
      <c r="C496" s="3">
        <v>45959</v>
      </c>
      <c r="D496">
        <v>11</v>
      </c>
      <c r="E496">
        <v>1</v>
      </c>
      <c r="F496">
        <v>2</v>
      </c>
      <c r="G496" s="2">
        <v>6400</v>
      </c>
      <c r="H496" s="4">
        <v>0</v>
      </c>
      <c r="I496" s="2">
        <v>6400</v>
      </c>
      <c r="J496" t="s">
        <v>255</v>
      </c>
      <c r="K496" t="s">
        <v>258</v>
      </c>
      <c r="M496" t="str">
        <f>_xlfn.XLOOKUP(E496,tPacotes[ID_Pacote],tPacotes[Pacote])</f>
        <v>Nordeste Encantado</v>
      </c>
      <c r="N496" t="str">
        <f>_xlfn.XLOOKUP(E496,tPacotes[ID_Pacote],tPacotes[Categoria])</f>
        <v>Praia</v>
      </c>
      <c r="O496" t="str">
        <f>_xlfn.XLOOKUP(D496,tClientes[ID_Cliente],tClientes[UF])</f>
        <v>RJ</v>
      </c>
    </row>
    <row r="497" spans="1:15" x14ac:dyDescent="0.3">
      <c r="A497">
        <v>496</v>
      </c>
      <c r="B497" s="3">
        <v>45900</v>
      </c>
      <c r="C497" s="3">
        <v>45953</v>
      </c>
      <c r="D497">
        <v>177</v>
      </c>
      <c r="E497">
        <v>3</v>
      </c>
      <c r="F497">
        <v>2</v>
      </c>
      <c r="G497" s="2">
        <v>5200</v>
      </c>
      <c r="H497" s="4">
        <v>0</v>
      </c>
      <c r="I497" s="2">
        <v>5200</v>
      </c>
      <c r="J497" t="s">
        <v>255</v>
      </c>
      <c r="K497" t="s">
        <v>254</v>
      </c>
      <c r="L497">
        <v>5</v>
      </c>
      <c r="M497" t="str">
        <f>_xlfn.XLOOKUP(E497,tPacotes[ID_Pacote],tPacotes[Pacote])</f>
        <v>Serra Gaúcha</v>
      </c>
      <c r="N497" t="str">
        <f>_xlfn.XLOOKUP(E497,tPacotes[ID_Pacote],tPacotes[Categoria])</f>
        <v>Inverno</v>
      </c>
      <c r="O497" t="str">
        <f>_xlfn.XLOOKUP(D497,tClientes[ID_Cliente],tClientes[UF])</f>
        <v>RJ</v>
      </c>
    </row>
    <row r="498" spans="1:15" x14ac:dyDescent="0.3">
      <c r="A498">
        <v>497</v>
      </c>
      <c r="B498" s="3">
        <v>45900</v>
      </c>
      <c r="C498" s="3">
        <v>46066</v>
      </c>
      <c r="D498">
        <v>153</v>
      </c>
      <c r="E498">
        <v>14</v>
      </c>
      <c r="F498">
        <v>2</v>
      </c>
      <c r="G498" s="2">
        <v>5800</v>
      </c>
      <c r="H498" s="4">
        <v>0</v>
      </c>
      <c r="I498" s="2">
        <v>5800</v>
      </c>
      <c r="J498" t="s">
        <v>256</v>
      </c>
      <c r="K498" t="s">
        <v>254</v>
      </c>
      <c r="L498">
        <v>3</v>
      </c>
      <c r="M498" t="str">
        <f>_xlfn.XLOOKUP(E498,tPacotes[ID_Pacote],tPacotes[Pacote])</f>
        <v>Lençóis Maranhenses</v>
      </c>
      <c r="N498" t="str">
        <f>_xlfn.XLOOKUP(E498,tPacotes[ID_Pacote],tPacotes[Categoria])</f>
        <v>Natureza</v>
      </c>
      <c r="O498" t="str">
        <f>_xlfn.XLOOKUP(D498,tClientes[ID_Cliente],tClientes[UF])</f>
        <v>SP</v>
      </c>
    </row>
    <row r="499" spans="1:15" x14ac:dyDescent="0.3">
      <c r="A499">
        <v>498</v>
      </c>
      <c r="B499" s="3">
        <v>45900</v>
      </c>
      <c r="C499" s="3">
        <v>45905</v>
      </c>
      <c r="D499">
        <v>4</v>
      </c>
      <c r="E499">
        <v>6</v>
      </c>
      <c r="F499">
        <v>2</v>
      </c>
      <c r="G499" s="2">
        <v>4200</v>
      </c>
      <c r="H499" s="4">
        <v>0</v>
      </c>
      <c r="I499" s="2">
        <v>4200</v>
      </c>
      <c r="J499" t="s">
        <v>253</v>
      </c>
      <c r="K499" t="s">
        <v>254</v>
      </c>
      <c r="L499">
        <v>4</v>
      </c>
      <c r="M499" t="str">
        <f>_xlfn.XLOOKUP(E499,tPacotes[ID_Pacote],tPacotes[Pacote])</f>
        <v>Foz do Iguaçu</v>
      </c>
      <c r="N499" t="str">
        <f>_xlfn.XLOOKUP(E499,tPacotes[ID_Pacote],tPacotes[Categoria])</f>
        <v>Natureza</v>
      </c>
      <c r="O499" t="str">
        <f>_xlfn.XLOOKUP(D499,tClientes[ID_Cliente],tClientes[UF])</f>
        <v>RJ</v>
      </c>
    </row>
    <row r="500" spans="1:15" x14ac:dyDescent="0.3">
      <c r="A500">
        <v>499</v>
      </c>
      <c r="B500" s="3">
        <v>45900</v>
      </c>
      <c r="C500" s="3">
        <v>45948</v>
      </c>
      <c r="D500">
        <v>120</v>
      </c>
      <c r="E500">
        <v>1</v>
      </c>
      <c r="F500">
        <v>4</v>
      </c>
      <c r="G500" s="2">
        <v>12800</v>
      </c>
      <c r="H500" s="4">
        <v>0.05</v>
      </c>
      <c r="I500" s="2">
        <v>12160</v>
      </c>
      <c r="J500" t="s">
        <v>255</v>
      </c>
      <c r="K500" t="s">
        <v>254</v>
      </c>
      <c r="L500">
        <v>2</v>
      </c>
      <c r="M500" t="str">
        <f>_xlfn.XLOOKUP(E500,tPacotes[ID_Pacote],tPacotes[Pacote])</f>
        <v>Nordeste Encantado</v>
      </c>
      <c r="N500" t="str">
        <f>_xlfn.XLOOKUP(E500,tPacotes[ID_Pacote],tPacotes[Categoria])</f>
        <v>Praia</v>
      </c>
      <c r="O500" t="str">
        <f>_xlfn.XLOOKUP(D500,tClientes[ID_Cliente],tClientes[UF])</f>
        <v>PR</v>
      </c>
    </row>
    <row r="501" spans="1:15" x14ac:dyDescent="0.3">
      <c r="A501">
        <v>500</v>
      </c>
      <c r="B501" s="3">
        <v>45901</v>
      </c>
      <c r="C501" s="3">
        <v>45981</v>
      </c>
      <c r="D501">
        <v>69</v>
      </c>
      <c r="E501">
        <v>6</v>
      </c>
      <c r="F501">
        <v>1</v>
      </c>
      <c r="G501" s="2">
        <v>2100</v>
      </c>
      <c r="H501" s="4">
        <v>0</v>
      </c>
      <c r="I501" s="2">
        <v>2100</v>
      </c>
      <c r="J501" t="s">
        <v>253</v>
      </c>
      <c r="K501" t="s">
        <v>254</v>
      </c>
      <c r="L501">
        <v>3</v>
      </c>
      <c r="M501" t="str">
        <f>_xlfn.XLOOKUP(E501,tPacotes[ID_Pacote],tPacotes[Pacote])</f>
        <v>Foz do Iguaçu</v>
      </c>
      <c r="N501" t="str">
        <f>_xlfn.XLOOKUP(E501,tPacotes[ID_Pacote],tPacotes[Categoria])</f>
        <v>Natureza</v>
      </c>
      <c r="O501" t="str">
        <f>_xlfn.XLOOKUP(D501,tClientes[ID_Cliente],tClientes[UF])</f>
        <v>RJ</v>
      </c>
    </row>
    <row r="502" spans="1:15" x14ac:dyDescent="0.3">
      <c r="A502">
        <v>501</v>
      </c>
      <c r="B502" s="3">
        <v>45901</v>
      </c>
      <c r="C502" s="3">
        <v>46010</v>
      </c>
      <c r="D502">
        <v>3</v>
      </c>
      <c r="E502">
        <v>1</v>
      </c>
      <c r="F502">
        <v>4</v>
      </c>
      <c r="G502" s="2">
        <v>12800</v>
      </c>
      <c r="H502" s="4">
        <v>0.1</v>
      </c>
      <c r="I502" s="2">
        <v>11520</v>
      </c>
      <c r="J502" t="s">
        <v>253</v>
      </c>
      <c r="K502" t="s">
        <v>254</v>
      </c>
      <c r="L502">
        <v>5</v>
      </c>
      <c r="M502" t="str">
        <f>_xlfn.XLOOKUP(E502,tPacotes[ID_Pacote],tPacotes[Pacote])</f>
        <v>Nordeste Encantado</v>
      </c>
      <c r="N502" t="str">
        <f>_xlfn.XLOOKUP(E502,tPacotes[ID_Pacote],tPacotes[Categoria])</f>
        <v>Praia</v>
      </c>
      <c r="O502" t="str">
        <f>_xlfn.XLOOKUP(D502,tClientes[ID_Cliente],tClientes[UF])</f>
        <v>SP</v>
      </c>
    </row>
    <row r="503" spans="1:15" x14ac:dyDescent="0.3">
      <c r="A503">
        <v>502</v>
      </c>
      <c r="B503" s="3">
        <v>45901</v>
      </c>
      <c r="C503" s="3">
        <v>45987</v>
      </c>
      <c r="D503">
        <v>174</v>
      </c>
      <c r="E503">
        <v>1</v>
      </c>
      <c r="F503">
        <v>2</v>
      </c>
      <c r="G503" s="2">
        <v>6400</v>
      </c>
      <c r="H503" s="4">
        <v>0</v>
      </c>
      <c r="I503" s="2">
        <v>6400</v>
      </c>
      <c r="J503" t="s">
        <v>255</v>
      </c>
      <c r="K503" t="s">
        <v>254</v>
      </c>
      <c r="L503">
        <v>5</v>
      </c>
      <c r="M503" t="str">
        <f>_xlfn.XLOOKUP(E503,tPacotes[ID_Pacote],tPacotes[Pacote])</f>
        <v>Nordeste Encantado</v>
      </c>
      <c r="N503" t="str">
        <f>_xlfn.XLOOKUP(E503,tPacotes[ID_Pacote],tPacotes[Categoria])</f>
        <v>Praia</v>
      </c>
      <c r="O503" t="str">
        <f>_xlfn.XLOOKUP(D503,tClientes[ID_Cliente],tClientes[UF])</f>
        <v>SP</v>
      </c>
    </row>
    <row r="504" spans="1:15" x14ac:dyDescent="0.3">
      <c r="A504">
        <v>503</v>
      </c>
      <c r="B504" s="3">
        <v>45902</v>
      </c>
      <c r="C504" s="3">
        <v>45917</v>
      </c>
      <c r="D504">
        <v>25</v>
      </c>
      <c r="E504">
        <v>14</v>
      </c>
      <c r="F504">
        <v>1</v>
      </c>
      <c r="G504" s="2">
        <v>2900</v>
      </c>
      <c r="H504" s="4">
        <v>0</v>
      </c>
      <c r="I504" s="2">
        <v>2900</v>
      </c>
      <c r="J504" t="s">
        <v>255</v>
      </c>
      <c r="K504" t="s">
        <v>258</v>
      </c>
      <c r="M504" t="str">
        <f>_xlfn.XLOOKUP(E504,tPacotes[ID_Pacote],tPacotes[Pacote])</f>
        <v>Lençóis Maranhenses</v>
      </c>
      <c r="N504" t="str">
        <f>_xlfn.XLOOKUP(E504,tPacotes[ID_Pacote],tPacotes[Categoria])</f>
        <v>Natureza</v>
      </c>
      <c r="O504" t="str">
        <f>_xlfn.XLOOKUP(D504,tClientes[ID_Cliente],tClientes[UF])</f>
        <v>PE</v>
      </c>
    </row>
    <row r="505" spans="1:15" x14ac:dyDescent="0.3">
      <c r="A505">
        <v>504</v>
      </c>
      <c r="B505" s="3">
        <v>45902</v>
      </c>
      <c r="C505" s="3">
        <v>45947</v>
      </c>
      <c r="D505">
        <v>73</v>
      </c>
      <c r="E505">
        <v>6</v>
      </c>
      <c r="F505">
        <v>1</v>
      </c>
      <c r="G505" s="2">
        <v>2100</v>
      </c>
      <c r="H505" s="4">
        <v>0.05</v>
      </c>
      <c r="I505" s="2">
        <v>1995</v>
      </c>
      <c r="J505" t="s">
        <v>255</v>
      </c>
      <c r="K505" t="s">
        <v>254</v>
      </c>
      <c r="L505">
        <v>4</v>
      </c>
      <c r="M505" t="str">
        <f>_xlfn.XLOOKUP(E505,tPacotes[ID_Pacote],tPacotes[Pacote])</f>
        <v>Foz do Iguaçu</v>
      </c>
      <c r="N505" t="str">
        <f>_xlfn.XLOOKUP(E505,tPacotes[ID_Pacote],tPacotes[Categoria])</f>
        <v>Natureza</v>
      </c>
      <c r="O505" t="str">
        <f>_xlfn.XLOOKUP(D505,tClientes[ID_Cliente],tClientes[UF])</f>
        <v>SP</v>
      </c>
    </row>
    <row r="506" spans="1:15" x14ac:dyDescent="0.3">
      <c r="A506">
        <v>505</v>
      </c>
      <c r="B506" s="3">
        <v>45902</v>
      </c>
      <c r="C506" s="3">
        <v>45922</v>
      </c>
      <c r="D506">
        <v>21</v>
      </c>
      <c r="E506">
        <v>14</v>
      </c>
      <c r="F506">
        <v>4</v>
      </c>
      <c r="G506" s="2">
        <v>11600</v>
      </c>
      <c r="H506" s="4">
        <v>0.05</v>
      </c>
      <c r="I506" s="2">
        <v>11020</v>
      </c>
      <c r="J506" t="s">
        <v>253</v>
      </c>
      <c r="K506" t="s">
        <v>254</v>
      </c>
      <c r="L506">
        <v>4</v>
      </c>
      <c r="M506" t="str">
        <f>_xlfn.XLOOKUP(E506,tPacotes[ID_Pacote],tPacotes[Pacote])</f>
        <v>Lençóis Maranhenses</v>
      </c>
      <c r="N506" t="str">
        <f>_xlfn.XLOOKUP(E506,tPacotes[ID_Pacote],tPacotes[Categoria])</f>
        <v>Natureza</v>
      </c>
      <c r="O506" t="str">
        <f>_xlfn.XLOOKUP(D506,tClientes[ID_Cliente],tClientes[UF])</f>
        <v>MG</v>
      </c>
    </row>
    <row r="507" spans="1:15" x14ac:dyDescent="0.3">
      <c r="A507">
        <v>506</v>
      </c>
      <c r="B507" s="3">
        <v>45902</v>
      </c>
      <c r="C507" s="3">
        <v>45924</v>
      </c>
      <c r="D507">
        <v>57</v>
      </c>
      <c r="E507">
        <v>2</v>
      </c>
      <c r="F507">
        <v>2</v>
      </c>
      <c r="G507" s="2">
        <v>3600</v>
      </c>
      <c r="H507" s="4">
        <v>0</v>
      </c>
      <c r="I507" s="2">
        <v>3600</v>
      </c>
      <c r="J507" t="s">
        <v>253</v>
      </c>
      <c r="K507" t="s">
        <v>258</v>
      </c>
      <c r="M507" t="str">
        <f>_xlfn.XLOOKUP(E507,tPacotes[ID_Pacote],tPacotes[Pacote])</f>
        <v>Rio Cidade Maravilhosa</v>
      </c>
      <c r="N507" t="str">
        <f>_xlfn.XLOOKUP(E507,tPacotes[ID_Pacote],tPacotes[Categoria])</f>
        <v>Cultural</v>
      </c>
      <c r="O507" t="str">
        <f>_xlfn.XLOOKUP(D507,tClientes[ID_Cliente],tClientes[UF])</f>
        <v>MG</v>
      </c>
    </row>
    <row r="508" spans="1:15" x14ac:dyDescent="0.3">
      <c r="A508">
        <v>507</v>
      </c>
      <c r="B508" s="3">
        <v>45903</v>
      </c>
      <c r="C508" s="3">
        <v>45921</v>
      </c>
      <c r="D508">
        <v>121</v>
      </c>
      <c r="E508">
        <v>10</v>
      </c>
      <c r="F508">
        <v>4</v>
      </c>
      <c r="G508" s="2">
        <v>46000</v>
      </c>
      <c r="H508" s="4">
        <v>0</v>
      </c>
      <c r="I508" s="2">
        <v>46000</v>
      </c>
      <c r="J508" t="s">
        <v>257</v>
      </c>
      <c r="K508" t="s">
        <v>254</v>
      </c>
      <c r="L508">
        <v>5</v>
      </c>
      <c r="M508" t="str">
        <f>_xlfn.XLOOKUP(E508,tPacotes[ID_Pacote],tPacotes[Pacote])</f>
        <v>Orlando Parques</v>
      </c>
      <c r="N508" t="str">
        <f>_xlfn.XLOOKUP(E508,tPacotes[ID_Pacote],tPacotes[Categoria])</f>
        <v>Parques</v>
      </c>
      <c r="O508" t="str">
        <f>_xlfn.XLOOKUP(D508,tClientes[ID_Cliente],tClientes[UF])</f>
        <v>RS</v>
      </c>
    </row>
    <row r="509" spans="1:15" x14ac:dyDescent="0.3">
      <c r="A509">
        <v>508</v>
      </c>
      <c r="B509" s="3">
        <v>45905</v>
      </c>
      <c r="C509" s="3">
        <v>45953</v>
      </c>
      <c r="D509">
        <v>53</v>
      </c>
      <c r="E509">
        <v>2</v>
      </c>
      <c r="F509">
        <v>1</v>
      </c>
      <c r="G509" s="2">
        <v>1800</v>
      </c>
      <c r="H509" s="4">
        <v>0.15</v>
      </c>
      <c r="I509" s="2">
        <v>1530</v>
      </c>
      <c r="J509" t="s">
        <v>256</v>
      </c>
      <c r="K509" t="s">
        <v>254</v>
      </c>
      <c r="L509">
        <v>4</v>
      </c>
      <c r="M509" t="str">
        <f>_xlfn.XLOOKUP(E509,tPacotes[ID_Pacote],tPacotes[Pacote])</f>
        <v>Rio Cidade Maravilhosa</v>
      </c>
      <c r="N509" t="str">
        <f>_xlfn.XLOOKUP(E509,tPacotes[ID_Pacote],tPacotes[Categoria])</f>
        <v>Cultural</v>
      </c>
      <c r="O509" t="str">
        <f>_xlfn.XLOOKUP(D509,tClientes[ID_Cliente],tClientes[UF])</f>
        <v>RJ</v>
      </c>
    </row>
    <row r="510" spans="1:15" x14ac:dyDescent="0.3">
      <c r="A510">
        <v>509</v>
      </c>
      <c r="B510" s="3">
        <v>45905</v>
      </c>
      <c r="C510" s="3">
        <v>46060</v>
      </c>
      <c r="D510">
        <v>30</v>
      </c>
      <c r="E510">
        <v>3</v>
      </c>
      <c r="F510">
        <v>2</v>
      </c>
      <c r="G510" s="2">
        <v>5200</v>
      </c>
      <c r="H510" s="4">
        <v>0</v>
      </c>
      <c r="I510" s="2">
        <v>5200</v>
      </c>
      <c r="J510" t="s">
        <v>255</v>
      </c>
      <c r="K510" t="s">
        <v>254</v>
      </c>
      <c r="L510">
        <v>5</v>
      </c>
      <c r="M510" t="str">
        <f>_xlfn.XLOOKUP(E510,tPacotes[ID_Pacote],tPacotes[Pacote])</f>
        <v>Serra Gaúcha</v>
      </c>
      <c r="N510" t="str">
        <f>_xlfn.XLOOKUP(E510,tPacotes[ID_Pacote],tPacotes[Categoria])</f>
        <v>Inverno</v>
      </c>
      <c r="O510" t="str">
        <f>_xlfn.XLOOKUP(D510,tClientes[ID_Cliente],tClientes[UF])</f>
        <v>SP</v>
      </c>
    </row>
    <row r="511" spans="1:15" x14ac:dyDescent="0.3">
      <c r="A511">
        <v>510</v>
      </c>
      <c r="B511" s="3">
        <v>45905</v>
      </c>
      <c r="C511" s="3">
        <v>46065</v>
      </c>
      <c r="D511">
        <v>110</v>
      </c>
      <c r="E511">
        <v>2</v>
      </c>
      <c r="F511">
        <v>1</v>
      </c>
      <c r="G511" s="2">
        <v>1800</v>
      </c>
      <c r="H511" s="4">
        <v>0.1</v>
      </c>
      <c r="I511" s="2">
        <v>1620</v>
      </c>
      <c r="J511" t="s">
        <v>257</v>
      </c>
      <c r="K511" t="s">
        <v>254</v>
      </c>
      <c r="L511">
        <v>3</v>
      </c>
      <c r="M511" t="str">
        <f>_xlfn.XLOOKUP(E511,tPacotes[ID_Pacote],tPacotes[Pacote])</f>
        <v>Rio Cidade Maravilhosa</v>
      </c>
      <c r="N511" t="str">
        <f>_xlfn.XLOOKUP(E511,tPacotes[ID_Pacote],tPacotes[Categoria])</f>
        <v>Cultural</v>
      </c>
      <c r="O511" t="str">
        <f>_xlfn.XLOOKUP(D511,tClientes[ID_Cliente],tClientes[UF])</f>
        <v>SP</v>
      </c>
    </row>
    <row r="512" spans="1:15" x14ac:dyDescent="0.3">
      <c r="A512">
        <v>511</v>
      </c>
      <c r="B512" s="3">
        <v>45906</v>
      </c>
      <c r="C512" s="3">
        <v>46002</v>
      </c>
      <c r="D512">
        <v>60</v>
      </c>
      <c r="E512">
        <v>10</v>
      </c>
      <c r="F512">
        <v>2</v>
      </c>
      <c r="G512" s="2">
        <v>23000</v>
      </c>
      <c r="H512" s="4">
        <v>0</v>
      </c>
      <c r="I512" s="2">
        <v>23000</v>
      </c>
      <c r="J512" t="s">
        <v>255</v>
      </c>
      <c r="K512" t="s">
        <v>254</v>
      </c>
      <c r="L512">
        <v>4</v>
      </c>
      <c r="M512" t="str">
        <f>_xlfn.XLOOKUP(E512,tPacotes[ID_Pacote],tPacotes[Pacote])</f>
        <v>Orlando Parques</v>
      </c>
      <c r="N512" t="str">
        <f>_xlfn.XLOOKUP(E512,tPacotes[ID_Pacote],tPacotes[Categoria])</f>
        <v>Parques</v>
      </c>
      <c r="O512" t="str">
        <f>_xlfn.XLOOKUP(D512,tClientes[ID_Cliente],tClientes[UF])</f>
        <v>PR</v>
      </c>
    </row>
    <row r="513" spans="1:15" x14ac:dyDescent="0.3">
      <c r="A513">
        <v>512</v>
      </c>
      <c r="B513" s="3">
        <v>45907</v>
      </c>
      <c r="C513" s="3">
        <v>45913</v>
      </c>
      <c r="D513">
        <v>116</v>
      </c>
      <c r="E513">
        <v>9</v>
      </c>
      <c r="F513">
        <v>4</v>
      </c>
      <c r="G513" s="2">
        <v>35600</v>
      </c>
      <c r="H513" s="4">
        <v>0</v>
      </c>
      <c r="I513" s="2">
        <v>35600</v>
      </c>
      <c r="J513" t="s">
        <v>255</v>
      </c>
      <c r="K513" t="s">
        <v>254</v>
      </c>
      <c r="L513">
        <v>1</v>
      </c>
      <c r="M513" t="str">
        <f>_xlfn.XLOOKUP(E513,tPacotes[ID_Pacote],tPacotes[Pacote])</f>
        <v>Cancún All Inclusive</v>
      </c>
      <c r="N513" t="str">
        <f>_xlfn.XLOOKUP(E513,tPacotes[ID_Pacote],tPacotes[Categoria])</f>
        <v>Praia</v>
      </c>
      <c r="O513" t="str">
        <f>_xlfn.XLOOKUP(D513,tClientes[ID_Cliente],tClientes[UF])</f>
        <v>RJ</v>
      </c>
    </row>
    <row r="514" spans="1:15" x14ac:dyDescent="0.3">
      <c r="A514">
        <v>513</v>
      </c>
      <c r="B514" s="3">
        <v>45908</v>
      </c>
      <c r="C514" s="3">
        <v>45913</v>
      </c>
      <c r="D514">
        <v>151</v>
      </c>
      <c r="E514">
        <v>9</v>
      </c>
      <c r="F514">
        <v>2</v>
      </c>
      <c r="G514" s="2">
        <v>17800</v>
      </c>
      <c r="H514" s="4">
        <v>0</v>
      </c>
      <c r="I514" s="2">
        <v>17800</v>
      </c>
      <c r="J514" t="s">
        <v>253</v>
      </c>
      <c r="K514" t="s">
        <v>254</v>
      </c>
      <c r="L514">
        <v>5</v>
      </c>
      <c r="M514" t="str">
        <f>_xlfn.XLOOKUP(E514,tPacotes[ID_Pacote],tPacotes[Pacote])</f>
        <v>Cancún All Inclusive</v>
      </c>
      <c r="N514" t="str">
        <f>_xlfn.XLOOKUP(E514,tPacotes[ID_Pacote],tPacotes[Categoria])</f>
        <v>Praia</v>
      </c>
      <c r="O514" t="str">
        <f>_xlfn.XLOOKUP(D514,tClientes[ID_Cliente],tClientes[UF])</f>
        <v>SP</v>
      </c>
    </row>
    <row r="515" spans="1:15" x14ac:dyDescent="0.3">
      <c r="A515">
        <v>514</v>
      </c>
      <c r="B515" s="3">
        <v>45909</v>
      </c>
      <c r="C515" s="3">
        <v>45931</v>
      </c>
      <c r="D515">
        <v>192</v>
      </c>
      <c r="E515">
        <v>1</v>
      </c>
      <c r="F515">
        <v>4</v>
      </c>
      <c r="G515" s="2">
        <v>12800</v>
      </c>
      <c r="H515" s="4">
        <v>0</v>
      </c>
      <c r="I515" s="2">
        <v>12800</v>
      </c>
      <c r="J515" t="s">
        <v>253</v>
      </c>
      <c r="K515" t="s">
        <v>254</v>
      </c>
      <c r="L515">
        <v>5</v>
      </c>
      <c r="M515" t="str">
        <f>_xlfn.XLOOKUP(E515,tPacotes[ID_Pacote],tPacotes[Pacote])</f>
        <v>Nordeste Encantado</v>
      </c>
      <c r="N515" t="str">
        <f>_xlfn.XLOOKUP(E515,tPacotes[ID_Pacote],tPacotes[Categoria])</f>
        <v>Praia</v>
      </c>
      <c r="O515" t="str">
        <f>_xlfn.XLOOKUP(D515,tClientes[ID_Cliente],tClientes[UF])</f>
        <v>SP</v>
      </c>
    </row>
    <row r="516" spans="1:15" x14ac:dyDescent="0.3">
      <c r="A516">
        <v>515</v>
      </c>
      <c r="B516" s="3">
        <v>45909</v>
      </c>
      <c r="C516" s="3">
        <v>46070</v>
      </c>
      <c r="D516">
        <v>51</v>
      </c>
      <c r="E516">
        <v>6</v>
      </c>
      <c r="F516">
        <v>1</v>
      </c>
      <c r="G516" s="2">
        <v>2100</v>
      </c>
      <c r="H516" s="4">
        <v>0</v>
      </c>
      <c r="I516" s="2">
        <v>2100</v>
      </c>
      <c r="J516" t="s">
        <v>253</v>
      </c>
      <c r="K516" t="s">
        <v>254</v>
      </c>
      <c r="L516">
        <v>3</v>
      </c>
      <c r="M516" t="str">
        <f>_xlfn.XLOOKUP(E516,tPacotes[ID_Pacote],tPacotes[Pacote])</f>
        <v>Foz do Iguaçu</v>
      </c>
      <c r="N516" t="str">
        <f>_xlfn.XLOOKUP(E516,tPacotes[ID_Pacote],tPacotes[Categoria])</f>
        <v>Natureza</v>
      </c>
      <c r="O516" t="str">
        <f>_xlfn.XLOOKUP(D516,tClientes[ID_Cliente],tClientes[UF])</f>
        <v>RJ</v>
      </c>
    </row>
    <row r="517" spans="1:15" x14ac:dyDescent="0.3">
      <c r="A517">
        <v>516</v>
      </c>
      <c r="B517" s="3">
        <v>45910</v>
      </c>
      <c r="C517" s="3">
        <v>45914</v>
      </c>
      <c r="D517">
        <v>55</v>
      </c>
      <c r="E517">
        <v>6</v>
      </c>
      <c r="F517">
        <v>4</v>
      </c>
      <c r="G517" s="2">
        <v>8400</v>
      </c>
      <c r="H517" s="4">
        <v>0.1</v>
      </c>
      <c r="I517" s="2">
        <v>7560</v>
      </c>
      <c r="J517" t="s">
        <v>253</v>
      </c>
      <c r="K517" t="s">
        <v>254</v>
      </c>
      <c r="L517">
        <v>5</v>
      </c>
      <c r="M517" t="str">
        <f>_xlfn.XLOOKUP(E517,tPacotes[ID_Pacote],tPacotes[Pacote])</f>
        <v>Foz do Iguaçu</v>
      </c>
      <c r="N517" t="str">
        <f>_xlfn.XLOOKUP(E517,tPacotes[ID_Pacote],tPacotes[Categoria])</f>
        <v>Natureza</v>
      </c>
      <c r="O517" t="str">
        <f>_xlfn.XLOOKUP(D517,tClientes[ID_Cliente],tClientes[UF])</f>
        <v>BA</v>
      </c>
    </row>
    <row r="518" spans="1:15" x14ac:dyDescent="0.3">
      <c r="A518">
        <v>517</v>
      </c>
      <c r="B518" s="3">
        <v>45911</v>
      </c>
      <c r="C518" s="3">
        <v>46009</v>
      </c>
      <c r="D518">
        <v>120</v>
      </c>
      <c r="E518">
        <v>4</v>
      </c>
      <c r="F518">
        <v>3</v>
      </c>
      <c r="G518" s="2">
        <v>20700</v>
      </c>
      <c r="H518" s="4">
        <v>0</v>
      </c>
      <c r="I518" s="2">
        <v>20700</v>
      </c>
      <c r="J518" t="s">
        <v>257</v>
      </c>
      <c r="K518" t="s">
        <v>254</v>
      </c>
      <c r="L518">
        <v>5</v>
      </c>
      <c r="M518" t="str">
        <f>_xlfn.XLOOKUP(E518,tPacotes[ID_Pacote],tPacotes[Pacote])</f>
        <v>Fernando de Noronha</v>
      </c>
      <c r="N518" t="str">
        <f>_xlfn.XLOOKUP(E518,tPacotes[ID_Pacote],tPacotes[Categoria])</f>
        <v>Praia</v>
      </c>
      <c r="O518" t="str">
        <f>_xlfn.XLOOKUP(D518,tClientes[ID_Cliente],tClientes[UF])</f>
        <v>PR</v>
      </c>
    </row>
    <row r="519" spans="1:15" x14ac:dyDescent="0.3">
      <c r="A519">
        <v>518</v>
      </c>
      <c r="B519" s="3">
        <v>45911</v>
      </c>
      <c r="C519" s="3">
        <v>45920</v>
      </c>
      <c r="D519">
        <v>9</v>
      </c>
      <c r="E519">
        <v>14</v>
      </c>
      <c r="F519">
        <v>2</v>
      </c>
      <c r="G519" s="2">
        <v>5800</v>
      </c>
      <c r="H519" s="4">
        <v>0</v>
      </c>
      <c r="I519" s="2">
        <v>5800</v>
      </c>
      <c r="J519" t="s">
        <v>255</v>
      </c>
      <c r="K519" t="s">
        <v>254</v>
      </c>
      <c r="L519">
        <v>5</v>
      </c>
      <c r="M519" t="str">
        <f>_xlfn.XLOOKUP(E519,tPacotes[ID_Pacote],tPacotes[Pacote])</f>
        <v>Lençóis Maranhenses</v>
      </c>
      <c r="N519" t="str">
        <f>_xlfn.XLOOKUP(E519,tPacotes[ID_Pacote],tPacotes[Categoria])</f>
        <v>Natureza</v>
      </c>
      <c r="O519" t="str">
        <f>_xlfn.XLOOKUP(D519,tClientes[ID_Cliente],tClientes[UF])</f>
        <v>MG</v>
      </c>
    </row>
    <row r="520" spans="1:15" x14ac:dyDescent="0.3">
      <c r="A520">
        <v>519</v>
      </c>
      <c r="B520" s="3">
        <v>45911</v>
      </c>
      <c r="C520" s="3">
        <v>45924</v>
      </c>
      <c r="D520">
        <v>70</v>
      </c>
      <c r="E520">
        <v>15</v>
      </c>
      <c r="F520">
        <v>2</v>
      </c>
      <c r="G520" s="2">
        <v>6200</v>
      </c>
      <c r="H520" s="4">
        <v>0</v>
      </c>
      <c r="I520" s="2">
        <v>6200</v>
      </c>
      <c r="J520" t="s">
        <v>253</v>
      </c>
      <c r="K520" t="s">
        <v>254</v>
      </c>
      <c r="L520">
        <v>3</v>
      </c>
      <c r="M520" t="str">
        <f>_xlfn.XLOOKUP(E520,tPacotes[ID_Pacote],tPacotes[Pacote])</f>
        <v>Jericoacoara</v>
      </c>
      <c r="N520" t="str">
        <f>_xlfn.XLOOKUP(E520,tPacotes[ID_Pacote],tPacotes[Categoria])</f>
        <v>Praia</v>
      </c>
      <c r="O520" t="str">
        <f>_xlfn.XLOOKUP(D520,tClientes[ID_Cliente],tClientes[UF])</f>
        <v>MG</v>
      </c>
    </row>
    <row r="521" spans="1:15" x14ac:dyDescent="0.3">
      <c r="A521">
        <v>520</v>
      </c>
      <c r="B521" s="3">
        <v>45912</v>
      </c>
      <c r="C521" s="3">
        <v>45924</v>
      </c>
      <c r="D521">
        <v>43</v>
      </c>
      <c r="E521">
        <v>14</v>
      </c>
      <c r="F521">
        <v>1</v>
      </c>
      <c r="G521" s="2">
        <v>2900</v>
      </c>
      <c r="H521" s="4">
        <v>0.1</v>
      </c>
      <c r="I521" s="2">
        <v>2610</v>
      </c>
      <c r="J521" t="s">
        <v>256</v>
      </c>
      <c r="K521" t="s">
        <v>254</v>
      </c>
      <c r="L521">
        <v>4</v>
      </c>
      <c r="M521" t="str">
        <f>_xlfn.XLOOKUP(E521,tPacotes[ID_Pacote],tPacotes[Pacote])</f>
        <v>Lençóis Maranhenses</v>
      </c>
      <c r="N521" t="str">
        <f>_xlfn.XLOOKUP(E521,tPacotes[ID_Pacote],tPacotes[Categoria])</f>
        <v>Natureza</v>
      </c>
      <c r="O521" t="str">
        <f>_xlfn.XLOOKUP(D521,tClientes[ID_Cliente],tClientes[UF])</f>
        <v>PR</v>
      </c>
    </row>
    <row r="522" spans="1:15" x14ac:dyDescent="0.3">
      <c r="A522">
        <v>521</v>
      </c>
      <c r="B522" s="3">
        <v>45912</v>
      </c>
      <c r="C522" s="3">
        <v>46088</v>
      </c>
      <c r="D522">
        <v>59</v>
      </c>
      <c r="E522">
        <v>1</v>
      </c>
      <c r="F522">
        <v>3</v>
      </c>
      <c r="G522" s="2">
        <v>9600</v>
      </c>
      <c r="H522" s="4">
        <v>0</v>
      </c>
      <c r="I522" s="2">
        <v>9600</v>
      </c>
      <c r="J522" t="s">
        <v>253</v>
      </c>
      <c r="K522" t="s">
        <v>254</v>
      </c>
      <c r="L522">
        <v>3</v>
      </c>
      <c r="M522" t="str">
        <f>_xlfn.XLOOKUP(E522,tPacotes[ID_Pacote],tPacotes[Pacote])</f>
        <v>Nordeste Encantado</v>
      </c>
      <c r="N522" t="str">
        <f>_xlfn.XLOOKUP(E522,tPacotes[ID_Pacote],tPacotes[Categoria])</f>
        <v>Praia</v>
      </c>
      <c r="O522" t="str">
        <f>_xlfn.XLOOKUP(D522,tClientes[ID_Cliente],tClientes[UF])</f>
        <v>DF</v>
      </c>
    </row>
    <row r="523" spans="1:15" x14ac:dyDescent="0.3">
      <c r="A523">
        <v>522</v>
      </c>
      <c r="B523" s="3">
        <v>45912</v>
      </c>
      <c r="C523" s="3">
        <v>45996</v>
      </c>
      <c r="D523">
        <v>137</v>
      </c>
      <c r="E523">
        <v>3</v>
      </c>
      <c r="F523">
        <v>3</v>
      </c>
      <c r="G523" s="2">
        <v>7800</v>
      </c>
      <c r="H523" s="4">
        <v>0</v>
      </c>
      <c r="I523" s="2">
        <v>7800</v>
      </c>
      <c r="J523" t="s">
        <v>255</v>
      </c>
      <c r="K523" t="s">
        <v>254</v>
      </c>
      <c r="L523">
        <v>3</v>
      </c>
      <c r="M523" t="str">
        <f>_xlfn.XLOOKUP(E523,tPacotes[ID_Pacote],tPacotes[Pacote])</f>
        <v>Serra Gaúcha</v>
      </c>
      <c r="N523" t="str">
        <f>_xlfn.XLOOKUP(E523,tPacotes[ID_Pacote],tPacotes[Categoria])</f>
        <v>Inverno</v>
      </c>
      <c r="O523" t="str">
        <f>_xlfn.XLOOKUP(D523,tClientes[ID_Cliente],tClientes[UF])</f>
        <v>SP</v>
      </c>
    </row>
    <row r="524" spans="1:15" x14ac:dyDescent="0.3">
      <c r="A524">
        <v>523</v>
      </c>
      <c r="B524" s="3">
        <v>45913</v>
      </c>
      <c r="C524" s="3">
        <v>45926</v>
      </c>
      <c r="D524">
        <v>31</v>
      </c>
      <c r="E524">
        <v>1</v>
      </c>
      <c r="F524">
        <v>2</v>
      </c>
      <c r="G524" s="2">
        <v>6400</v>
      </c>
      <c r="H524" s="4">
        <v>0</v>
      </c>
      <c r="I524" s="2">
        <v>6400</v>
      </c>
      <c r="J524" t="s">
        <v>253</v>
      </c>
      <c r="K524" t="s">
        <v>254</v>
      </c>
      <c r="L524">
        <v>3</v>
      </c>
      <c r="M524" t="str">
        <f>_xlfn.XLOOKUP(E524,tPacotes[ID_Pacote],tPacotes[Pacote])</f>
        <v>Nordeste Encantado</v>
      </c>
      <c r="N524" t="str">
        <f>_xlfn.XLOOKUP(E524,tPacotes[ID_Pacote],tPacotes[Categoria])</f>
        <v>Praia</v>
      </c>
      <c r="O524" t="str">
        <f>_xlfn.XLOOKUP(D524,tClientes[ID_Cliente],tClientes[UF])</f>
        <v>SP</v>
      </c>
    </row>
    <row r="525" spans="1:15" x14ac:dyDescent="0.3">
      <c r="A525">
        <v>524</v>
      </c>
      <c r="B525" s="3">
        <v>45913</v>
      </c>
      <c r="C525" s="3">
        <v>46080</v>
      </c>
      <c r="D525">
        <v>165</v>
      </c>
      <c r="E525">
        <v>7</v>
      </c>
      <c r="F525">
        <v>4</v>
      </c>
      <c r="G525" s="2">
        <v>16800</v>
      </c>
      <c r="H525" s="4">
        <v>0</v>
      </c>
      <c r="I525" s="2">
        <v>16800</v>
      </c>
      <c r="J525" t="s">
        <v>255</v>
      </c>
      <c r="K525" t="s">
        <v>254</v>
      </c>
      <c r="L525">
        <v>4</v>
      </c>
      <c r="M525" t="str">
        <f>_xlfn.XLOOKUP(E525,tPacotes[ID_Pacote],tPacotes[Pacote])</f>
        <v>Buenos Aires Clássica</v>
      </c>
      <c r="N525" t="str">
        <f>_xlfn.XLOOKUP(E525,tPacotes[ID_Pacote],tPacotes[Categoria])</f>
        <v>Cultural</v>
      </c>
      <c r="O525" t="str">
        <f>_xlfn.XLOOKUP(D525,tClientes[ID_Cliente],tClientes[UF])</f>
        <v>SP</v>
      </c>
    </row>
    <row r="526" spans="1:15" x14ac:dyDescent="0.3">
      <c r="A526">
        <v>525</v>
      </c>
      <c r="B526" s="3">
        <v>45914</v>
      </c>
      <c r="C526" s="3">
        <v>45942</v>
      </c>
      <c r="D526">
        <v>31</v>
      </c>
      <c r="E526">
        <v>3</v>
      </c>
      <c r="F526">
        <v>2</v>
      </c>
      <c r="G526" s="2">
        <v>5200</v>
      </c>
      <c r="H526" s="4">
        <v>0</v>
      </c>
      <c r="I526" s="2">
        <v>5200</v>
      </c>
      <c r="J526" t="s">
        <v>253</v>
      </c>
      <c r="K526" t="s">
        <v>254</v>
      </c>
      <c r="L526">
        <v>3</v>
      </c>
      <c r="M526" t="str">
        <f>_xlfn.XLOOKUP(E526,tPacotes[ID_Pacote],tPacotes[Pacote])</f>
        <v>Serra Gaúcha</v>
      </c>
      <c r="N526" t="str">
        <f>_xlfn.XLOOKUP(E526,tPacotes[ID_Pacote],tPacotes[Categoria])</f>
        <v>Inverno</v>
      </c>
      <c r="O526" t="str">
        <f>_xlfn.XLOOKUP(D526,tClientes[ID_Cliente],tClientes[UF])</f>
        <v>SP</v>
      </c>
    </row>
    <row r="527" spans="1:15" x14ac:dyDescent="0.3">
      <c r="A527">
        <v>526</v>
      </c>
      <c r="B527" s="3">
        <v>45914</v>
      </c>
      <c r="C527" s="3">
        <v>45947</v>
      </c>
      <c r="D527">
        <v>4</v>
      </c>
      <c r="E527">
        <v>9</v>
      </c>
      <c r="F527">
        <v>3</v>
      </c>
      <c r="G527" s="2">
        <v>26700</v>
      </c>
      <c r="H527" s="4">
        <v>0.15</v>
      </c>
      <c r="I527" s="2">
        <v>22695</v>
      </c>
      <c r="J527" t="s">
        <v>253</v>
      </c>
      <c r="K527" t="s">
        <v>254</v>
      </c>
      <c r="L527">
        <v>5</v>
      </c>
      <c r="M527" t="str">
        <f>_xlfn.XLOOKUP(E527,tPacotes[ID_Pacote],tPacotes[Pacote])</f>
        <v>Cancún All Inclusive</v>
      </c>
      <c r="N527" t="str">
        <f>_xlfn.XLOOKUP(E527,tPacotes[ID_Pacote],tPacotes[Categoria])</f>
        <v>Praia</v>
      </c>
      <c r="O527" t="str">
        <f>_xlfn.XLOOKUP(D527,tClientes[ID_Cliente],tClientes[UF])</f>
        <v>RJ</v>
      </c>
    </row>
    <row r="528" spans="1:15" x14ac:dyDescent="0.3">
      <c r="A528">
        <v>527</v>
      </c>
      <c r="B528" s="3">
        <v>45915</v>
      </c>
      <c r="C528" s="3">
        <v>46004</v>
      </c>
      <c r="D528">
        <v>59</v>
      </c>
      <c r="E528">
        <v>9</v>
      </c>
      <c r="F528">
        <v>2</v>
      </c>
      <c r="G528" s="2">
        <v>17800</v>
      </c>
      <c r="H528" s="4">
        <v>0</v>
      </c>
      <c r="I528" s="2">
        <v>17800</v>
      </c>
      <c r="J528" t="s">
        <v>253</v>
      </c>
      <c r="K528" t="s">
        <v>254</v>
      </c>
      <c r="L528">
        <v>3</v>
      </c>
      <c r="M528" t="str">
        <f>_xlfn.XLOOKUP(E528,tPacotes[ID_Pacote],tPacotes[Pacote])</f>
        <v>Cancún All Inclusive</v>
      </c>
      <c r="N528" t="str">
        <f>_xlfn.XLOOKUP(E528,tPacotes[ID_Pacote],tPacotes[Categoria])</f>
        <v>Praia</v>
      </c>
      <c r="O528" t="str">
        <f>_xlfn.XLOOKUP(D528,tClientes[ID_Cliente],tClientes[UF])</f>
        <v>DF</v>
      </c>
    </row>
    <row r="529" spans="1:15" x14ac:dyDescent="0.3">
      <c r="A529">
        <v>528</v>
      </c>
      <c r="B529" s="3">
        <v>45915</v>
      </c>
      <c r="C529" s="3">
        <v>46086</v>
      </c>
      <c r="D529">
        <v>19</v>
      </c>
      <c r="E529">
        <v>1</v>
      </c>
      <c r="F529">
        <v>3</v>
      </c>
      <c r="G529" s="2">
        <v>9600</v>
      </c>
      <c r="H529" s="4">
        <v>0.05</v>
      </c>
      <c r="I529" s="2">
        <v>9120</v>
      </c>
      <c r="J529" t="s">
        <v>257</v>
      </c>
      <c r="K529" t="s">
        <v>254</v>
      </c>
      <c r="L529">
        <v>4</v>
      </c>
      <c r="M529" t="str">
        <f>_xlfn.XLOOKUP(E529,tPacotes[ID_Pacote],tPacotes[Pacote])</f>
        <v>Nordeste Encantado</v>
      </c>
      <c r="N529" t="str">
        <f>_xlfn.XLOOKUP(E529,tPacotes[ID_Pacote],tPacotes[Categoria])</f>
        <v>Praia</v>
      </c>
      <c r="O529" t="str">
        <f>_xlfn.XLOOKUP(D529,tClientes[ID_Cliente],tClientes[UF])</f>
        <v>SP</v>
      </c>
    </row>
    <row r="530" spans="1:15" x14ac:dyDescent="0.3">
      <c r="A530">
        <v>529</v>
      </c>
      <c r="B530" s="3">
        <v>45916</v>
      </c>
      <c r="C530" s="3">
        <v>45949</v>
      </c>
      <c r="D530">
        <v>60</v>
      </c>
      <c r="E530">
        <v>10</v>
      </c>
      <c r="F530">
        <v>2</v>
      </c>
      <c r="G530" s="2">
        <v>23000</v>
      </c>
      <c r="H530" s="4">
        <v>0.05</v>
      </c>
      <c r="I530" s="2">
        <v>21850</v>
      </c>
      <c r="J530" t="s">
        <v>255</v>
      </c>
      <c r="K530" t="s">
        <v>258</v>
      </c>
      <c r="M530" t="str">
        <f>_xlfn.XLOOKUP(E530,tPacotes[ID_Pacote],tPacotes[Pacote])</f>
        <v>Orlando Parques</v>
      </c>
      <c r="N530" t="str">
        <f>_xlfn.XLOOKUP(E530,tPacotes[ID_Pacote],tPacotes[Categoria])</f>
        <v>Parques</v>
      </c>
      <c r="O530" t="str">
        <f>_xlfn.XLOOKUP(D530,tClientes[ID_Cliente],tClientes[UF])</f>
        <v>PR</v>
      </c>
    </row>
    <row r="531" spans="1:15" x14ac:dyDescent="0.3">
      <c r="A531">
        <v>530</v>
      </c>
      <c r="B531" s="3">
        <v>45916</v>
      </c>
      <c r="C531" s="3">
        <v>45934</v>
      </c>
      <c r="D531">
        <v>149</v>
      </c>
      <c r="E531">
        <v>15</v>
      </c>
      <c r="F531">
        <v>2</v>
      </c>
      <c r="G531" s="2">
        <v>6200</v>
      </c>
      <c r="H531" s="4">
        <v>0</v>
      </c>
      <c r="I531" s="2">
        <v>6200</v>
      </c>
      <c r="J531" t="s">
        <v>253</v>
      </c>
      <c r="K531" t="s">
        <v>254</v>
      </c>
      <c r="L531">
        <v>2</v>
      </c>
      <c r="M531" t="str">
        <f>_xlfn.XLOOKUP(E531,tPacotes[ID_Pacote],tPacotes[Pacote])</f>
        <v>Jericoacoara</v>
      </c>
      <c r="N531" t="str">
        <f>_xlfn.XLOOKUP(E531,tPacotes[ID_Pacote],tPacotes[Categoria])</f>
        <v>Praia</v>
      </c>
      <c r="O531" t="str">
        <f>_xlfn.XLOOKUP(D531,tClientes[ID_Cliente],tClientes[UF])</f>
        <v>SP</v>
      </c>
    </row>
    <row r="532" spans="1:15" x14ac:dyDescent="0.3">
      <c r="A532">
        <v>531</v>
      </c>
      <c r="B532" s="3">
        <v>45916</v>
      </c>
      <c r="C532" s="3">
        <v>45929</v>
      </c>
      <c r="D532">
        <v>121</v>
      </c>
      <c r="E532">
        <v>2</v>
      </c>
      <c r="F532">
        <v>2</v>
      </c>
      <c r="G532" s="2">
        <v>3600</v>
      </c>
      <c r="H532" s="4">
        <v>0.05</v>
      </c>
      <c r="I532" s="2">
        <v>3420</v>
      </c>
      <c r="J532" t="s">
        <v>255</v>
      </c>
      <c r="K532" t="s">
        <v>254</v>
      </c>
      <c r="L532">
        <v>5</v>
      </c>
      <c r="M532" t="str">
        <f>_xlfn.XLOOKUP(E532,tPacotes[ID_Pacote],tPacotes[Pacote])</f>
        <v>Rio Cidade Maravilhosa</v>
      </c>
      <c r="N532" t="str">
        <f>_xlfn.XLOOKUP(E532,tPacotes[ID_Pacote],tPacotes[Categoria])</f>
        <v>Cultural</v>
      </c>
      <c r="O532" t="str">
        <f>_xlfn.XLOOKUP(D532,tClientes[ID_Cliente],tClientes[UF])</f>
        <v>RS</v>
      </c>
    </row>
    <row r="533" spans="1:15" x14ac:dyDescent="0.3">
      <c r="A533">
        <v>532</v>
      </c>
      <c r="B533" s="3">
        <v>45916</v>
      </c>
      <c r="C533" s="3">
        <v>45924</v>
      </c>
      <c r="D533">
        <v>112</v>
      </c>
      <c r="E533">
        <v>10</v>
      </c>
      <c r="F533">
        <v>2</v>
      </c>
      <c r="G533" s="2">
        <v>23000</v>
      </c>
      <c r="H533" s="4">
        <v>0</v>
      </c>
      <c r="I533" s="2">
        <v>23000</v>
      </c>
      <c r="J533" t="s">
        <v>253</v>
      </c>
      <c r="K533" t="s">
        <v>254</v>
      </c>
      <c r="L533">
        <v>5</v>
      </c>
      <c r="M533" t="str">
        <f>_xlfn.XLOOKUP(E533,tPacotes[ID_Pacote],tPacotes[Pacote])</f>
        <v>Orlando Parques</v>
      </c>
      <c r="N533" t="str">
        <f>_xlfn.XLOOKUP(E533,tPacotes[ID_Pacote],tPacotes[Categoria])</f>
        <v>Parques</v>
      </c>
      <c r="O533" t="str">
        <f>_xlfn.XLOOKUP(D533,tClientes[ID_Cliente],tClientes[UF])</f>
        <v>SP</v>
      </c>
    </row>
    <row r="534" spans="1:15" x14ac:dyDescent="0.3">
      <c r="A534">
        <v>533</v>
      </c>
      <c r="B534" s="3">
        <v>45917</v>
      </c>
      <c r="C534" s="3">
        <v>45933</v>
      </c>
      <c r="D534">
        <v>26</v>
      </c>
      <c r="E534">
        <v>5</v>
      </c>
      <c r="F534">
        <v>1</v>
      </c>
      <c r="G534" s="2">
        <v>3400</v>
      </c>
      <c r="H534" s="4">
        <v>0.05</v>
      </c>
      <c r="I534" s="2">
        <v>3230</v>
      </c>
      <c r="J534" t="s">
        <v>253</v>
      </c>
      <c r="K534" t="s">
        <v>254</v>
      </c>
      <c r="L534">
        <v>4</v>
      </c>
      <c r="M534" t="str">
        <f>_xlfn.XLOOKUP(E534,tPacotes[ID_Pacote],tPacotes[Pacote])</f>
        <v>Bonito Aventura</v>
      </c>
      <c r="N534" t="str">
        <f>_xlfn.XLOOKUP(E534,tPacotes[ID_Pacote],tPacotes[Categoria])</f>
        <v>Aventura</v>
      </c>
      <c r="O534" t="str">
        <f>_xlfn.XLOOKUP(D534,tClientes[ID_Cliente],tClientes[UF])</f>
        <v>SP</v>
      </c>
    </row>
    <row r="535" spans="1:15" x14ac:dyDescent="0.3">
      <c r="A535">
        <v>534</v>
      </c>
      <c r="B535" s="3">
        <v>45918</v>
      </c>
      <c r="C535" s="3">
        <v>45935</v>
      </c>
      <c r="D535">
        <v>51</v>
      </c>
      <c r="E535">
        <v>10</v>
      </c>
      <c r="F535">
        <v>1</v>
      </c>
      <c r="G535" s="2">
        <v>11500</v>
      </c>
      <c r="H535" s="4">
        <v>0</v>
      </c>
      <c r="I535" s="2">
        <v>11500</v>
      </c>
      <c r="J535" t="s">
        <v>256</v>
      </c>
      <c r="K535" t="s">
        <v>254</v>
      </c>
      <c r="L535">
        <v>5</v>
      </c>
      <c r="M535" t="str">
        <f>_xlfn.XLOOKUP(E535,tPacotes[ID_Pacote],tPacotes[Pacote])</f>
        <v>Orlando Parques</v>
      </c>
      <c r="N535" t="str">
        <f>_xlfn.XLOOKUP(E535,tPacotes[ID_Pacote],tPacotes[Categoria])</f>
        <v>Parques</v>
      </c>
      <c r="O535" t="str">
        <f>_xlfn.XLOOKUP(D535,tClientes[ID_Cliente],tClientes[UF])</f>
        <v>RJ</v>
      </c>
    </row>
    <row r="536" spans="1:15" x14ac:dyDescent="0.3">
      <c r="A536">
        <v>535</v>
      </c>
      <c r="B536" s="3">
        <v>45918</v>
      </c>
      <c r="C536" s="3">
        <v>45988</v>
      </c>
      <c r="D536">
        <v>95</v>
      </c>
      <c r="E536">
        <v>1</v>
      </c>
      <c r="F536">
        <v>3</v>
      </c>
      <c r="G536" s="2">
        <v>9600</v>
      </c>
      <c r="H536" s="4">
        <v>0</v>
      </c>
      <c r="I536" s="2">
        <v>9600</v>
      </c>
      <c r="J536" t="s">
        <v>257</v>
      </c>
      <c r="K536" t="s">
        <v>254</v>
      </c>
      <c r="L536">
        <v>2</v>
      </c>
      <c r="M536" t="str">
        <f>_xlfn.XLOOKUP(E536,tPacotes[ID_Pacote],tPacotes[Pacote])</f>
        <v>Nordeste Encantado</v>
      </c>
      <c r="N536" t="str">
        <f>_xlfn.XLOOKUP(E536,tPacotes[ID_Pacote],tPacotes[Categoria])</f>
        <v>Praia</v>
      </c>
      <c r="O536" t="str">
        <f>_xlfn.XLOOKUP(D536,tClientes[ID_Cliente],tClientes[UF])</f>
        <v>PR</v>
      </c>
    </row>
    <row r="537" spans="1:15" x14ac:dyDescent="0.3">
      <c r="A537">
        <v>536</v>
      </c>
      <c r="B537" s="3">
        <v>45919</v>
      </c>
      <c r="C537" s="3">
        <v>46025</v>
      </c>
      <c r="D537">
        <v>96</v>
      </c>
      <c r="E537">
        <v>1</v>
      </c>
      <c r="F537">
        <v>2</v>
      </c>
      <c r="G537" s="2">
        <v>6400</v>
      </c>
      <c r="H537" s="4">
        <v>0</v>
      </c>
      <c r="I537" s="2">
        <v>6400</v>
      </c>
      <c r="J537" t="s">
        <v>255</v>
      </c>
      <c r="K537" t="s">
        <v>254</v>
      </c>
      <c r="L537">
        <v>4</v>
      </c>
      <c r="M537" t="str">
        <f>_xlfn.XLOOKUP(E537,tPacotes[ID_Pacote],tPacotes[Pacote])</f>
        <v>Nordeste Encantado</v>
      </c>
      <c r="N537" t="str">
        <f>_xlfn.XLOOKUP(E537,tPacotes[ID_Pacote],tPacotes[Categoria])</f>
        <v>Praia</v>
      </c>
      <c r="O537" t="str">
        <f>_xlfn.XLOOKUP(D537,tClientes[ID_Cliente],tClientes[UF])</f>
        <v>MG</v>
      </c>
    </row>
    <row r="538" spans="1:15" x14ac:dyDescent="0.3">
      <c r="A538">
        <v>537</v>
      </c>
      <c r="B538" s="3">
        <v>45919</v>
      </c>
      <c r="C538" s="3">
        <v>45927</v>
      </c>
      <c r="D538">
        <v>42</v>
      </c>
      <c r="E538">
        <v>7</v>
      </c>
      <c r="F538">
        <v>1</v>
      </c>
      <c r="G538" s="2">
        <v>4200</v>
      </c>
      <c r="H538" s="4">
        <v>0</v>
      </c>
      <c r="I538" s="2">
        <v>4200</v>
      </c>
      <c r="J538" t="s">
        <v>256</v>
      </c>
      <c r="K538" t="s">
        <v>254</v>
      </c>
      <c r="L538">
        <v>3</v>
      </c>
      <c r="M538" t="str">
        <f>_xlfn.XLOOKUP(E538,tPacotes[ID_Pacote],tPacotes[Pacote])</f>
        <v>Buenos Aires Clássica</v>
      </c>
      <c r="N538" t="str">
        <f>_xlfn.XLOOKUP(E538,tPacotes[ID_Pacote],tPacotes[Categoria])</f>
        <v>Cultural</v>
      </c>
      <c r="O538" t="str">
        <f>_xlfn.XLOOKUP(D538,tClientes[ID_Cliente],tClientes[UF])</f>
        <v>SP</v>
      </c>
    </row>
    <row r="539" spans="1:15" x14ac:dyDescent="0.3">
      <c r="A539">
        <v>538</v>
      </c>
      <c r="B539" s="3">
        <v>45919</v>
      </c>
      <c r="C539" s="3">
        <v>45922</v>
      </c>
      <c r="D539">
        <v>178</v>
      </c>
      <c r="E539">
        <v>8</v>
      </c>
      <c r="F539">
        <v>1</v>
      </c>
      <c r="G539" s="2">
        <v>5900</v>
      </c>
      <c r="H539" s="4">
        <v>0</v>
      </c>
      <c r="I539" s="2">
        <v>5900</v>
      </c>
      <c r="J539" t="s">
        <v>256</v>
      </c>
      <c r="K539" t="s">
        <v>254</v>
      </c>
      <c r="L539">
        <v>5</v>
      </c>
      <c r="M539" t="str">
        <f>_xlfn.XLOOKUP(E539,tPacotes[ID_Pacote],tPacotes[Pacote])</f>
        <v>Santiago e Neve</v>
      </c>
      <c r="N539" t="str">
        <f>_xlfn.XLOOKUP(E539,tPacotes[ID_Pacote],tPacotes[Categoria])</f>
        <v>Inverno</v>
      </c>
      <c r="O539" t="str">
        <f>_xlfn.XLOOKUP(D539,tClientes[ID_Cliente],tClientes[UF])</f>
        <v>PE</v>
      </c>
    </row>
    <row r="540" spans="1:15" x14ac:dyDescent="0.3">
      <c r="A540">
        <v>539</v>
      </c>
      <c r="B540" s="3">
        <v>45919</v>
      </c>
      <c r="C540" s="3">
        <v>45922</v>
      </c>
      <c r="D540">
        <v>187</v>
      </c>
      <c r="E540">
        <v>9</v>
      </c>
      <c r="F540">
        <v>2</v>
      </c>
      <c r="G540" s="2">
        <v>17800</v>
      </c>
      <c r="H540" s="4">
        <v>0</v>
      </c>
      <c r="I540" s="2">
        <v>17800</v>
      </c>
      <c r="J540" t="s">
        <v>253</v>
      </c>
      <c r="K540" t="s">
        <v>258</v>
      </c>
      <c r="M540" t="str">
        <f>_xlfn.XLOOKUP(E540,tPacotes[ID_Pacote],tPacotes[Pacote])</f>
        <v>Cancún All Inclusive</v>
      </c>
      <c r="N540" t="str">
        <f>_xlfn.XLOOKUP(E540,tPacotes[ID_Pacote],tPacotes[Categoria])</f>
        <v>Praia</v>
      </c>
      <c r="O540" t="str">
        <f>_xlfn.XLOOKUP(D540,tClientes[ID_Cliente],tClientes[UF])</f>
        <v>BA</v>
      </c>
    </row>
    <row r="541" spans="1:15" x14ac:dyDescent="0.3">
      <c r="A541">
        <v>540</v>
      </c>
      <c r="B541" s="3">
        <v>45920</v>
      </c>
      <c r="C541" s="3">
        <v>45927</v>
      </c>
      <c r="D541">
        <v>30</v>
      </c>
      <c r="E541">
        <v>11</v>
      </c>
      <c r="F541">
        <v>4</v>
      </c>
      <c r="G541" s="2">
        <v>63200</v>
      </c>
      <c r="H541" s="4">
        <v>0</v>
      </c>
      <c r="I541" s="2">
        <v>63200</v>
      </c>
      <c r="J541" t="s">
        <v>257</v>
      </c>
      <c r="K541" t="s">
        <v>254</v>
      </c>
      <c r="L541">
        <v>4</v>
      </c>
      <c r="M541" t="str">
        <f>_xlfn.XLOOKUP(E541,tPacotes[ID_Pacote],tPacotes[Pacote])</f>
        <v>Paris e Londres</v>
      </c>
      <c r="N541" t="str">
        <f>_xlfn.XLOOKUP(E541,tPacotes[ID_Pacote],tPacotes[Categoria])</f>
        <v>Cultural</v>
      </c>
      <c r="O541" t="str">
        <f>_xlfn.XLOOKUP(D541,tClientes[ID_Cliente],tClientes[UF])</f>
        <v>SP</v>
      </c>
    </row>
    <row r="542" spans="1:15" x14ac:dyDescent="0.3">
      <c r="A542">
        <v>541</v>
      </c>
      <c r="B542" s="3">
        <v>45920</v>
      </c>
      <c r="C542" s="3">
        <v>46051</v>
      </c>
      <c r="D542">
        <v>78</v>
      </c>
      <c r="E542">
        <v>13</v>
      </c>
      <c r="F542">
        <v>1</v>
      </c>
      <c r="G542" s="2">
        <v>7300</v>
      </c>
      <c r="H542" s="4">
        <v>0</v>
      </c>
      <c r="I542" s="2">
        <v>7300</v>
      </c>
      <c r="J542" t="s">
        <v>256</v>
      </c>
      <c r="K542" t="s">
        <v>254</v>
      </c>
      <c r="L542">
        <v>4</v>
      </c>
      <c r="M542" t="str">
        <f>_xlfn.XLOOKUP(E542,tPacotes[ID_Pacote],tPacotes[Pacote])</f>
        <v>Machu Picchu</v>
      </c>
      <c r="N542" t="str">
        <f>_xlfn.XLOOKUP(E542,tPacotes[ID_Pacote],tPacotes[Categoria])</f>
        <v>Aventura</v>
      </c>
      <c r="O542" t="str">
        <f>_xlfn.XLOOKUP(D542,tClientes[ID_Cliente],tClientes[UF])</f>
        <v>PR</v>
      </c>
    </row>
    <row r="543" spans="1:15" x14ac:dyDescent="0.3">
      <c r="A543">
        <v>542</v>
      </c>
      <c r="B543" s="3">
        <v>45920</v>
      </c>
      <c r="C543" s="3">
        <v>45939</v>
      </c>
      <c r="D543">
        <v>77</v>
      </c>
      <c r="E543">
        <v>9</v>
      </c>
      <c r="F543">
        <v>2</v>
      </c>
      <c r="G543" s="2">
        <v>17800</v>
      </c>
      <c r="H543" s="4">
        <v>0</v>
      </c>
      <c r="I543" s="2">
        <v>17800</v>
      </c>
      <c r="J543" t="s">
        <v>253</v>
      </c>
      <c r="K543" t="s">
        <v>258</v>
      </c>
      <c r="M543" t="str">
        <f>_xlfn.XLOOKUP(E543,tPacotes[ID_Pacote],tPacotes[Pacote])</f>
        <v>Cancún All Inclusive</v>
      </c>
      <c r="N543" t="str">
        <f>_xlfn.XLOOKUP(E543,tPacotes[ID_Pacote],tPacotes[Categoria])</f>
        <v>Praia</v>
      </c>
      <c r="O543" t="str">
        <f>_xlfn.XLOOKUP(D543,tClientes[ID_Cliente],tClientes[UF])</f>
        <v>RJ</v>
      </c>
    </row>
    <row r="544" spans="1:15" x14ac:dyDescent="0.3">
      <c r="A544">
        <v>543</v>
      </c>
      <c r="B544" s="3">
        <v>45920</v>
      </c>
      <c r="C544" s="3">
        <v>45940</v>
      </c>
      <c r="D544">
        <v>71</v>
      </c>
      <c r="E544">
        <v>2</v>
      </c>
      <c r="F544">
        <v>3</v>
      </c>
      <c r="G544" s="2">
        <v>5400</v>
      </c>
      <c r="H544" s="4">
        <v>0</v>
      </c>
      <c r="I544" s="2">
        <v>5400</v>
      </c>
      <c r="J544" t="s">
        <v>255</v>
      </c>
      <c r="K544" t="s">
        <v>258</v>
      </c>
      <c r="M544" t="str">
        <f>_xlfn.XLOOKUP(E544,tPacotes[ID_Pacote],tPacotes[Pacote])</f>
        <v>Rio Cidade Maravilhosa</v>
      </c>
      <c r="N544" t="str">
        <f>_xlfn.XLOOKUP(E544,tPacotes[ID_Pacote],tPacotes[Categoria])</f>
        <v>Cultural</v>
      </c>
      <c r="O544" t="str">
        <f>_xlfn.XLOOKUP(D544,tClientes[ID_Cliente],tClientes[UF])</f>
        <v>RJ</v>
      </c>
    </row>
    <row r="545" spans="1:15" x14ac:dyDescent="0.3">
      <c r="A545">
        <v>544</v>
      </c>
      <c r="B545" s="3">
        <v>45920</v>
      </c>
      <c r="C545" s="3">
        <v>45945</v>
      </c>
      <c r="D545">
        <v>69</v>
      </c>
      <c r="E545">
        <v>6</v>
      </c>
      <c r="F545">
        <v>2</v>
      </c>
      <c r="G545" s="2">
        <v>4200</v>
      </c>
      <c r="H545" s="4">
        <v>0.05</v>
      </c>
      <c r="I545" s="2">
        <v>3990</v>
      </c>
      <c r="J545" t="s">
        <v>253</v>
      </c>
      <c r="K545" t="s">
        <v>254</v>
      </c>
      <c r="L545">
        <v>5</v>
      </c>
      <c r="M545" t="str">
        <f>_xlfn.XLOOKUP(E545,tPacotes[ID_Pacote],tPacotes[Pacote])</f>
        <v>Foz do Iguaçu</v>
      </c>
      <c r="N545" t="str">
        <f>_xlfn.XLOOKUP(E545,tPacotes[ID_Pacote],tPacotes[Categoria])</f>
        <v>Natureza</v>
      </c>
      <c r="O545" t="str">
        <f>_xlfn.XLOOKUP(D545,tClientes[ID_Cliente],tClientes[UF])</f>
        <v>RJ</v>
      </c>
    </row>
    <row r="546" spans="1:15" x14ac:dyDescent="0.3">
      <c r="A546">
        <v>545</v>
      </c>
      <c r="B546" s="3">
        <v>45920</v>
      </c>
      <c r="C546" s="3">
        <v>46087</v>
      </c>
      <c r="D546">
        <v>51</v>
      </c>
      <c r="E546">
        <v>8</v>
      </c>
      <c r="F546">
        <v>2</v>
      </c>
      <c r="G546" s="2">
        <v>11800</v>
      </c>
      <c r="H546" s="4">
        <v>0</v>
      </c>
      <c r="I546" s="2">
        <v>11800</v>
      </c>
      <c r="J546" t="s">
        <v>256</v>
      </c>
      <c r="K546" t="s">
        <v>254</v>
      </c>
      <c r="L546">
        <v>5</v>
      </c>
      <c r="M546" t="str">
        <f>_xlfn.XLOOKUP(E546,tPacotes[ID_Pacote],tPacotes[Pacote])</f>
        <v>Santiago e Neve</v>
      </c>
      <c r="N546" t="str">
        <f>_xlfn.XLOOKUP(E546,tPacotes[ID_Pacote],tPacotes[Categoria])</f>
        <v>Inverno</v>
      </c>
      <c r="O546" t="str">
        <f>_xlfn.XLOOKUP(D546,tClientes[ID_Cliente],tClientes[UF])</f>
        <v>RJ</v>
      </c>
    </row>
    <row r="547" spans="1:15" x14ac:dyDescent="0.3">
      <c r="A547">
        <v>546</v>
      </c>
      <c r="B547" s="3">
        <v>45921</v>
      </c>
      <c r="C547" s="3">
        <v>45981</v>
      </c>
      <c r="D547">
        <v>19</v>
      </c>
      <c r="E547">
        <v>9</v>
      </c>
      <c r="F547">
        <v>2</v>
      </c>
      <c r="G547" s="2">
        <v>17800</v>
      </c>
      <c r="H547" s="4">
        <v>0.1</v>
      </c>
      <c r="I547" s="2">
        <v>16020</v>
      </c>
      <c r="J547" t="s">
        <v>253</v>
      </c>
      <c r="K547" t="s">
        <v>254</v>
      </c>
      <c r="L547">
        <v>4</v>
      </c>
      <c r="M547" t="str">
        <f>_xlfn.XLOOKUP(E547,tPacotes[ID_Pacote],tPacotes[Pacote])</f>
        <v>Cancún All Inclusive</v>
      </c>
      <c r="N547" t="str">
        <f>_xlfn.XLOOKUP(E547,tPacotes[ID_Pacote],tPacotes[Categoria])</f>
        <v>Praia</v>
      </c>
      <c r="O547" t="str">
        <f>_xlfn.XLOOKUP(D547,tClientes[ID_Cliente],tClientes[UF])</f>
        <v>SP</v>
      </c>
    </row>
    <row r="548" spans="1:15" x14ac:dyDescent="0.3">
      <c r="A548">
        <v>547</v>
      </c>
      <c r="B548" s="3">
        <v>45921</v>
      </c>
      <c r="C548" s="3">
        <v>46012</v>
      </c>
      <c r="D548">
        <v>85</v>
      </c>
      <c r="E548">
        <v>15</v>
      </c>
      <c r="F548">
        <v>2</v>
      </c>
      <c r="G548" s="2">
        <v>6200</v>
      </c>
      <c r="H548" s="4">
        <v>0</v>
      </c>
      <c r="I548" s="2">
        <v>6200</v>
      </c>
      <c r="J548" t="s">
        <v>256</v>
      </c>
      <c r="K548" t="s">
        <v>254</v>
      </c>
      <c r="L548">
        <v>5</v>
      </c>
      <c r="M548" t="str">
        <f>_xlfn.XLOOKUP(E548,tPacotes[ID_Pacote],tPacotes[Pacote])</f>
        <v>Jericoacoara</v>
      </c>
      <c r="N548" t="str">
        <f>_xlfn.XLOOKUP(E548,tPacotes[ID_Pacote],tPacotes[Categoria])</f>
        <v>Praia</v>
      </c>
      <c r="O548" t="str">
        <f>_xlfn.XLOOKUP(D548,tClientes[ID_Cliente],tClientes[UF])</f>
        <v>DF</v>
      </c>
    </row>
    <row r="549" spans="1:15" x14ac:dyDescent="0.3">
      <c r="A549">
        <v>548</v>
      </c>
      <c r="B549" s="3">
        <v>45922</v>
      </c>
      <c r="C549" s="3">
        <v>45934</v>
      </c>
      <c r="D549">
        <v>142</v>
      </c>
      <c r="E549">
        <v>2</v>
      </c>
      <c r="F549">
        <v>2</v>
      </c>
      <c r="G549" s="2">
        <v>3600</v>
      </c>
      <c r="H549" s="4">
        <v>0.15</v>
      </c>
      <c r="I549" s="2">
        <v>3060</v>
      </c>
      <c r="J549" t="s">
        <v>253</v>
      </c>
      <c r="K549" t="s">
        <v>254</v>
      </c>
      <c r="L549">
        <v>4</v>
      </c>
      <c r="M549" t="str">
        <f>_xlfn.XLOOKUP(E549,tPacotes[ID_Pacote],tPacotes[Pacote])</f>
        <v>Rio Cidade Maravilhosa</v>
      </c>
      <c r="N549" t="str">
        <f>_xlfn.XLOOKUP(E549,tPacotes[ID_Pacote],tPacotes[Categoria])</f>
        <v>Cultural</v>
      </c>
      <c r="O549" t="str">
        <f>_xlfn.XLOOKUP(D549,tClientes[ID_Cliente],tClientes[UF])</f>
        <v>RJ</v>
      </c>
    </row>
    <row r="550" spans="1:15" x14ac:dyDescent="0.3">
      <c r="A550">
        <v>549</v>
      </c>
      <c r="B550" s="3">
        <v>45922</v>
      </c>
      <c r="C550" s="3">
        <v>45929</v>
      </c>
      <c r="D550">
        <v>129</v>
      </c>
      <c r="E550">
        <v>12</v>
      </c>
      <c r="F550">
        <v>3</v>
      </c>
      <c r="G550" s="2">
        <v>37200</v>
      </c>
      <c r="H550" s="4">
        <v>0</v>
      </c>
      <c r="I550" s="2">
        <v>37200</v>
      </c>
      <c r="J550" t="s">
        <v>255</v>
      </c>
      <c r="K550" t="s">
        <v>254</v>
      </c>
      <c r="L550">
        <v>5</v>
      </c>
      <c r="M550" t="str">
        <f>_xlfn.XLOOKUP(E550,tPacotes[ID_Pacote],tPacotes[Pacote])</f>
        <v>Lisboa e Porto</v>
      </c>
      <c r="N550" t="str">
        <f>_xlfn.XLOOKUP(E550,tPacotes[ID_Pacote],tPacotes[Categoria])</f>
        <v>Cultural</v>
      </c>
      <c r="O550" t="str">
        <f>_xlfn.XLOOKUP(D550,tClientes[ID_Cliente],tClientes[UF])</f>
        <v>MG</v>
      </c>
    </row>
    <row r="551" spans="1:15" x14ac:dyDescent="0.3">
      <c r="A551">
        <v>550</v>
      </c>
      <c r="B551" s="3">
        <v>45922</v>
      </c>
      <c r="C551" s="3">
        <v>45942</v>
      </c>
      <c r="D551">
        <v>8</v>
      </c>
      <c r="E551">
        <v>3</v>
      </c>
      <c r="F551">
        <v>2</v>
      </c>
      <c r="G551" s="2">
        <v>5200</v>
      </c>
      <c r="H551" s="4">
        <v>0</v>
      </c>
      <c r="I551" s="2">
        <v>5200</v>
      </c>
      <c r="J551" t="s">
        <v>253</v>
      </c>
      <c r="K551" t="s">
        <v>254</v>
      </c>
      <c r="L551">
        <v>5</v>
      </c>
      <c r="M551" t="str">
        <f>_xlfn.XLOOKUP(E551,tPacotes[ID_Pacote],tPacotes[Pacote])</f>
        <v>Serra Gaúcha</v>
      </c>
      <c r="N551" t="str">
        <f>_xlfn.XLOOKUP(E551,tPacotes[ID_Pacote],tPacotes[Categoria])</f>
        <v>Inverno</v>
      </c>
      <c r="O551" t="str">
        <f>_xlfn.XLOOKUP(D551,tClientes[ID_Cliente],tClientes[UF])</f>
        <v>SP</v>
      </c>
    </row>
    <row r="552" spans="1:15" x14ac:dyDescent="0.3">
      <c r="A552">
        <v>551</v>
      </c>
      <c r="B552" s="3">
        <v>45923</v>
      </c>
      <c r="C552" s="3">
        <v>46089</v>
      </c>
      <c r="D552">
        <v>4</v>
      </c>
      <c r="E552">
        <v>6</v>
      </c>
      <c r="F552">
        <v>2</v>
      </c>
      <c r="G552" s="2">
        <v>4200</v>
      </c>
      <c r="H552" s="4">
        <v>0.15</v>
      </c>
      <c r="I552" s="2">
        <v>3570</v>
      </c>
      <c r="J552" t="s">
        <v>253</v>
      </c>
      <c r="K552" t="s">
        <v>254</v>
      </c>
      <c r="L552">
        <v>4</v>
      </c>
      <c r="M552" t="str">
        <f>_xlfn.XLOOKUP(E552,tPacotes[ID_Pacote],tPacotes[Pacote])</f>
        <v>Foz do Iguaçu</v>
      </c>
      <c r="N552" t="str">
        <f>_xlfn.XLOOKUP(E552,tPacotes[ID_Pacote],tPacotes[Categoria])</f>
        <v>Natureza</v>
      </c>
      <c r="O552" t="str">
        <f>_xlfn.XLOOKUP(D552,tClientes[ID_Cliente],tClientes[UF])</f>
        <v>RJ</v>
      </c>
    </row>
    <row r="553" spans="1:15" x14ac:dyDescent="0.3">
      <c r="A553">
        <v>552</v>
      </c>
      <c r="B553" s="3">
        <v>45923</v>
      </c>
      <c r="C553" s="3">
        <v>46007</v>
      </c>
      <c r="D553">
        <v>58</v>
      </c>
      <c r="E553">
        <v>10</v>
      </c>
      <c r="F553">
        <v>1</v>
      </c>
      <c r="G553" s="2">
        <v>11500</v>
      </c>
      <c r="H553" s="4">
        <v>0.1</v>
      </c>
      <c r="I553" s="2">
        <v>10350</v>
      </c>
      <c r="J553" t="s">
        <v>253</v>
      </c>
      <c r="K553" t="s">
        <v>254</v>
      </c>
      <c r="L553">
        <v>5</v>
      </c>
      <c r="M553" t="str">
        <f>_xlfn.XLOOKUP(E553,tPacotes[ID_Pacote],tPacotes[Pacote])</f>
        <v>Orlando Parques</v>
      </c>
      <c r="N553" t="str">
        <f>_xlfn.XLOOKUP(E553,tPacotes[ID_Pacote],tPacotes[Categoria])</f>
        <v>Parques</v>
      </c>
      <c r="O553" t="str">
        <f>_xlfn.XLOOKUP(D553,tClientes[ID_Cliente],tClientes[UF])</f>
        <v>SP</v>
      </c>
    </row>
    <row r="554" spans="1:15" x14ac:dyDescent="0.3">
      <c r="A554">
        <v>553</v>
      </c>
      <c r="B554" s="3">
        <v>45924</v>
      </c>
      <c r="C554" s="3">
        <v>45973</v>
      </c>
      <c r="D554">
        <v>111</v>
      </c>
      <c r="E554">
        <v>9</v>
      </c>
      <c r="F554">
        <v>2</v>
      </c>
      <c r="G554" s="2">
        <v>17800</v>
      </c>
      <c r="H554" s="4">
        <v>0.1</v>
      </c>
      <c r="I554" s="2">
        <v>16020</v>
      </c>
      <c r="J554" t="s">
        <v>253</v>
      </c>
      <c r="K554" t="s">
        <v>254</v>
      </c>
      <c r="L554">
        <v>3</v>
      </c>
      <c r="M554" t="str">
        <f>_xlfn.XLOOKUP(E554,tPacotes[ID_Pacote],tPacotes[Pacote])</f>
        <v>Cancún All Inclusive</v>
      </c>
      <c r="N554" t="str">
        <f>_xlfn.XLOOKUP(E554,tPacotes[ID_Pacote],tPacotes[Categoria])</f>
        <v>Praia</v>
      </c>
      <c r="O554" t="str">
        <f>_xlfn.XLOOKUP(D554,tClientes[ID_Cliente],tClientes[UF])</f>
        <v>RJ</v>
      </c>
    </row>
    <row r="555" spans="1:15" x14ac:dyDescent="0.3">
      <c r="A555">
        <v>554</v>
      </c>
      <c r="B555" s="3">
        <v>45925</v>
      </c>
      <c r="C555" s="3">
        <v>46100</v>
      </c>
      <c r="D555">
        <v>10</v>
      </c>
      <c r="E555">
        <v>2</v>
      </c>
      <c r="F555">
        <v>4</v>
      </c>
      <c r="G555" s="2">
        <v>7200</v>
      </c>
      <c r="H555" s="4">
        <v>0</v>
      </c>
      <c r="I555" s="2">
        <v>7200</v>
      </c>
      <c r="J555" t="s">
        <v>255</v>
      </c>
      <c r="K555" t="s">
        <v>254</v>
      </c>
      <c r="L555">
        <v>5</v>
      </c>
      <c r="M555" t="str">
        <f>_xlfn.XLOOKUP(E555,tPacotes[ID_Pacote],tPacotes[Pacote])</f>
        <v>Rio Cidade Maravilhosa</v>
      </c>
      <c r="N555" t="str">
        <f>_xlfn.XLOOKUP(E555,tPacotes[ID_Pacote],tPacotes[Categoria])</f>
        <v>Cultural</v>
      </c>
      <c r="O555" t="str">
        <f>_xlfn.XLOOKUP(D555,tClientes[ID_Cliente],tClientes[UF])</f>
        <v>SP</v>
      </c>
    </row>
    <row r="556" spans="1:15" x14ac:dyDescent="0.3">
      <c r="A556">
        <v>555</v>
      </c>
      <c r="B556" s="3">
        <v>45925</v>
      </c>
      <c r="C556" s="3">
        <v>45975</v>
      </c>
      <c r="D556">
        <v>16</v>
      </c>
      <c r="E556">
        <v>2</v>
      </c>
      <c r="F556">
        <v>4</v>
      </c>
      <c r="G556" s="2">
        <v>7200</v>
      </c>
      <c r="H556" s="4">
        <v>0.15</v>
      </c>
      <c r="I556" s="2">
        <v>6120</v>
      </c>
      <c r="J556" t="s">
        <v>255</v>
      </c>
      <c r="K556" t="s">
        <v>254</v>
      </c>
      <c r="L556">
        <v>4</v>
      </c>
      <c r="M556" t="str">
        <f>_xlfn.XLOOKUP(E556,tPacotes[ID_Pacote],tPacotes[Pacote])</f>
        <v>Rio Cidade Maravilhosa</v>
      </c>
      <c r="N556" t="str">
        <f>_xlfn.XLOOKUP(E556,tPacotes[ID_Pacote],tPacotes[Categoria])</f>
        <v>Cultural</v>
      </c>
      <c r="O556" t="str">
        <f>_xlfn.XLOOKUP(D556,tClientes[ID_Cliente],tClientes[UF])</f>
        <v>DF</v>
      </c>
    </row>
    <row r="557" spans="1:15" x14ac:dyDescent="0.3">
      <c r="A557">
        <v>556</v>
      </c>
      <c r="B557" s="3">
        <v>45925</v>
      </c>
      <c r="C557" s="3">
        <v>46104</v>
      </c>
      <c r="D557">
        <v>114</v>
      </c>
      <c r="E557">
        <v>2</v>
      </c>
      <c r="F557">
        <v>1</v>
      </c>
      <c r="G557" s="2">
        <v>1800</v>
      </c>
      <c r="H557" s="4">
        <v>0</v>
      </c>
      <c r="I557" s="2">
        <v>1800</v>
      </c>
      <c r="J557" t="s">
        <v>256</v>
      </c>
      <c r="K557" t="s">
        <v>254</v>
      </c>
      <c r="L557">
        <v>4</v>
      </c>
      <c r="M557" t="str">
        <f>_xlfn.XLOOKUP(E557,tPacotes[ID_Pacote],tPacotes[Pacote])</f>
        <v>Rio Cidade Maravilhosa</v>
      </c>
      <c r="N557" t="str">
        <f>_xlfn.XLOOKUP(E557,tPacotes[ID_Pacote],tPacotes[Categoria])</f>
        <v>Cultural</v>
      </c>
      <c r="O557" t="str">
        <f>_xlfn.XLOOKUP(D557,tClientes[ID_Cliente],tClientes[UF])</f>
        <v>SP</v>
      </c>
    </row>
    <row r="558" spans="1:15" x14ac:dyDescent="0.3">
      <c r="A558">
        <v>557</v>
      </c>
      <c r="B558" s="3">
        <v>45926</v>
      </c>
      <c r="C558" s="3">
        <v>46089</v>
      </c>
      <c r="D558">
        <v>84</v>
      </c>
      <c r="E558">
        <v>4</v>
      </c>
      <c r="F558">
        <v>2</v>
      </c>
      <c r="G558" s="2">
        <v>13800</v>
      </c>
      <c r="H558" s="4">
        <v>0</v>
      </c>
      <c r="I558" s="2">
        <v>13800</v>
      </c>
      <c r="J558" t="s">
        <v>253</v>
      </c>
      <c r="K558" t="s">
        <v>254</v>
      </c>
      <c r="L558">
        <v>3</v>
      </c>
      <c r="M558" t="str">
        <f>_xlfn.XLOOKUP(E558,tPacotes[ID_Pacote],tPacotes[Pacote])</f>
        <v>Fernando de Noronha</v>
      </c>
      <c r="N558" t="str">
        <f>_xlfn.XLOOKUP(E558,tPacotes[ID_Pacote],tPacotes[Categoria])</f>
        <v>Praia</v>
      </c>
      <c r="O558" t="str">
        <f>_xlfn.XLOOKUP(D558,tClientes[ID_Cliente],tClientes[UF])</f>
        <v>RS</v>
      </c>
    </row>
    <row r="559" spans="1:15" x14ac:dyDescent="0.3">
      <c r="A559">
        <v>558</v>
      </c>
      <c r="B559" s="3">
        <v>45927</v>
      </c>
      <c r="C559" s="3">
        <v>46083</v>
      </c>
      <c r="D559">
        <v>2</v>
      </c>
      <c r="E559">
        <v>2</v>
      </c>
      <c r="F559">
        <v>1</v>
      </c>
      <c r="G559" s="2">
        <v>1800</v>
      </c>
      <c r="H559" s="4">
        <v>0</v>
      </c>
      <c r="I559" s="2">
        <v>1800</v>
      </c>
      <c r="J559" t="s">
        <v>257</v>
      </c>
      <c r="K559" t="s">
        <v>254</v>
      </c>
      <c r="L559">
        <v>5</v>
      </c>
      <c r="M559" t="str">
        <f>_xlfn.XLOOKUP(E559,tPacotes[ID_Pacote],tPacotes[Pacote])</f>
        <v>Rio Cidade Maravilhosa</v>
      </c>
      <c r="N559" t="str">
        <f>_xlfn.XLOOKUP(E559,tPacotes[ID_Pacote],tPacotes[Categoria])</f>
        <v>Cultural</v>
      </c>
      <c r="O559" t="str">
        <f>_xlfn.XLOOKUP(D559,tClientes[ID_Cliente],tClientes[UF])</f>
        <v>RJ</v>
      </c>
    </row>
    <row r="560" spans="1:15" x14ac:dyDescent="0.3">
      <c r="A560">
        <v>559</v>
      </c>
      <c r="B560" s="3">
        <v>45928</v>
      </c>
      <c r="C560" s="3">
        <v>45995</v>
      </c>
      <c r="D560">
        <v>24</v>
      </c>
      <c r="E560">
        <v>2</v>
      </c>
      <c r="F560">
        <v>5</v>
      </c>
      <c r="G560" s="2">
        <v>9000</v>
      </c>
      <c r="H560" s="4">
        <v>0.1</v>
      </c>
      <c r="I560" s="2">
        <v>8100</v>
      </c>
      <c r="J560" t="s">
        <v>253</v>
      </c>
      <c r="K560" t="s">
        <v>254</v>
      </c>
      <c r="L560">
        <v>4</v>
      </c>
      <c r="M560" t="str">
        <f>_xlfn.XLOOKUP(E560,tPacotes[ID_Pacote],tPacotes[Pacote])</f>
        <v>Rio Cidade Maravilhosa</v>
      </c>
      <c r="N560" t="str">
        <f>_xlfn.XLOOKUP(E560,tPacotes[ID_Pacote],tPacotes[Categoria])</f>
        <v>Cultural</v>
      </c>
      <c r="O560" t="str">
        <f>_xlfn.XLOOKUP(D560,tClientes[ID_Cliente],tClientes[UF])</f>
        <v>SP</v>
      </c>
    </row>
    <row r="561" spans="1:15" x14ac:dyDescent="0.3">
      <c r="A561">
        <v>560</v>
      </c>
      <c r="B561" s="3">
        <v>45929</v>
      </c>
      <c r="C561" s="3">
        <v>46092</v>
      </c>
      <c r="D561">
        <v>100</v>
      </c>
      <c r="E561">
        <v>3</v>
      </c>
      <c r="F561">
        <v>3</v>
      </c>
      <c r="G561" s="2">
        <v>7800</v>
      </c>
      <c r="H561" s="4">
        <v>0</v>
      </c>
      <c r="I561" s="2">
        <v>7800</v>
      </c>
      <c r="J561" t="s">
        <v>253</v>
      </c>
      <c r="K561" t="s">
        <v>254</v>
      </c>
      <c r="L561">
        <v>4</v>
      </c>
      <c r="M561" t="str">
        <f>_xlfn.XLOOKUP(E561,tPacotes[ID_Pacote],tPacotes[Pacote])</f>
        <v>Serra Gaúcha</v>
      </c>
      <c r="N561" t="str">
        <f>_xlfn.XLOOKUP(E561,tPacotes[ID_Pacote],tPacotes[Categoria])</f>
        <v>Inverno</v>
      </c>
      <c r="O561" t="str">
        <f>_xlfn.XLOOKUP(D561,tClientes[ID_Cliente],tClientes[UF])</f>
        <v>SP</v>
      </c>
    </row>
    <row r="562" spans="1:15" x14ac:dyDescent="0.3">
      <c r="A562">
        <v>561</v>
      </c>
      <c r="B562" s="3">
        <v>45930</v>
      </c>
      <c r="C562" s="3">
        <v>45940</v>
      </c>
      <c r="D562">
        <v>121</v>
      </c>
      <c r="E562">
        <v>4</v>
      </c>
      <c r="F562">
        <v>1</v>
      </c>
      <c r="G562" s="2">
        <v>6900</v>
      </c>
      <c r="H562" s="4">
        <v>0.05</v>
      </c>
      <c r="I562" s="2">
        <v>6555</v>
      </c>
      <c r="J562" t="s">
        <v>253</v>
      </c>
      <c r="K562" t="s">
        <v>254</v>
      </c>
      <c r="L562">
        <v>5</v>
      </c>
      <c r="M562" t="str">
        <f>_xlfn.XLOOKUP(E562,tPacotes[ID_Pacote],tPacotes[Pacote])</f>
        <v>Fernando de Noronha</v>
      </c>
      <c r="N562" t="str">
        <f>_xlfn.XLOOKUP(E562,tPacotes[ID_Pacote],tPacotes[Categoria])</f>
        <v>Praia</v>
      </c>
      <c r="O562" t="str">
        <f>_xlfn.XLOOKUP(D562,tClientes[ID_Cliente],tClientes[UF])</f>
        <v>RS</v>
      </c>
    </row>
    <row r="563" spans="1:15" x14ac:dyDescent="0.3">
      <c r="A563">
        <v>562</v>
      </c>
      <c r="B563" s="3">
        <v>45930</v>
      </c>
      <c r="C563" s="3">
        <v>45990</v>
      </c>
      <c r="D563">
        <v>78</v>
      </c>
      <c r="E563">
        <v>15</v>
      </c>
      <c r="F563">
        <v>1</v>
      </c>
      <c r="G563" s="2">
        <v>3100</v>
      </c>
      <c r="H563" s="4">
        <v>0</v>
      </c>
      <c r="I563" s="2">
        <v>3100</v>
      </c>
      <c r="J563" t="s">
        <v>256</v>
      </c>
      <c r="K563" t="s">
        <v>254</v>
      </c>
      <c r="L563">
        <v>5</v>
      </c>
      <c r="M563" t="str">
        <f>_xlfn.XLOOKUP(E563,tPacotes[ID_Pacote],tPacotes[Pacote])</f>
        <v>Jericoacoara</v>
      </c>
      <c r="N563" t="str">
        <f>_xlfn.XLOOKUP(E563,tPacotes[ID_Pacote],tPacotes[Categoria])</f>
        <v>Praia</v>
      </c>
      <c r="O563" t="str">
        <f>_xlfn.XLOOKUP(D563,tClientes[ID_Cliente],tClientes[UF])</f>
        <v>PR</v>
      </c>
    </row>
    <row r="564" spans="1:15" x14ac:dyDescent="0.3">
      <c r="A564">
        <v>563</v>
      </c>
      <c r="B564" s="3">
        <v>45930</v>
      </c>
      <c r="C564" s="3">
        <v>46083</v>
      </c>
      <c r="D564">
        <v>28</v>
      </c>
      <c r="E564">
        <v>6</v>
      </c>
      <c r="F564">
        <v>3</v>
      </c>
      <c r="G564" s="2">
        <v>6300</v>
      </c>
      <c r="H564" s="4">
        <v>0.05</v>
      </c>
      <c r="I564" s="2">
        <v>5985</v>
      </c>
      <c r="J564" t="s">
        <v>257</v>
      </c>
      <c r="K564" t="s">
        <v>254</v>
      </c>
      <c r="L564">
        <v>5</v>
      </c>
      <c r="M564" t="str">
        <f>_xlfn.XLOOKUP(E564,tPacotes[ID_Pacote],tPacotes[Pacote])</f>
        <v>Foz do Iguaçu</v>
      </c>
      <c r="N564" t="str">
        <f>_xlfn.XLOOKUP(E564,tPacotes[ID_Pacote],tPacotes[Categoria])</f>
        <v>Natureza</v>
      </c>
      <c r="O564" t="str">
        <f>_xlfn.XLOOKUP(D564,tClientes[ID_Cliente],tClientes[UF])</f>
        <v>SP</v>
      </c>
    </row>
    <row r="565" spans="1:15" x14ac:dyDescent="0.3">
      <c r="A565">
        <v>564</v>
      </c>
      <c r="B565" s="3">
        <v>45931</v>
      </c>
      <c r="C565" s="3">
        <v>45970</v>
      </c>
      <c r="D565">
        <v>35</v>
      </c>
      <c r="E565">
        <v>15</v>
      </c>
      <c r="F565">
        <v>1</v>
      </c>
      <c r="G565" s="2">
        <v>3100</v>
      </c>
      <c r="H565" s="4">
        <v>0</v>
      </c>
      <c r="I565" s="2">
        <v>3100</v>
      </c>
      <c r="J565" t="s">
        <v>255</v>
      </c>
      <c r="K565" t="s">
        <v>254</v>
      </c>
      <c r="L565">
        <v>5</v>
      </c>
      <c r="M565" t="str">
        <f>_xlfn.XLOOKUP(E565,tPacotes[ID_Pacote],tPacotes[Pacote])</f>
        <v>Jericoacoara</v>
      </c>
      <c r="N565" t="str">
        <f>_xlfn.XLOOKUP(E565,tPacotes[ID_Pacote],tPacotes[Categoria])</f>
        <v>Praia</v>
      </c>
      <c r="O565" t="str">
        <f>_xlfn.XLOOKUP(D565,tClientes[ID_Cliente],tClientes[UF])</f>
        <v>DF</v>
      </c>
    </row>
    <row r="566" spans="1:15" x14ac:dyDescent="0.3">
      <c r="A566">
        <v>565</v>
      </c>
      <c r="B566" s="3">
        <v>45931</v>
      </c>
      <c r="C566" s="3">
        <v>45984</v>
      </c>
      <c r="D566">
        <v>160</v>
      </c>
      <c r="E566">
        <v>1</v>
      </c>
      <c r="F566">
        <v>2</v>
      </c>
      <c r="G566" s="2">
        <v>6400</v>
      </c>
      <c r="H566" s="4">
        <v>0</v>
      </c>
      <c r="I566" s="2">
        <v>6400</v>
      </c>
      <c r="J566" t="s">
        <v>255</v>
      </c>
      <c r="K566" t="s">
        <v>254</v>
      </c>
      <c r="L566">
        <v>5</v>
      </c>
      <c r="M566" t="str">
        <f>_xlfn.XLOOKUP(E566,tPacotes[ID_Pacote],tPacotes[Pacote])</f>
        <v>Nordeste Encantado</v>
      </c>
      <c r="N566" t="str">
        <f>_xlfn.XLOOKUP(E566,tPacotes[ID_Pacote],tPacotes[Categoria])</f>
        <v>Praia</v>
      </c>
      <c r="O566" t="str">
        <f>_xlfn.XLOOKUP(D566,tClientes[ID_Cliente],tClientes[UF])</f>
        <v>RJ</v>
      </c>
    </row>
    <row r="567" spans="1:15" x14ac:dyDescent="0.3">
      <c r="A567">
        <v>566</v>
      </c>
      <c r="B567" s="3">
        <v>45932</v>
      </c>
      <c r="C567" s="3">
        <v>46085</v>
      </c>
      <c r="D567">
        <v>65</v>
      </c>
      <c r="E567">
        <v>12</v>
      </c>
      <c r="F567">
        <v>2</v>
      </c>
      <c r="G567" s="2">
        <v>24800</v>
      </c>
      <c r="H567" s="4">
        <v>0.1</v>
      </c>
      <c r="I567" s="2">
        <v>22320</v>
      </c>
      <c r="J567" t="s">
        <v>253</v>
      </c>
      <c r="K567" t="s">
        <v>254</v>
      </c>
      <c r="L567">
        <v>5</v>
      </c>
      <c r="M567" t="str">
        <f>_xlfn.XLOOKUP(E567,tPacotes[ID_Pacote],tPacotes[Pacote])</f>
        <v>Lisboa e Porto</v>
      </c>
      <c r="N567" t="str">
        <f>_xlfn.XLOOKUP(E567,tPacotes[ID_Pacote],tPacotes[Categoria])</f>
        <v>Cultural</v>
      </c>
      <c r="O567" t="str">
        <f>_xlfn.XLOOKUP(D567,tClientes[ID_Cliente],tClientes[UF])</f>
        <v>SP</v>
      </c>
    </row>
    <row r="568" spans="1:15" x14ac:dyDescent="0.3">
      <c r="A568">
        <v>567</v>
      </c>
      <c r="B568" s="3">
        <v>45932</v>
      </c>
      <c r="C568" s="3">
        <v>45972</v>
      </c>
      <c r="D568">
        <v>163</v>
      </c>
      <c r="E568">
        <v>1</v>
      </c>
      <c r="F568">
        <v>3</v>
      </c>
      <c r="G568" s="2">
        <v>9600</v>
      </c>
      <c r="H568" s="4">
        <v>0</v>
      </c>
      <c r="I568" s="2">
        <v>9600</v>
      </c>
      <c r="J568" t="s">
        <v>257</v>
      </c>
      <c r="K568" t="s">
        <v>254</v>
      </c>
      <c r="L568">
        <v>5</v>
      </c>
      <c r="M568" t="str">
        <f>_xlfn.XLOOKUP(E568,tPacotes[ID_Pacote],tPacotes[Pacote])</f>
        <v>Nordeste Encantado</v>
      </c>
      <c r="N568" t="str">
        <f>_xlfn.XLOOKUP(E568,tPacotes[ID_Pacote],tPacotes[Categoria])</f>
        <v>Praia</v>
      </c>
      <c r="O568" t="str">
        <f>_xlfn.XLOOKUP(D568,tClientes[ID_Cliente],tClientes[UF])</f>
        <v>DF</v>
      </c>
    </row>
    <row r="569" spans="1:15" x14ac:dyDescent="0.3">
      <c r="A569">
        <v>568</v>
      </c>
      <c r="B569" s="3">
        <v>45933</v>
      </c>
      <c r="C569" s="3">
        <v>45953</v>
      </c>
      <c r="D569">
        <v>82</v>
      </c>
      <c r="E569">
        <v>5</v>
      </c>
      <c r="F569">
        <v>2</v>
      </c>
      <c r="G569" s="2">
        <v>6800</v>
      </c>
      <c r="H569" s="4">
        <v>0</v>
      </c>
      <c r="I569" s="2">
        <v>6800</v>
      </c>
      <c r="J569" t="s">
        <v>253</v>
      </c>
      <c r="K569" t="s">
        <v>254</v>
      </c>
      <c r="L569">
        <v>5</v>
      </c>
      <c r="M569" t="str">
        <f>_xlfn.XLOOKUP(E569,tPacotes[ID_Pacote],tPacotes[Pacote])</f>
        <v>Bonito Aventura</v>
      </c>
      <c r="N569" t="str">
        <f>_xlfn.XLOOKUP(E569,tPacotes[ID_Pacote],tPacotes[Categoria])</f>
        <v>Aventura</v>
      </c>
      <c r="O569" t="str">
        <f>_xlfn.XLOOKUP(D569,tClientes[ID_Cliente],tClientes[UF])</f>
        <v>SP</v>
      </c>
    </row>
    <row r="570" spans="1:15" x14ac:dyDescent="0.3">
      <c r="A570">
        <v>569</v>
      </c>
      <c r="B570" s="3">
        <v>45933</v>
      </c>
      <c r="C570" s="3">
        <v>45951</v>
      </c>
      <c r="D570">
        <v>183</v>
      </c>
      <c r="E570">
        <v>6</v>
      </c>
      <c r="F570">
        <v>3</v>
      </c>
      <c r="G570" s="2">
        <v>6300</v>
      </c>
      <c r="H570" s="4">
        <v>0.05</v>
      </c>
      <c r="I570" s="2">
        <v>5985</v>
      </c>
      <c r="J570" t="s">
        <v>257</v>
      </c>
      <c r="K570" t="s">
        <v>254</v>
      </c>
      <c r="L570">
        <v>4</v>
      </c>
      <c r="M570" t="str">
        <f>_xlfn.XLOOKUP(E570,tPacotes[ID_Pacote],tPacotes[Pacote])</f>
        <v>Foz do Iguaçu</v>
      </c>
      <c r="N570" t="str">
        <f>_xlfn.XLOOKUP(E570,tPacotes[ID_Pacote],tPacotes[Categoria])</f>
        <v>Natureza</v>
      </c>
      <c r="O570" t="str">
        <f>_xlfn.XLOOKUP(D570,tClientes[ID_Cliente],tClientes[UF])</f>
        <v>MG</v>
      </c>
    </row>
    <row r="571" spans="1:15" x14ac:dyDescent="0.3">
      <c r="A571">
        <v>570</v>
      </c>
      <c r="B571" s="3">
        <v>45933</v>
      </c>
      <c r="C571" s="3">
        <v>45952</v>
      </c>
      <c r="D571">
        <v>43</v>
      </c>
      <c r="E571">
        <v>3</v>
      </c>
      <c r="F571">
        <v>1</v>
      </c>
      <c r="G571" s="2">
        <v>2600</v>
      </c>
      <c r="H571" s="4">
        <v>0</v>
      </c>
      <c r="I571" s="2">
        <v>2600</v>
      </c>
      <c r="J571" t="s">
        <v>256</v>
      </c>
      <c r="K571" t="s">
        <v>254</v>
      </c>
      <c r="L571">
        <v>4</v>
      </c>
      <c r="M571" t="str">
        <f>_xlfn.XLOOKUP(E571,tPacotes[ID_Pacote],tPacotes[Pacote])</f>
        <v>Serra Gaúcha</v>
      </c>
      <c r="N571" t="str">
        <f>_xlfn.XLOOKUP(E571,tPacotes[ID_Pacote],tPacotes[Categoria])</f>
        <v>Inverno</v>
      </c>
      <c r="O571" t="str">
        <f>_xlfn.XLOOKUP(D571,tClientes[ID_Cliente],tClientes[UF])</f>
        <v>PR</v>
      </c>
    </row>
    <row r="572" spans="1:15" x14ac:dyDescent="0.3">
      <c r="A572">
        <v>571</v>
      </c>
      <c r="B572" s="3">
        <v>45933</v>
      </c>
      <c r="C572" s="3">
        <v>46010</v>
      </c>
      <c r="D572">
        <v>102</v>
      </c>
      <c r="E572">
        <v>7</v>
      </c>
      <c r="F572">
        <v>4</v>
      </c>
      <c r="G572" s="2">
        <v>16800</v>
      </c>
      <c r="H572" s="4">
        <v>0</v>
      </c>
      <c r="I572" s="2">
        <v>16800</v>
      </c>
      <c r="J572" t="s">
        <v>257</v>
      </c>
      <c r="K572" t="s">
        <v>254</v>
      </c>
      <c r="L572">
        <v>5</v>
      </c>
      <c r="M572" t="str">
        <f>_xlfn.XLOOKUP(E572,tPacotes[ID_Pacote],tPacotes[Pacote])</f>
        <v>Buenos Aires Clássica</v>
      </c>
      <c r="N572" t="str">
        <f>_xlfn.XLOOKUP(E572,tPacotes[ID_Pacote],tPacotes[Categoria])</f>
        <v>Cultural</v>
      </c>
      <c r="O572" t="str">
        <f>_xlfn.XLOOKUP(D572,tClientes[ID_Cliente],tClientes[UF])</f>
        <v>PR</v>
      </c>
    </row>
    <row r="573" spans="1:15" x14ac:dyDescent="0.3">
      <c r="A573">
        <v>572</v>
      </c>
      <c r="B573" s="3">
        <v>45935</v>
      </c>
      <c r="C573" s="3">
        <v>45954</v>
      </c>
      <c r="D573">
        <v>151</v>
      </c>
      <c r="E573">
        <v>2</v>
      </c>
      <c r="F573">
        <v>3</v>
      </c>
      <c r="G573" s="2">
        <v>5400</v>
      </c>
      <c r="H573" s="4">
        <v>0</v>
      </c>
      <c r="I573" s="2">
        <v>5400</v>
      </c>
      <c r="J573" t="s">
        <v>257</v>
      </c>
      <c r="K573" t="s">
        <v>254</v>
      </c>
      <c r="L573">
        <v>4</v>
      </c>
      <c r="M573" t="str">
        <f>_xlfn.XLOOKUP(E573,tPacotes[ID_Pacote],tPacotes[Pacote])</f>
        <v>Rio Cidade Maravilhosa</v>
      </c>
      <c r="N573" t="str">
        <f>_xlfn.XLOOKUP(E573,tPacotes[ID_Pacote],tPacotes[Categoria])</f>
        <v>Cultural</v>
      </c>
      <c r="O573" t="str">
        <f>_xlfn.XLOOKUP(D573,tClientes[ID_Cliente],tClientes[UF])</f>
        <v>SP</v>
      </c>
    </row>
    <row r="574" spans="1:15" x14ac:dyDescent="0.3">
      <c r="A574">
        <v>573</v>
      </c>
      <c r="B574" s="3">
        <v>45935</v>
      </c>
      <c r="C574" s="3">
        <v>45996</v>
      </c>
      <c r="D574">
        <v>157</v>
      </c>
      <c r="E574">
        <v>4</v>
      </c>
      <c r="F574">
        <v>2</v>
      </c>
      <c r="G574" s="2">
        <v>13800</v>
      </c>
      <c r="H574" s="4">
        <v>0.05</v>
      </c>
      <c r="I574" s="2">
        <v>13110</v>
      </c>
      <c r="J574" t="s">
        <v>253</v>
      </c>
      <c r="K574" t="s">
        <v>254</v>
      </c>
      <c r="L574">
        <v>5</v>
      </c>
      <c r="M574" t="str">
        <f>_xlfn.XLOOKUP(E574,tPacotes[ID_Pacote],tPacotes[Pacote])</f>
        <v>Fernando de Noronha</v>
      </c>
      <c r="N574" t="str">
        <f>_xlfn.XLOOKUP(E574,tPacotes[ID_Pacote],tPacotes[Categoria])</f>
        <v>Praia</v>
      </c>
      <c r="O574" t="str">
        <f>_xlfn.XLOOKUP(D574,tClientes[ID_Cliente],tClientes[UF])</f>
        <v>SP</v>
      </c>
    </row>
    <row r="575" spans="1:15" x14ac:dyDescent="0.3">
      <c r="A575">
        <v>574</v>
      </c>
      <c r="B575" s="3">
        <v>45935</v>
      </c>
      <c r="C575" s="3">
        <v>46107</v>
      </c>
      <c r="D575">
        <v>41</v>
      </c>
      <c r="E575">
        <v>6</v>
      </c>
      <c r="F575">
        <v>2</v>
      </c>
      <c r="G575" s="2">
        <v>4200</v>
      </c>
      <c r="H575" s="4">
        <v>0.05</v>
      </c>
      <c r="I575" s="2">
        <v>3990</v>
      </c>
      <c r="J575" t="s">
        <v>253</v>
      </c>
      <c r="K575" t="s">
        <v>254</v>
      </c>
      <c r="L575">
        <v>4</v>
      </c>
      <c r="M575" t="str">
        <f>_xlfn.XLOOKUP(E575,tPacotes[ID_Pacote],tPacotes[Pacote])</f>
        <v>Foz do Iguaçu</v>
      </c>
      <c r="N575" t="str">
        <f>_xlfn.XLOOKUP(E575,tPacotes[ID_Pacote],tPacotes[Categoria])</f>
        <v>Natureza</v>
      </c>
      <c r="O575" t="str">
        <f>_xlfn.XLOOKUP(D575,tClientes[ID_Cliente],tClientes[UF])</f>
        <v>RS</v>
      </c>
    </row>
    <row r="576" spans="1:15" x14ac:dyDescent="0.3">
      <c r="A576">
        <v>575</v>
      </c>
      <c r="B576" s="3">
        <v>45936</v>
      </c>
      <c r="C576" s="3">
        <v>46062</v>
      </c>
      <c r="D576">
        <v>33</v>
      </c>
      <c r="E576">
        <v>12</v>
      </c>
      <c r="F576">
        <v>2</v>
      </c>
      <c r="G576" s="2">
        <v>24800</v>
      </c>
      <c r="H576" s="4">
        <v>0.05</v>
      </c>
      <c r="I576" s="2">
        <v>23560</v>
      </c>
      <c r="J576" t="s">
        <v>253</v>
      </c>
      <c r="K576" t="s">
        <v>258</v>
      </c>
      <c r="M576" t="str">
        <f>_xlfn.XLOOKUP(E576,tPacotes[ID_Pacote],tPacotes[Pacote])</f>
        <v>Lisboa e Porto</v>
      </c>
      <c r="N576" t="str">
        <f>_xlfn.XLOOKUP(E576,tPacotes[ID_Pacote],tPacotes[Categoria])</f>
        <v>Cultural</v>
      </c>
      <c r="O576" t="str">
        <f>_xlfn.XLOOKUP(D576,tClientes[ID_Cliente],tClientes[UF])</f>
        <v>PR</v>
      </c>
    </row>
    <row r="577" spans="1:15" x14ac:dyDescent="0.3">
      <c r="A577">
        <v>576</v>
      </c>
      <c r="B577" s="3">
        <v>45936</v>
      </c>
      <c r="C577" s="3">
        <v>45950</v>
      </c>
      <c r="D577">
        <v>190</v>
      </c>
      <c r="E577">
        <v>3</v>
      </c>
      <c r="F577">
        <v>4</v>
      </c>
      <c r="G577" s="2">
        <v>10400</v>
      </c>
      <c r="H577" s="4">
        <v>0</v>
      </c>
      <c r="I577" s="2">
        <v>10400</v>
      </c>
      <c r="J577" t="s">
        <v>255</v>
      </c>
      <c r="K577" t="s">
        <v>254</v>
      </c>
      <c r="L577">
        <v>4</v>
      </c>
      <c r="M577" t="str">
        <f>_xlfn.XLOOKUP(E577,tPacotes[ID_Pacote],tPacotes[Pacote])</f>
        <v>Serra Gaúcha</v>
      </c>
      <c r="N577" t="str">
        <f>_xlfn.XLOOKUP(E577,tPacotes[ID_Pacote],tPacotes[Categoria])</f>
        <v>Inverno</v>
      </c>
      <c r="O577" t="str">
        <f>_xlfn.XLOOKUP(D577,tClientes[ID_Cliente],tClientes[UF])</f>
        <v>SP</v>
      </c>
    </row>
    <row r="578" spans="1:15" x14ac:dyDescent="0.3">
      <c r="A578">
        <v>577</v>
      </c>
      <c r="B578" s="3">
        <v>45937</v>
      </c>
      <c r="C578" s="3">
        <v>46078</v>
      </c>
      <c r="D578">
        <v>78</v>
      </c>
      <c r="E578">
        <v>15</v>
      </c>
      <c r="F578">
        <v>2</v>
      </c>
      <c r="G578" s="2">
        <v>6200</v>
      </c>
      <c r="H578" s="4">
        <v>0.15</v>
      </c>
      <c r="I578" s="2">
        <v>5270</v>
      </c>
      <c r="J578" t="s">
        <v>256</v>
      </c>
      <c r="K578" t="s">
        <v>254</v>
      </c>
      <c r="L578">
        <v>5</v>
      </c>
      <c r="M578" t="str">
        <f>_xlfn.XLOOKUP(E578,tPacotes[ID_Pacote],tPacotes[Pacote])</f>
        <v>Jericoacoara</v>
      </c>
      <c r="N578" t="str">
        <f>_xlfn.XLOOKUP(E578,tPacotes[ID_Pacote],tPacotes[Categoria])</f>
        <v>Praia</v>
      </c>
      <c r="O578" t="str">
        <f>_xlfn.XLOOKUP(D578,tClientes[ID_Cliente],tClientes[UF])</f>
        <v>PR</v>
      </c>
    </row>
    <row r="579" spans="1:15" x14ac:dyDescent="0.3">
      <c r="A579">
        <v>578</v>
      </c>
      <c r="B579" s="3">
        <v>45938</v>
      </c>
      <c r="C579" s="3">
        <v>45976</v>
      </c>
      <c r="D579">
        <v>164</v>
      </c>
      <c r="E579">
        <v>2</v>
      </c>
      <c r="F579">
        <v>2</v>
      </c>
      <c r="G579" s="2">
        <v>3600</v>
      </c>
      <c r="H579" s="4">
        <v>0.1</v>
      </c>
      <c r="I579" s="2">
        <v>3240</v>
      </c>
      <c r="J579" t="s">
        <v>253</v>
      </c>
      <c r="K579" t="s">
        <v>254</v>
      </c>
      <c r="L579">
        <v>3</v>
      </c>
      <c r="M579" t="str">
        <f>_xlfn.XLOOKUP(E579,tPacotes[ID_Pacote],tPacotes[Pacote])</f>
        <v>Rio Cidade Maravilhosa</v>
      </c>
      <c r="N579" t="str">
        <f>_xlfn.XLOOKUP(E579,tPacotes[ID_Pacote],tPacotes[Categoria])</f>
        <v>Cultural</v>
      </c>
      <c r="O579" t="str">
        <f>_xlfn.XLOOKUP(D579,tClientes[ID_Cliente],tClientes[UF])</f>
        <v>RJ</v>
      </c>
    </row>
    <row r="580" spans="1:15" x14ac:dyDescent="0.3">
      <c r="A580">
        <v>579</v>
      </c>
      <c r="B580" s="3">
        <v>45939</v>
      </c>
      <c r="C580" s="3">
        <v>46032</v>
      </c>
      <c r="D580">
        <v>23</v>
      </c>
      <c r="E580">
        <v>7</v>
      </c>
      <c r="F580">
        <v>4</v>
      </c>
      <c r="G580" s="2">
        <v>16800</v>
      </c>
      <c r="H580" s="4">
        <v>0</v>
      </c>
      <c r="I580" s="2">
        <v>16800</v>
      </c>
      <c r="J580" t="s">
        <v>257</v>
      </c>
      <c r="K580" t="s">
        <v>254</v>
      </c>
      <c r="L580">
        <v>2</v>
      </c>
      <c r="M580" t="str">
        <f>_xlfn.XLOOKUP(E580,tPacotes[ID_Pacote],tPacotes[Pacote])</f>
        <v>Buenos Aires Clássica</v>
      </c>
      <c r="N580" t="str">
        <f>_xlfn.XLOOKUP(E580,tPacotes[ID_Pacote],tPacotes[Categoria])</f>
        <v>Cultural</v>
      </c>
      <c r="O580" t="str">
        <f>_xlfn.XLOOKUP(D580,tClientes[ID_Cliente],tClientes[UF])</f>
        <v>SP</v>
      </c>
    </row>
    <row r="581" spans="1:15" x14ac:dyDescent="0.3">
      <c r="A581">
        <v>580</v>
      </c>
      <c r="B581" s="3">
        <v>45939</v>
      </c>
      <c r="C581" s="3">
        <v>45993</v>
      </c>
      <c r="D581">
        <v>106</v>
      </c>
      <c r="E581">
        <v>14</v>
      </c>
      <c r="F581">
        <v>1</v>
      </c>
      <c r="G581" s="2">
        <v>2900</v>
      </c>
      <c r="H581" s="4">
        <v>0</v>
      </c>
      <c r="I581" s="2">
        <v>2900</v>
      </c>
      <c r="J581" t="s">
        <v>256</v>
      </c>
      <c r="K581" t="s">
        <v>254</v>
      </c>
      <c r="L581">
        <v>5</v>
      </c>
      <c r="M581" t="str">
        <f>_xlfn.XLOOKUP(E581,tPacotes[ID_Pacote],tPacotes[Pacote])</f>
        <v>Lençóis Maranhenses</v>
      </c>
      <c r="N581" t="str">
        <f>_xlfn.XLOOKUP(E581,tPacotes[ID_Pacote],tPacotes[Categoria])</f>
        <v>Natureza</v>
      </c>
      <c r="O581" t="str">
        <f>_xlfn.XLOOKUP(D581,tClientes[ID_Cliente],tClientes[UF])</f>
        <v>PE</v>
      </c>
    </row>
    <row r="582" spans="1:15" x14ac:dyDescent="0.3">
      <c r="A582">
        <v>581</v>
      </c>
      <c r="B582" s="3">
        <v>45939</v>
      </c>
      <c r="C582" s="3">
        <v>45948</v>
      </c>
      <c r="D582">
        <v>60</v>
      </c>
      <c r="E582">
        <v>12</v>
      </c>
      <c r="F582">
        <v>2</v>
      </c>
      <c r="G582" s="2">
        <v>24800</v>
      </c>
      <c r="H582" s="4">
        <v>0</v>
      </c>
      <c r="I582" s="2">
        <v>24800</v>
      </c>
      <c r="J582" t="s">
        <v>255</v>
      </c>
      <c r="K582" t="s">
        <v>254</v>
      </c>
      <c r="L582">
        <v>1</v>
      </c>
      <c r="M582" t="str">
        <f>_xlfn.XLOOKUP(E582,tPacotes[ID_Pacote],tPacotes[Pacote])</f>
        <v>Lisboa e Porto</v>
      </c>
      <c r="N582" t="str">
        <f>_xlfn.XLOOKUP(E582,tPacotes[ID_Pacote],tPacotes[Categoria])</f>
        <v>Cultural</v>
      </c>
      <c r="O582" t="str">
        <f>_xlfn.XLOOKUP(D582,tClientes[ID_Cliente],tClientes[UF])</f>
        <v>PR</v>
      </c>
    </row>
    <row r="583" spans="1:15" x14ac:dyDescent="0.3">
      <c r="A583">
        <v>582</v>
      </c>
      <c r="B583" s="3">
        <v>45940</v>
      </c>
      <c r="C583" s="3">
        <v>45959</v>
      </c>
      <c r="D583">
        <v>56</v>
      </c>
      <c r="E583">
        <v>2</v>
      </c>
      <c r="F583">
        <v>3</v>
      </c>
      <c r="G583" s="2">
        <v>5400</v>
      </c>
      <c r="H583" s="4">
        <v>0.1</v>
      </c>
      <c r="I583" s="2">
        <v>4860</v>
      </c>
      <c r="J583" t="s">
        <v>255</v>
      </c>
      <c r="K583" t="s">
        <v>254</v>
      </c>
      <c r="L583">
        <v>5</v>
      </c>
      <c r="M583" t="str">
        <f>_xlfn.XLOOKUP(E583,tPacotes[ID_Pacote],tPacotes[Pacote])</f>
        <v>Rio Cidade Maravilhosa</v>
      </c>
      <c r="N583" t="str">
        <f>_xlfn.XLOOKUP(E583,tPacotes[ID_Pacote],tPacotes[Categoria])</f>
        <v>Cultural</v>
      </c>
      <c r="O583" t="str">
        <f>_xlfn.XLOOKUP(D583,tClientes[ID_Cliente],tClientes[UF])</f>
        <v>RS</v>
      </c>
    </row>
    <row r="584" spans="1:15" x14ac:dyDescent="0.3">
      <c r="A584">
        <v>583</v>
      </c>
      <c r="B584" s="3">
        <v>45940</v>
      </c>
      <c r="C584" s="3">
        <v>46088</v>
      </c>
      <c r="D584">
        <v>14</v>
      </c>
      <c r="E584">
        <v>13</v>
      </c>
      <c r="F584">
        <v>2</v>
      </c>
      <c r="G584" s="2">
        <v>14600</v>
      </c>
      <c r="H584" s="4">
        <v>0</v>
      </c>
      <c r="I584" s="2">
        <v>14600</v>
      </c>
      <c r="J584" t="s">
        <v>253</v>
      </c>
      <c r="K584" t="s">
        <v>254</v>
      </c>
      <c r="L584">
        <v>4</v>
      </c>
      <c r="M584" t="str">
        <f>_xlfn.XLOOKUP(E584,tPacotes[ID_Pacote],tPacotes[Pacote])</f>
        <v>Machu Picchu</v>
      </c>
      <c r="N584" t="str">
        <f>_xlfn.XLOOKUP(E584,tPacotes[ID_Pacote],tPacotes[Categoria])</f>
        <v>Aventura</v>
      </c>
      <c r="O584" t="str">
        <f>_xlfn.XLOOKUP(D584,tClientes[ID_Cliente],tClientes[UF])</f>
        <v>PE</v>
      </c>
    </row>
    <row r="585" spans="1:15" x14ac:dyDescent="0.3">
      <c r="A585">
        <v>584</v>
      </c>
      <c r="B585" s="3">
        <v>45940</v>
      </c>
      <c r="C585" s="3">
        <v>45959</v>
      </c>
      <c r="D585">
        <v>143</v>
      </c>
      <c r="E585">
        <v>5</v>
      </c>
      <c r="F585">
        <v>1</v>
      </c>
      <c r="G585" s="2">
        <v>3400</v>
      </c>
      <c r="H585" s="4">
        <v>0</v>
      </c>
      <c r="I585" s="2">
        <v>3400</v>
      </c>
      <c r="J585" t="s">
        <v>253</v>
      </c>
      <c r="K585" t="s">
        <v>254</v>
      </c>
      <c r="L585">
        <v>4</v>
      </c>
      <c r="M585" t="str">
        <f>_xlfn.XLOOKUP(E585,tPacotes[ID_Pacote],tPacotes[Pacote])</f>
        <v>Bonito Aventura</v>
      </c>
      <c r="N585" t="str">
        <f>_xlfn.XLOOKUP(E585,tPacotes[ID_Pacote],tPacotes[Categoria])</f>
        <v>Aventura</v>
      </c>
      <c r="O585" t="str">
        <f>_xlfn.XLOOKUP(D585,tClientes[ID_Cliente],tClientes[UF])</f>
        <v>DF</v>
      </c>
    </row>
    <row r="586" spans="1:15" x14ac:dyDescent="0.3">
      <c r="A586">
        <v>585</v>
      </c>
      <c r="B586" s="3">
        <v>45940</v>
      </c>
      <c r="C586" s="3">
        <v>46059</v>
      </c>
      <c r="D586">
        <v>59</v>
      </c>
      <c r="E586">
        <v>6</v>
      </c>
      <c r="F586">
        <v>2</v>
      </c>
      <c r="G586" s="2">
        <v>4200</v>
      </c>
      <c r="H586" s="4">
        <v>0</v>
      </c>
      <c r="I586" s="2">
        <v>4200</v>
      </c>
      <c r="J586" t="s">
        <v>253</v>
      </c>
      <c r="K586" t="s">
        <v>254</v>
      </c>
      <c r="L586">
        <v>3</v>
      </c>
      <c r="M586" t="str">
        <f>_xlfn.XLOOKUP(E586,tPacotes[ID_Pacote],tPacotes[Pacote])</f>
        <v>Foz do Iguaçu</v>
      </c>
      <c r="N586" t="str">
        <f>_xlfn.XLOOKUP(E586,tPacotes[ID_Pacote],tPacotes[Categoria])</f>
        <v>Natureza</v>
      </c>
      <c r="O586" t="str">
        <f>_xlfn.XLOOKUP(D586,tClientes[ID_Cliente],tClientes[UF])</f>
        <v>DF</v>
      </c>
    </row>
    <row r="587" spans="1:15" x14ac:dyDescent="0.3">
      <c r="A587">
        <v>586</v>
      </c>
      <c r="B587" s="3">
        <v>45942</v>
      </c>
      <c r="C587" s="3">
        <v>46104</v>
      </c>
      <c r="D587">
        <v>148</v>
      </c>
      <c r="E587">
        <v>3</v>
      </c>
      <c r="F587">
        <v>2</v>
      </c>
      <c r="G587" s="2">
        <v>5200</v>
      </c>
      <c r="H587" s="4">
        <v>0</v>
      </c>
      <c r="I587" s="2">
        <v>5200</v>
      </c>
      <c r="J587" t="s">
        <v>253</v>
      </c>
      <c r="K587" t="s">
        <v>254</v>
      </c>
      <c r="L587">
        <v>3</v>
      </c>
      <c r="M587" t="str">
        <f>_xlfn.XLOOKUP(E587,tPacotes[ID_Pacote],tPacotes[Pacote])</f>
        <v>Serra Gaúcha</v>
      </c>
      <c r="N587" t="str">
        <f>_xlfn.XLOOKUP(E587,tPacotes[ID_Pacote],tPacotes[Categoria])</f>
        <v>Inverno</v>
      </c>
      <c r="O587" t="str">
        <f>_xlfn.XLOOKUP(D587,tClientes[ID_Cliente],tClientes[UF])</f>
        <v>SP</v>
      </c>
    </row>
    <row r="588" spans="1:15" x14ac:dyDescent="0.3">
      <c r="A588">
        <v>587</v>
      </c>
      <c r="B588" s="3">
        <v>45943</v>
      </c>
      <c r="C588" s="3">
        <v>46063</v>
      </c>
      <c r="D588">
        <v>143</v>
      </c>
      <c r="E588">
        <v>2</v>
      </c>
      <c r="F588">
        <v>2</v>
      </c>
      <c r="G588" s="2">
        <v>3600</v>
      </c>
      <c r="H588" s="4">
        <v>0</v>
      </c>
      <c r="I588" s="2">
        <v>3600</v>
      </c>
      <c r="J588" t="s">
        <v>253</v>
      </c>
      <c r="K588" t="s">
        <v>254</v>
      </c>
      <c r="L588">
        <v>5</v>
      </c>
      <c r="M588" t="str">
        <f>_xlfn.XLOOKUP(E588,tPacotes[ID_Pacote],tPacotes[Pacote])</f>
        <v>Rio Cidade Maravilhosa</v>
      </c>
      <c r="N588" t="str">
        <f>_xlfn.XLOOKUP(E588,tPacotes[ID_Pacote],tPacotes[Categoria])</f>
        <v>Cultural</v>
      </c>
      <c r="O588" t="str">
        <f>_xlfn.XLOOKUP(D588,tClientes[ID_Cliente],tClientes[UF])</f>
        <v>DF</v>
      </c>
    </row>
    <row r="589" spans="1:15" x14ac:dyDescent="0.3">
      <c r="A589">
        <v>588</v>
      </c>
      <c r="B589" s="3">
        <v>45943</v>
      </c>
      <c r="C589" s="3">
        <v>45954</v>
      </c>
      <c r="D589">
        <v>60</v>
      </c>
      <c r="E589">
        <v>5</v>
      </c>
      <c r="F589">
        <v>1</v>
      </c>
      <c r="G589" s="2">
        <v>3400</v>
      </c>
      <c r="H589" s="4">
        <v>0.15</v>
      </c>
      <c r="I589" s="2">
        <v>2890</v>
      </c>
      <c r="J589" t="s">
        <v>255</v>
      </c>
      <c r="K589" t="s">
        <v>258</v>
      </c>
      <c r="M589" t="str">
        <f>_xlfn.XLOOKUP(E589,tPacotes[ID_Pacote],tPacotes[Pacote])</f>
        <v>Bonito Aventura</v>
      </c>
      <c r="N589" t="str">
        <f>_xlfn.XLOOKUP(E589,tPacotes[ID_Pacote],tPacotes[Categoria])</f>
        <v>Aventura</v>
      </c>
      <c r="O589" t="str">
        <f>_xlfn.XLOOKUP(D589,tClientes[ID_Cliente],tClientes[UF])</f>
        <v>PR</v>
      </c>
    </row>
    <row r="590" spans="1:15" x14ac:dyDescent="0.3">
      <c r="A590">
        <v>589</v>
      </c>
      <c r="B590" s="3">
        <v>45945</v>
      </c>
      <c r="C590" s="3">
        <v>46032</v>
      </c>
      <c r="D590">
        <v>6</v>
      </c>
      <c r="E590">
        <v>7</v>
      </c>
      <c r="F590">
        <v>2</v>
      </c>
      <c r="G590" s="2">
        <v>8400</v>
      </c>
      <c r="H590" s="4">
        <v>0</v>
      </c>
      <c r="I590" s="2">
        <v>8400</v>
      </c>
      <c r="J590" t="s">
        <v>256</v>
      </c>
      <c r="K590" t="s">
        <v>254</v>
      </c>
      <c r="L590">
        <v>4</v>
      </c>
      <c r="M590" t="str">
        <f>_xlfn.XLOOKUP(E590,tPacotes[ID_Pacote],tPacotes[Pacote])</f>
        <v>Buenos Aires Clássica</v>
      </c>
      <c r="N590" t="str">
        <f>_xlfn.XLOOKUP(E590,tPacotes[ID_Pacote],tPacotes[Categoria])</f>
        <v>Cultural</v>
      </c>
      <c r="O590" t="str">
        <f>_xlfn.XLOOKUP(D590,tClientes[ID_Cliente],tClientes[UF])</f>
        <v>SP</v>
      </c>
    </row>
    <row r="591" spans="1:15" x14ac:dyDescent="0.3">
      <c r="A591">
        <v>590</v>
      </c>
      <c r="B591" s="3">
        <v>45946</v>
      </c>
      <c r="C591" s="3">
        <v>46121</v>
      </c>
      <c r="D591">
        <v>172</v>
      </c>
      <c r="E591">
        <v>5</v>
      </c>
      <c r="F591">
        <v>2</v>
      </c>
      <c r="G591" s="2">
        <v>6800</v>
      </c>
      <c r="H591" s="4">
        <v>0.05</v>
      </c>
      <c r="I591" s="2">
        <v>6460</v>
      </c>
      <c r="J591" t="s">
        <v>255</v>
      </c>
      <c r="K591" t="s">
        <v>254</v>
      </c>
      <c r="L591">
        <v>4</v>
      </c>
      <c r="M591" t="str">
        <f>_xlfn.XLOOKUP(E591,tPacotes[ID_Pacote],tPacotes[Pacote])</f>
        <v>Bonito Aventura</v>
      </c>
      <c r="N591" t="str">
        <f>_xlfn.XLOOKUP(E591,tPacotes[ID_Pacote],tPacotes[Categoria])</f>
        <v>Aventura</v>
      </c>
      <c r="O591" t="str">
        <f>_xlfn.XLOOKUP(D591,tClientes[ID_Cliente],tClientes[UF])</f>
        <v>DF</v>
      </c>
    </row>
    <row r="592" spans="1:15" x14ac:dyDescent="0.3">
      <c r="A592">
        <v>591</v>
      </c>
      <c r="B592" s="3">
        <v>45946</v>
      </c>
      <c r="C592" s="3">
        <v>45953</v>
      </c>
      <c r="D592">
        <v>43</v>
      </c>
      <c r="E592">
        <v>2</v>
      </c>
      <c r="F592">
        <v>1</v>
      </c>
      <c r="G592" s="2">
        <v>1800</v>
      </c>
      <c r="H592" s="4">
        <v>0</v>
      </c>
      <c r="I592" s="2">
        <v>1800</v>
      </c>
      <c r="J592" t="s">
        <v>256</v>
      </c>
      <c r="K592" t="s">
        <v>254</v>
      </c>
      <c r="L592">
        <v>5</v>
      </c>
      <c r="M592" t="str">
        <f>_xlfn.XLOOKUP(E592,tPacotes[ID_Pacote],tPacotes[Pacote])</f>
        <v>Rio Cidade Maravilhosa</v>
      </c>
      <c r="N592" t="str">
        <f>_xlfn.XLOOKUP(E592,tPacotes[ID_Pacote],tPacotes[Categoria])</f>
        <v>Cultural</v>
      </c>
      <c r="O592" t="str">
        <f>_xlfn.XLOOKUP(D592,tClientes[ID_Cliente],tClientes[UF])</f>
        <v>PR</v>
      </c>
    </row>
    <row r="593" spans="1:15" x14ac:dyDescent="0.3">
      <c r="A593">
        <v>592</v>
      </c>
      <c r="B593" s="3">
        <v>45946</v>
      </c>
      <c r="C593" s="3">
        <v>45966</v>
      </c>
      <c r="D593">
        <v>153</v>
      </c>
      <c r="E593">
        <v>13</v>
      </c>
      <c r="F593">
        <v>2</v>
      </c>
      <c r="G593" s="2">
        <v>14600</v>
      </c>
      <c r="H593" s="4">
        <v>0.05</v>
      </c>
      <c r="I593" s="2">
        <v>13870</v>
      </c>
      <c r="J593" t="s">
        <v>256</v>
      </c>
      <c r="K593" t="s">
        <v>254</v>
      </c>
      <c r="L593">
        <v>5</v>
      </c>
      <c r="M593" t="str">
        <f>_xlfn.XLOOKUP(E593,tPacotes[ID_Pacote],tPacotes[Pacote])</f>
        <v>Machu Picchu</v>
      </c>
      <c r="N593" t="str">
        <f>_xlfn.XLOOKUP(E593,tPacotes[ID_Pacote],tPacotes[Categoria])</f>
        <v>Aventura</v>
      </c>
      <c r="O593" t="str">
        <f>_xlfn.XLOOKUP(D593,tClientes[ID_Cliente],tClientes[UF])</f>
        <v>SP</v>
      </c>
    </row>
    <row r="594" spans="1:15" x14ac:dyDescent="0.3">
      <c r="A594">
        <v>593</v>
      </c>
      <c r="B594" s="3">
        <v>45946</v>
      </c>
      <c r="C594" s="3">
        <v>45966</v>
      </c>
      <c r="D594">
        <v>195</v>
      </c>
      <c r="E594">
        <v>2</v>
      </c>
      <c r="F594">
        <v>2</v>
      </c>
      <c r="G594" s="2">
        <v>3600</v>
      </c>
      <c r="H594" s="4">
        <v>0.05</v>
      </c>
      <c r="I594" s="2">
        <v>3420</v>
      </c>
      <c r="J594" t="s">
        <v>253</v>
      </c>
      <c r="K594" t="s">
        <v>254</v>
      </c>
      <c r="L594">
        <v>4</v>
      </c>
      <c r="M594" t="str">
        <f>_xlfn.XLOOKUP(E594,tPacotes[ID_Pacote],tPacotes[Pacote])</f>
        <v>Rio Cidade Maravilhosa</v>
      </c>
      <c r="N594" t="str">
        <f>_xlfn.XLOOKUP(E594,tPacotes[ID_Pacote],tPacotes[Categoria])</f>
        <v>Cultural</v>
      </c>
      <c r="O594" t="str">
        <f>_xlfn.XLOOKUP(D594,tClientes[ID_Cliente],tClientes[UF])</f>
        <v>RJ</v>
      </c>
    </row>
    <row r="595" spans="1:15" x14ac:dyDescent="0.3">
      <c r="A595">
        <v>594</v>
      </c>
      <c r="B595" s="3">
        <v>45946</v>
      </c>
      <c r="C595" s="3">
        <v>46114</v>
      </c>
      <c r="D595">
        <v>119</v>
      </c>
      <c r="E595">
        <v>3</v>
      </c>
      <c r="F595">
        <v>1</v>
      </c>
      <c r="G595" s="2">
        <v>2600</v>
      </c>
      <c r="H595" s="4">
        <v>0</v>
      </c>
      <c r="I595" s="2">
        <v>2600</v>
      </c>
      <c r="J595" t="s">
        <v>253</v>
      </c>
      <c r="K595" t="s">
        <v>254</v>
      </c>
      <c r="L595">
        <v>5</v>
      </c>
      <c r="M595" t="str">
        <f>_xlfn.XLOOKUP(E595,tPacotes[ID_Pacote],tPacotes[Pacote])</f>
        <v>Serra Gaúcha</v>
      </c>
      <c r="N595" t="str">
        <f>_xlfn.XLOOKUP(E595,tPacotes[ID_Pacote],tPacotes[Categoria])</f>
        <v>Inverno</v>
      </c>
      <c r="O595" t="str">
        <f>_xlfn.XLOOKUP(D595,tClientes[ID_Cliente],tClientes[UF])</f>
        <v>SP</v>
      </c>
    </row>
    <row r="596" spans="1:15" x14ac:dyDescent="0.3">
      <c r="A596">
        <v>595</v>
      </c>
      <c r="B596" s="3">
        <v>45948</v>
      </c>
      <c r="C596" s="3">
        <v>45956</v>
      </c>
      <c r="D596">
        <v>177</v>
      </c>
      <c r="E596">
        <v>7</v>
      </c>
      <c r="F596">
        <v>1</v>
      </c>
      <c r="G596" s="2">
        <v>4200</v>
      </c>
      <c r="H596" s="4">
        <v>0</v>
      </c>
      <c r="I596" s="2">
        <v>4200</v>
      </c>
      <c r="J596" t="s">
        <v>257</v>
      </c>
      <c r="K596" t="s">
        <v>254</v>
      </c>
      <c r="L596">
        <v>4</v>
      </c>
      <c r="M596" t="str">
        <f>_xlfn.XLOOKUP(E596,tPacotes[ID_Pacote],tPacotes[Pacote])</f>
        <v>Buenos Aires Clássica</v>
      </c>
      <c r="N596" t="str">
        <f>_xlfn.XLOOKUP(E596,tPacotes[ID_Pacote],tPacotes[Categoria])</f>
        <v>Cultural</v>
      </c>
      <c r="O596" t="str">
        <f>_xlfn.XLOOKUP(D596,tClientes[ID_Cliente],tClientes[UF])</f>
        <v>RJ</v>
      </c>
    </row>
    <row r="597" spans="1:15" x14ac:dyDescent="0.3">
      <c r="A597">
        <v>596</v>
      </c>
      <c r="B597" s="3">
        <v>45948</v>
      </c>
      <c r="C597" s="3">
        <v>45999</v>
      </c>
      <c r="D597">
        <v>66</v>
      </c>
      <c r="E597">
        <v>11</v>
      </c>
      <c r="F597">
        <v>2</v>
      </c>
      <c r="G597" s="2">
        <v>31600</v>
      </c>
      <c r="H597" s="4">
        <v>0.05</v>
      </c>
      <c r="I597" s="2">
        <v>30020</v>
      </c>
      <c r="J597" t="s">
        <v>253</v>
      </c>
      <c r="K597" t="s">
        <v>254</v>
      </c>
      <c r="L597">
        <v>3</v>
      </c>
      <c r="M597" t="str">
        <f>_xlfn.XLOOKUP(E597,tPacotes[ID_Pacote],tPacotes[Pacote])</f>
        <v>Paris e Londres</v>
      </c>
      <c r="N597" t="str">
        <f>_xlfn.XLOOKUP(E597,tPacotes[ID_Pacote],tPacotes[Categoria])</f>
        <v>Cultural</v>
      </c>
      <c r="O597" t="str">
        <f>_xlfn.XLOOKUP(D597,tClientes[ID_Cliente],tClientes[UF])</f>
        <v>BA</v>
      </c>
    </row>
    <row r="598" spans="1:15" x14ac:dyDescent="0.3">
      <c r="A598">
        <v>597</v>
      </c>
      <c r="B598" s="3">
        <v>45949</v>
      </c>
      <c r="C598" s="3">
        <v>45962</v>
      </c>
      <c r="D598">
        <v>64</v>
      </c>
      <c r="E598">
        <v>10</v>
      </c>
      <c r="F598">
        <v>3</v>
      </c>
      <c r="G598" s="2">
        <v>34500</v>
      </c>
      <c r="H598" s="4">
        <v>0</v>
      </c>
      <c r="I598" s="2">
        <v>34500</v>
      </c>
      <c r="J598" t="s">
        <v>253</v>
      </c>
      <c r="K598" t="s">
        <v>258</v>
      </c>
      <c r="M598" t="str">
        <f>_xlfn.XLOOKUP(E598,tPacotes[ID_Pacote],tPacotes[Pacote])</f>
        <v>Orlando Parques</v>
      </c>
      <c r="N598" t="str">
        <f>_xlfn.XLOOKUP(E598,tPacotes[ID_Pacote],tPacotes[Categoria])</f>
        <v>Parques</v>
      </c>
      <c r="O598" t="str">
        <f>_xlfn.XLOOKUP(D598,tClientes[ID_Cliente],tClientes[UF])</f>
        <v>PE</v>
      </c>
    </row>
    <row r="599" spans="1:15" x14ac:dyDescent="0.3">
      <c r="A599">
        <v>598</v>
      </c>
      <c r="B599" s="3">
        <v>45950</v>
      </c>
      <c r="C599" s="3">
        <v>46082</v>
      </c>
      <c r="D599">
        <v>85</v>
      </c>
      <c r="E599">
        <v>9</v>
      </c>
      <c r="F599">
        <v>1</v>
      </c>
      <c r="G599" s="2">
        <v>8900</v>
      </c>
      <c r="H599" s="4">
        <v>0</v>
      </c>
      <c r="I599" s="2">
        <v>8900</v>
      </c>
      <c r="J599" t="s">
        <v>256</v>
      </c>
      <c r="K599" t="s">
        <v>254</v>
      </c>
      <c r="L599">
        <v>4</v>
      </c>
      <c r="M599" t="str">
        <f>_xlfn.XLOOKUP(E599,tPacotes[ID_Pacote],tPacotes[Pacote])</f>
        <v>Cancún All Inclusive</v>
      </c>
      <c r="N599" t="str">
        <f>_xlfn.XLOOKUP(E599,tPacotes[ID_Pacote],tPacotes[Categoria])</f>
        <v>Praia</v>
      </c>
      <c r="O599" t="str">
        <f>_xlfn.XLOOKUP(D599,tClientes[ID_Cliente],tClientes[UF])</f>
        <v>DF</v>
      </c>
    </row>
    <row r="600" spans="1:15" x14ac:dyDescent="0.3">
      <c r="A600">
        <v>599</v>
      </c>
      <c r="B600" s="3">
        <v>45951</v>
      </c>
      <c r="C600" s="3">
        <v>45955</v>
      </c>
      <c r="D600">
        <v>150</v>
      </c>
      <c r="E600">
        <v>14</v>
      </c>
      <c r="F600">
        <v>1</v>
      </c>
      <c r="G600" s="2">
        <v>2900</v>
      </c>
      <c r="H600" s="4">
        <v>0.1</v>
      </c>
      <c r="I600" s="2">
        <v>2610</v>
      </c>
      <c r="J600" t="s">
        <v>256</v>
      </c>
      <c r="K600" t="s">
        <v>254</v>
      </c>
      <c r="L600">
        <v>5</v>
      </c>
      <c r="M600" t="str">
        <f>_xlfn.XLOOKUP(E600,tPacotes[ID_Pacote],tPacotes[Pacote])</f>
        <v>Lençóis Maranhenses</v>
      </c>
      <c r="N600" t="str">
        <f>_xlfn.XLOOKUP(E600,tPacotes[ID_Pacote],tPacotes[Categoria])</f>
        <v>Natureza</v>
      </c>
      <c r="O600" t="str">
        <f>_xlfn.XLOOKUP(D600,tClientes[ID_Cliente],tClientes[UF])</f>
        <v>SP</v>
      </c>
    </row>
    <row r="601" spans="1:15" x14ac:dyDescent="0.3">
      <c r="A601">
        <v>600</v>
      </c>
      <c r="B601" s="3">
        <v>45951</v>
      </c>
      <c r="C601" s="3">
        <v>45999</v>
      </c>
      <c r="D601">
        <v>159</v>
      </c>
      <c r="E601">
        <v>8</v>
      </c>
      <c r="F601">
        <v>2</v>
      </c>
      <c r="G601" s="2">
        <v>11800</v>
      </c>
      <c r="H601" s="4">
        <v>0</v>
      </c>
      <c r="I601" s="2">
        <v>11800</v>
      </c>
      <c r="J601" t="s">
        <v>257</v>
      </c>
      <c r="K601" t="s">
        <v>254</v>
      </c>
      <c r="L601">
        <v>4</v>
      </c>
      <c r="M601" t="str">
        <f>_xlfn.XLOOKUP(E601,tPacotes[ID_Pacote],tPacotes[Pacote])</f>
        <v>Santiago e Neve</v>
      </c>
      <c r="N601" t="str">
        <f>_xlfn.XLOOKUP(E601,tPacotes[ID_Pacote],tPacotes[Categoria])</f>
        <v>Inverno</v>
      </c>
      <c r="O601" t="str">
        <f>_xlfn.XLOOKUP(D601,tClientes[ID_Cliente],tClientes[UF])</f>
        <v>SP</v>
      </c>
    </row>
    <row r="602" spans="1:15" x14ac:dyDescent="0.3">
      <c r="A602">
        <v>601</v>
      </c>
      <c r="B602" s="3">
        <v>45951</v>
      </c>
      <c r="C602" s="3">
        <v>45978</v>
      </c>
      <c r="D602">
        <v>80</v>
      </c>
      <c r="E602">
        <v>9</v>
      </c>
      <c r="F602">
        <v>3</v>
      </c>
      <c r="G602" s="2">
        <v>26700</v>
      </c>
      <c r="H602" s="4">
        <v>0</v>
      </c>
      <c r="I602" s="2">
        <v>26700</v>
      </c>
      <c r="J602" t="s">
        <v>253</v>
      </c>
      <c r="K602" t="s">
        <v>254</v>
      </c>
      <c r="L602">
        <v>5</v>
      </c>
      <c r="M602" t="str">
        <f>_xlfn.XLOOKUP(E602,tPacotes[ID_Pacote],tPacotes[Pacote])</f>
        <v>Cancún All Inclusive</v>
      </c>
      <c r="N602" t="str">
        <f>_xlfn.XLOOKUP(E602,tPacotes[ID_Pacote],tPacotes[Categoria])</f>
        <v>Praia</v>
      </c>
      <c r="O602" t="str">
        <f>_xlfn.XLOOKUP(D602,tClientes[ID_Cliente],tClientes[UF])</f>
        <v>SP</v>
      </c>
    </row>
    <row r="603" spans="1:15" x14ac:dyDescent="0.3">
      <c r="A603">
        <v>602</v>
      </c>
      <c r="B603" s="3">
        <v>45952</v>
      </c>
      <c r="C603" s="3">
        <v>45971</v>
      </c>
      <c r="D603">
        <v>1</v>
      </c>
      <c r="E603">
        <v>2</v>
      </c>
      <c r="F603">
        <v>1</v>
      </c>
      <c r="G603" s="2">
        <v>1800</v>
      </c>
      <c r="H603" s="4">
        <v>0</v>
      </c>
      <c r="I603" s="2">
        <v>1800</v>
      </c>
      <c r="J603" t="s">
        <v>257</v>
      </c>
      <c r="K603" t="s">
        <v>254</v>
      </c>
      <c r="L603">
        <v>3</v>
      </c>
      <c r="M603" t="str">
        <f>_xlfn.XLOOKUP(E603,tPacotes[ID_Pacote],tPacotes[Pacote])</f>
        <v>Rio Cidade Maravilhosa</v>
      </c>
      <c r="N603" t="str">
        <f>_xlfn.XLOOKUP(E603,tPacotes[ID_Pacote],tPacotes[Categoria])</f>
        <v>Cultural</v>
      </c>
      <c r="O603" t="str">
        <f>_xlfn.XLOOKUP(D603,tClientes[ID_Cliente],tClientes[UF])</f>
        <v>DF</v>
      </c>
    </row>
    <row r="604" spans="1:15" x14ac:dyDescent="0.3">
      <c r="A604">
        <v>603</v>
      </c>
      <c r="B604" s="3">
        <v>45952</v>
      </c>
      <c r="C604" s="3">
        <v>45978</v>
      </c>
      <c r="D604">
        <v>138</v>
      </c>
      <c r="E604">
        <v>6</v>
      </c>
      <c r="F604">
        <v>2</v>
      </c>
      <c r="G604" s="2">
        <v>4200</v>
      </c>
      <c r="H604" s="4">
        <v>0</v>
      </c>
      <c r="I604" s="2">
        <v>4200</v>
      </c>
      <c r="J604" t="s">
        <v>253</v>
      </c>
      <c r="K604" t="s">
        <v>254</v>
      </c>
      <c r="L604">
        <v>5</v>
      </c>
      <c r="M604" t="str">
        <f>_xlfn.XLOOKUP(E604,tPacotes[ID_Pacote],tPacotes[Pacote])</f>
        <v>Foz do Iguaçu</v>
      </c>
      <c r="N604" t="str">
        <f>_xlfn.XLOOKUP(E604,tPacotes[ID_Pacote],tPacotes[Categoria])</f>
        <v>Natureza</v>
      </c>
      <c r="O604" t="str">
        <f>_xlfn.XLOOKUP(D604,tClientes[ID_Cliente],tClientes[UF])</f>
        <v>SP</v>
      </c>
    </row>
    <row r="605" spans="1:15" x14ac:dyDescent="0.3">
      <c r="A605">
        <v>604</v>
      </c>
      <c r="B605" s="3">
        <v>45953</v>
      </c>
      <c r="C605" s="3">
        <v>46007</v>
      </c>
      <c r="D605">
        <v>106</v>
      </c>
      <c r="E605">
        <v>14</v>
      </c>
      <c r="F605">
        <v>2</v>
      </c>
      <c r="G605" s="2">
        <v>5800</v>
      </c>
      <c r="H605" s="4">
        <v>0</v>
      </c>
      <c r="I605" s="2">
        <v>5800</v>
      </c>
      <c r="J605" t="s">
        <v>253</v>
      </c>
      <c r="K605" t="s">
        <v>254</v>
      </c>
      <c r="L605">
        <v>4</v>
      </c>
      <c r="M605" t="str">
        <f>_xlfn.XLOOKUP(E605,tPacotes[ID_Pacote],tPacotes[Pacote])</f>
        <v>Lençóis Maranhenses</v>
      </c>
      <c r="N605" t="str">
        <f>_xlfn.XLOOKUP(E605,tPacotes[ID_Pacote],tPacotes[Categoria])</f>
        <v>Natureza</v>
      </c>
      <c r="O605" t="str">
        <f>_xlfn.XLOOKUP(D605,tClientes[ID_Cliente],tClientes[UF])</f>
        <v>PE</v>
      </c>
    </row>
    <row r="606" spans="1:15" x14ac:dyDescent="0.3">
      <c r="A606">
        <v>605</v>
      </c>
      <c r="B606" s="3">
        <v>45955</v>
      </c>
      <c r="C606" s="3">
        <v>45971</v>
      </c>
      <c r="D606">
        <v>111</v>
      </c>
      <c r="E606">
        <v>8</v>
      </c>
      <c r="F606">
        <v>1</v>
      </c>
      <c r="G606" s="2">
        <v>5900</v>
      </c>
      <c r="H606" s="4">
        <v>0</v>
      </c>
      <c r="I606" s="2">
        <v>5900</v>
      </c>
      <c r="J606" t="s">
        <v>256</v>
      </c>
      <c r="K606" t="s">
        <v>254</v>
      </c>
      <c r="L606">
        <v>4</v>
      </c>
      <c r="M606" t="str">
        <f>_xlfn.XLOOKUP(E606,tPacotes[ID_Pacote],tPacotes[Pacote])</f>
        <v>Santiago e Neve</v>
      </c>
      <c r="N606" t="str">
        <f>_xlfn.XLOOKUP(E606,tPacotes[ID_Pacote],tPacotes[Categoria])</f>
        <v>Inverno</v>
      </c>
      <c r="O606" t="str">
        <f>_xlfn.XLOOKUP(D606,tClientes[ID_Cliente],tClientes[UF])</f>
        <v>RJ</v>
      </c>
    </row>
    <row r="607" spans="1:15" x14ac:dyDescent="0.3">
      <c r="A607">
        <v>606</v>
      </c>
      <c r="B607" s="3">
        <v>45955</v>
      </c>
      <c r="C607" s="3">
        <v>46014</v>
      </c>
      <c r="D607">
        <v>51</v>
      </c>
      <c r="E607">
        <v>3</v>
      </c>
      <c r="F607">
        <v>1</v>
      </c>
      <c r="G607" s="2">
        <v>2600</v>
      </c>
      <c r="H607" s="4">
        <v>0</v>
      </c>
      <c r="I607" s="2">
        <v>2600</v>
      </c>
      <c r="J607" t="s">
        <v>253</v>
      </c>
      <c r="K607" t="s">
        <v>254</v>
      </c>
      <c r="L607">
        <v>5</v>
      </c>
      <c r="M607" t="str">
        <f>_xlfn.XLOOKUP(E607,tPacotes[ID_Pacote],tPacotes[Pacote])</f>
        <v>Serra Gaúcha</v>
      </c>
      <c r="N607" t="str">
        <f>_xlfn.XLOOKUP(E607,tPacotes[ID_Pacote],tPacotes[Categoria])</f>
        <v>Inverno</v>
      </c>
      <c r="O607" t="str">
        <f>_xlfn.XLOOKUP(D607,tClientes[ID_Cliente],tClientes[UF])</f>
        <v>RJ</v>
      </c>
    </row>
    <row r="608" spans="1:15" x14ac:dyDescent="0.3">
      <c r="A608">
        <v>607</v>
      </c>
      <c r="B608" s="3">
        <v>45956</v>
      </c>
      <c r="C608" s="3">
        <v>46100</v>
      </c>
      <c r="D608">
        <v>89</v>
      </c>
      <c r="E608">
        <v>12</v>
      </c>
      <c r="F608">
        <v>1</v>
      </c>
      <c r="G608" s="2">
        <v>12400</v>
      </c>
      <c r="H608" s="4">
        <v>0</v>
      </c>
      <c r="I608" s="2">
        <v>12400</v>
      </c>
      <c r="J608" t="s">
        <v>253</v>
      </c>
      <c r="K608" t="s">
        <v>254</v>
      </c>
      <c r="L608">
        <v>4</v>
      </c>
      <c r="M608" t="str">
        <f>_xlfn.XLOOKUP(E608,tPacotes[ID_Pacote],tPacotes[Pacote])</f>
        <v>Lisboa e Porto</v>
      </c>
      <c r="N608" t="str">
        <f>_xlfn.XLOOKUP(E608,tPacotes[ID_Pacote],tPacotes[Categoria])</f>
        <v>Cultural</v>
      </c>
      <c r="O608" t="str">
        <f>_xlfn.XLOOKUP(D608,tClientes[ID_Cliente],tClientes[UF])</f>
        <v>MG</v>
      </c>
    </row>
    <row r="609" spans="1:15" x14ac:dyDescent="0.3">
      <c r="A609">
        <v>608</v>
      </c>
      <c r="B609" s="3">
        <v>45956</v>
      </c>
      <c r="C609" s="3">
        <v>46108</v>
      </c>
      <c r="D609">
        <v>150</v>
      </c>
      <c r="E609">
        <v>2</v>
      </c>
      <c r="F609">
        <v>1</v>
      </c>
      <c r="G609" s="2">
        <v>1800</v>
      </c>
      <c r="H609" s="4">
        <v>0</v>
      </c>
      <c r="I609" s="2">
        <v>1800</v>
      </c>
      <c r="J609" t="s">
        <v>253</v>
      </c>
      <c r="K609" t="s">
        <v>254</v>
      </c>
      <c r="L609">
        <v>3</v>
      </c>
      <c r="M609" t="str">
        <f>_xlfn.XLOOKUP(E609,tPacotes[ID_Pacote],tPacotes[Pacote])</f>
        <v>Rio Cidade Maravilhosa</v>
      </c>
      <c r="N609" t="str">
        <f>_xlfn.XLOOKUP(E609,tPacotes[ID_Pacote],tPacotes[Categoria])</f>
        <v>Cultural</v>
      </c>
      <c r="O609" t="str">
        <f>_xlfn.XLOOKUP(D609,tClientes[ID_Cliente],tClientes[UF])</f>
        <v>SP</v>
      </c>
    </row>
    <row r="610" spans="1:15" x14ac:dyDescent="0.3">
      <c r="A610">
        <v>609</v>
      </c>
      <c r="B610" s="3">
        <v>45956</v>
      </c>
      <c r="C610" s="3">
        <v>46032</v>
      </c>
      <c r="D610">
        <v>156</v>
      </c>
      <c r="E610">
        <v>14</v>
      </c>
      <c r="F610">
        <v>2</v>
      </c>
      <c r="G610" s="2">
        <v>5800</v>
      </c>
      <c r="H610" s="4">
        <v>0.1</v>
      </c>
      <c r="I610" s="2">
        <v>5220</v>
      </c>
      <c r="J610" t="s">
        <v>253</v>
      </c>
      <c r="K610" t="s">
        <v>254</v>
      </c>
      <c r="L610">
        <v>4</v>
      </c>
      <c r="M610" t="str">
        <f>_xlfn.XLOOKUP(E610,tPacotes[ID_Pacote],tPacotes[Pacote])</f>
        <v>Lençóis Maranhenses</v>
      </c>
      <c r="N610" t="str">
        <f>_xlfn.XLOOKUP(E610,tPacotes[ID_Pacote],tPacotes[Categoria])</f>
        <v>Natureza</v>
      </c>
      <c r="O610" t="str">
        <f>_xlfn.XLOOKUP(D610,tClientes[ID_Cliente],tClientes[UF])</f>
        <v>SP</v>
      </c>
    </row>
    <row r="611" spans="1:15" x14ac:dyDescent="0.3">
      <c r="A611">
        <v>610</v>
      </c>
      <c r="B611" s="3">
        <v>45958</v>
      </c>
      <c r="C611" s="3">
        <v>46124</v>
      </c>
      <c r="D611">
        <v>13</v>
      </c>
      <c r="E611">
        <v>2</v>
      </c>
      <c r="F611">
        <v>1</v>
      </c>
      <c r="G611" s="2">
        <v>1800</v>
      </c>
      <c r="H611" s="4">
        <v>0</v>
      </c>
      <c r="I611" s="2">
        <v>1800</v>
      </c>
      <c r="J611" t="s">
        <v>253</v>
      </c>
      <c r="K611" t="s">
        <v>254</v>
      </c>
      <c r="L611">
        <v>5</v>
      </c>
      <c r="M611" t="str">
        <f>_xlfn.XLOOKUP(E611,tPacotes[ID_Pacote],tPacotes[Pacote])</f>
        <v>Rio Cidade Maravilhosa</v>
      </c>
      <c r="N611" t="str">
        <f>_xlfn.XLOOKUP(E611,tPacotes[ID_Pacote],tPacotes[Categoria])</f>
        <v>Cultural</v>
      </c>
      <c r="O611" t="str">
        <f>_xlfn.XLOOKUP(D611,tClientes[ID_Cliente],tClientes[UF])</f>
        <v>RS</v>
      </c>
    </row>
    <row r="612" spans="1:15" x14ac:dyDescent="0.3">
      <c r="A612">
        <v>611</v>
      </c>
      <c r="B612" s="3">
        <v>45958</v>
      </c>
      <c r="C612" s="3">
        <v>46079</v>
      </c>
      <c r="D612">
        <v>182</v>
      </c>
      <c r="E612">
        <v>1</v>
      </c>
      <c r="F612">
        <v>3</v>
      </c>
      <c r="G612" s="2">
        <v>9600</v>
      </c>
      <c r="H612" s="4">
        <v>0</v>
      </c>
      <c r="I612" s="2">
        <v>9600</v>
      </c>
      <c r="J612" t="s">
        <v>255</v>
      </c>
      <c r="K612" t="s">
        <v>254</v>
      </c>
      <c r="L612">
        <v>4</v>
      </c>
      <c r="M612" t="str">
        <f>_xlfn.XLOOKUP(E612,tPacotes[ID_Pacote],tPacotes[Pacote])</f>
        <v>Nordeste Encantado</v>
      </c>
      <c r="N612" t="str">
        <f>_xlfn.XLOOKUP(E612,tPacotes[ID_Pacote],tPacotes[Categoria])</f>
        <v>Praia</v>
      </c>
      <c r="O612" t="str">
        <f>_xlfn.XLOOKUP(D612,tClientes[ID_Cliente],tClientes[UF])</f>
        <v>MG</v>
      </c>
    </row>
    <row r="613" spans="1:15" x14ac:dyDescent="0.3">
      <c r="A613">
        <v>612</v>
      </c>
      <c r="B613" s="3">
        <v>45958</v>
      </c>
      <c r="C613" s="3">
        <v>46019</v>
      </c>
      <c r="D613">
        <v>64</v>
      </c>
      <c r="E613">
        <v>14</v>
      </c>
      <c r="F613">
        <v>1</v>
      </c>
      <c r="G613" s="2">
        <v>2900</v>
      </c>
      <c r="H613" s="4">
        <v>0</v>
      </c>
      <c r="I613" s="2">
        <v>2900</v>
      </c>
      <c r="J613" t="s">
        <v>253</v>
      </c>
      <c r="K613" t="s">
        <v>254</v>
      </c>
      <c r="L613">
        <v>5</v>
      </c>
      <c r="M613" t="str">
        <f>_xlfn.XLOOKUP(E613,tPacotes[ID_Pacote],tPacotes[Pacote])</f>
        <v>Lençóis Maranhenses</v>
      </c>
      <c r="N613" t="str">
        <f>_xlfn.XLOOKUP(E613,tPacotes[ID_Pacote],tPacotes[Categoria])</f>
        <v>Natureza</v>
      </c>
      <c r="O613" t="str">
        <f>_xlfn.XLOOKUP(D613,tClientes[ID_Cliente],tClientes[UF])</f>
        <v>PE</v>
      </c>
    </row>
    <row r="614" spans="1:15" x14ac:dyDescent="0.3">
      <c r="A614">
        <v>613</v>
      </c>
      <c r="B614" s="3">
        <v>45959</v>
      </c>
      <c r="C614" s="3">
        <v>46088</v>
      </c>
      <c r="D614">
        <v>63</v>
      </c>
      <c r="E614">
        <v>6</v>
      </c>
      <c r="F614">
        <v>2</v>
      </c>
      <c r="G614" s="2">
        <v>4200</v>
      </c>
      <c r="H614" s="4">
        <v>0.1</v>
      </c>
      <c r="I614" s="2">
        <v>3780</v>
      </c>
      <c r="J614" t="s">
        <v>253</v>
      </c>
      <c r="K614" t="s">
        <v>254</v>
      </c>
      <c r="L614">
        <v>5</v>
      </c>
      <c r="M614" t="str">
        <f>_xlfn.XLOOKUP(E614,tPacotes[ID_Pacote],tPacotes[Pacote])</f>
        <v>Foz do Iguaçu</v>
      </c>
      <c r="N614" t="str">
        <f>_xlfn.XLOOKUP(E614,tPacotes[ID_Pacote],tPacotes[Categoria])</f>
        <v>Natureza</v>
      </c>
      <c r="O614" t="str">
        <f>_xlfn.XLOOKUP(D614,tClientes[ID_Cliente],tClientes[UF])</f>
        <v>RS</v>
      </c>
    </row>
    <row r="615" spans="1:15" x14ac:dyDescent="0.3">
      <c r="A615">
        <v>614</v>
      </c>
      <c r="B615" s="3">
        <v>45959</v>
      </c>
      <c r="C615" s="3">
        <v>45985</v>
      </c>
      <c r="D615">
        <v>195</v>
      </c>
      <c r="E615">
        <v>1</v>
      </c>
      <c r="F615">
        <v>1</v>
      </c>
      <c r="G615" s="2">
        <v>3200</v>
      </c>
      <c r="H615" s="4">
        <v>0</v>
      </c>
      <c r="I615" s="2">
        <v>3200</v>
      </c>
      <c r="J615" t="s">
        <v>253</v>
      </c>
      <c r="K615" t="s">
        <v>254</v>
      </c>
      <c r="L615">
        <v>4</v>
      </c>
      <c r="M615" t="str">
        <f>_xlfn.XLOOKUP(E615,tPacotes[ID_Pacote],tPacotes[Pacote])</f>
        <v>Nordeste Encantado</v>
      </c>
      <c r="N615" t="str">
        <f>_xlfn.XLOOKUP(E615,tPacotes[ID_Pacote],tPacotes[Categoria])</f>
        <v>Praia</v>
      </c>
      <c r="O615" t="str">
        <f>_xlfn.XLOOKUP(D615,tClientes[ID_Cliente],tClientes[UF])</f>
        <v>RJ</v>
      </c>
    </row>
    <row r="616" spans="1:15" x14ac:dyDescent="0.3">
      <c r="A616">
        <v>615</v>
      </c>
      <c r="B616" s="3">
        <v>45961</v>
      </c>
      <c r="C616" s="3">
        <v>46020</v>
      </c>
      <c r="D616">
        <v>37</v>
      </c>
      <c r="E616">
        <v>6</v>
      </c>
      <c r="F616">
        <v>1</v>
      </c>
      <c r="G616" s="2">
        <v>2100</v>
      </c>
      <c r="H616" s="4">
        <v>0.1</v>
      </c>
      <c r="I616" s="2">
        <v>1890</v>
      </c>
      <c r="J616" t="s">
        <v>253</v>
      </c>
      <c r="K616" t="s">
        <v>254</v>
      </c>
      <c r="L616">
        <v>4</v>
      </c>
      <c r="M616" t="str">
        <f>_xlfn.XLOOKUP(E616,tPacotes[ID_Pacote],tPacotes[Pacote])</f>
        <v>Foz do Iguaçu</v>
      </c>
      <c r="N616" t="str">
        <f>_xlfn.XLOOKUP(E616,tPacotes[ID_Pacote],tPacotes[Categoria])</f>
        <v>Natureza</v>
      </c>
      <c r="O616" t="str">
        <f>_xlfn.XLOOKUP(D616,tClientes[ID_Cliente],tClientes[UF])</f>
        <v>DF</v>
      </c>
    </row>
    <row r="617" spans="1:15" x14ac:dyDescent="0.3">
      <c r="A617">
        <v>616</v>
      </c>
      <c r="B617" s="3">
        <v>45962</v>
      </c>
      <c r="C617" s="3">
        <v>46107</v>
      </c>
      <c r="D617">
        <v>108</v>
      </c>
      <c r="E617">
        <v>7</v>
      </c>
      <c r="F617">
        <v>1</v>
      </c>
      <c r="G617" s="2">
        <v>4200</v>
      </c>
      <c r="H617" s="4">
        <v>0</v>
      </c>
      <c r="I617" s="2">
        <v>4200</v>
      </c>
      <c r="J617" t="s">
        <v>255</v>
      </c>
      <c r="K617" t="s">
        <v>254</v>
      </c>
      <c r="L617">
        <v>5</v>
      </c>
      <c r="M617" t="str">
        <f>_xlfn.XLOOKUP(E617,tPacotes[ID_Pacote],tPacotes[Pacote])</f>
        <v>Buenos Aires Clássica</v>
      </c>
      <c r="N617" t="str">
        <f>_xlfn.XLOOKUP(E617,tPacotes[ID_Pacote],tPacotes[Categoria])</f>
        <v>Cultural</v>
      </c>
      <c r="O617" t="str">
        <f>_xlfn.XLOOKUP(D617,tClientes[ID_Cliente],tClientes[UF])</f>
        <v>MG</v>
      </c>
    </row>
    <row r="618" spans="1:15" x14ac:dyDescent="0.3">
      <c r="A618">
        <v>617</v>
      </c>
      <c r="B618" s="3">
        <v>45962</v>
      </c>
      <c r="C618" s="3">
        <v>45974</v>
      </c>
      <c r="D618">
        <v>28</v>
      </c>
      <c r="E618">
        <v>15</v>
      </c>
      <c r="F618">
        <v>2</v>
      </c>
      <c r="G618" s="2">
        <v>6200</v>
      </c>
      <c r="H618" s="4">
        <v>0.05</v>
      </c>
      <c r="I618" s="2">
        <v>5890</v>
      </c>
      <c r="J618" t="s">
        <v>253</v>
      </c>
      <c r="K618" t="s">
        <v>254</v>
      </c>
      <c r="L618">
        <v>5</v>
      </c>
      <c r="M618" t="str">
        <f>_xlfn.XLOOKUP(E618,tPacotes[ID_Pacote],tPacotes[Pacote])</f>
        <v>Jericoacoara</v>
      </c>
      <c r="N618" t="str">
        <f>_xlfn.XLOOKUP(E618,tPacotes[ID_Pacote],tPacotes[Categoria])</f>
        <v>Praia</v>
      </c>
      <c r="O618" t="str">
        <f>_xlfn.XLOOKUP(D618,tClientes[ID_Cliente],tClientes[UF])</f>
        <v>SP</v>
      </c>
    </row>
    <row r="619" spans="1:15" x14ac:dyDescent="0.3">
      <c r="A619">
        <v>618</v>
      </c>
      <c r="B619" s="3">
        <v>45963</v>
      </c>
      <c r="C619" s="3">
        <v>45983</v>
      </c>
      <c r="D619">
        <v>192</v>
      </c>
      <c r="E619">
        <v>14</v>
      </c>
      <c r="F619">
        <v>4</v>
      </c>
      <c r="G619" s="2">
        <v>11600</v>
      </c>
      <c r="H619" s="4">
        <v>0</v>
      </c>
      <c r="I619" s="2">
        <v>11600</v>
      </c>
      <c r="J619" t="s">
        <v>253</v>
      </c>
      <c r="K619" t="s">
        <v>254</v>
      </c>
      <c r="L619">
        <v>5</v>
      </c>
      <c r="M619" t="str">
        <f>_xlfn.XLOOKUP(E619,tPacotes[ID_Pacote],tPacotes[Pacote])</f>
        <v>Lençóis Maranhenses</v>
      </c>
      <c r="N619" t="str">
        <f>_xlfn.XLOOKUP(E619,tPacotes[ID_Pacote],tPacotes[Categoria])</f>
        <v>Natureza</v>
      </c>
      <c r="O619" t="str">
        <f>_xlfn.XLOOKUP(D619,tClientes[ID_Cliente],tClientes[UF])</f>
        <v>SP</v>
      </c>
    </row>
    <row r="620" spans="1:15" x14ac:dyDescent="0.3">
      <c r="A620">
        <v>619</v>
      </c>
      <c r="B620" s="3">
        <v>45963</v>
      </c>
      <c r="C620" s="3">
        <v>45968</v>
      </c>
      <c r="D620">
        <v>111</v>
      </c>
      <c r="E620">
        <v>8</v>
      </c>
      <c r="F620">
        <v>1</v>
      </c>
      <c r="G620" s="2">
        <v>5900</v>
      </c>
      <c r="H620" s="4">
        <v>0.1</v>
      </c>
      <c r="I620" s="2">
        <v>5310</v>
      </c>
      <c r="J620" t="s">
        <v>256</v>
      </c>
      <c r="K620" t="s">
        <v>254</v>
      </c>
      <c r="L620">
        <v>4</v>
      </c>
      <c r="M620" t="str">
        <f>_xlfn.XLOOKUP(E620,tPacotes[ID_Pacote],tPacotes[Pacote])</f>
        <v>Santiago e Neve</v>
      </c>
      <c r="N620" t="str">
        <f>_xlfn.XLOOKUP(E620,tPacotes[ID_Pacote],tPacotes[Categoria])</f>
        <v>Inverno</v>
      </c>
      <c r="O620" t="str">
        <f>_xlfn.XLOOKUP(D620,tClientes[ID_Cliente],tClientes[UF])</f>
        <v>RJ</v>
      </c>
    </row>
    <row r="621" spans="1:15" x14ac:dyDescent="0.3">
      <c r="A621">
        <v>620</v>
      </c>
      <c r="B621" s="3">
        <v>45963</v>
      </c>
      <c r="C621" s="3">
        <v>46052</v>
      </c>
      <c r="D621">
        <v>65</v>
      </c>
      <c r="E621">
        <v>3</v>
      </c>
      <c r="F621">
        <v>4</v>
      </c>
      <c r="G621" s="2">
        <v>10400</v>
      </c>
      <c r="H621" s="4">
        <v>0</v>
      </c>
      <c r="I621" s="2">
        <v>10400</v>
      </c>
      <c r="J621" t="s">
        <v>255</v>
      </c>
      <c r="K621" t="s">
        <v>254</v>
      </c>
      <c r="L621">
        <v>3</v>
      </c>
      <c r="M621" t="str">
        <f>_xlfn.XLOOKUP(E621,tPacotes[ID_Pacote],tPacotes[Pacote])</f>
        <v>Serra Gaúcha</v>
      </c>
      <c r="N621" t="str">
        <f>_xlfn.XLOOKUP(E621,tPacotes[ID_Pacote],tPacotes[Categoria])</f>
        <v>Inverno</v>
      </c>
      <c r="O621" t="str">
        <f>_xlfn.XLOOKUP(D621,tClientes[ID_Cliente],tClientes[UF])</f>
        <v>SP</v>
      </c>
    </row>
    <row r="622" spans="1:15" x14ac:dyDescent="0.3">
      <c r="A622">
        <v>621</v>
      </c>
      <c r="B622" s="3">
        <v>45964</v>
      </c>
      <c r="C622" s="3">
        <v>46076</v>
      </c>
      <c r="D622">
        <v>163</v>
      </c>
      <c r="E622">
        <v>1</v>
      </c>
      <c r="F622">
        <v>2</v>
      </c>
      <c r="G622" s="2">
        <v>6400</v>
      </c>
      <c r="H622" s="4">
        <v>0.05</v>
      </c>
      <c r="I622" s="2">
        <v>6080</v>
      </c>
      <c r="J622" t="s">
        <v>253</v>
      </c>
      <c r="K622" t="s">
        <v>254</v>
      </c>
      <c r="L622">
        <v>3</v>
      </c>
      <c r="M622" t="str">
        <f>_xlfn.XLOOKUP(E622,tPacotes[ID_Pacote],tPacotes[Pacote])</f>
        <v>Nordeste Encantado</v>
      </c>
      <c r="N622" t="str">
        <f>_xlfn.XLOOKUP(E622,tPacotes[ID_Pacote],tPacotes[Categoria])</f>
        <v>Praia</v>
      </c>
      <c r="O622" t="str">
        <f>_xlfn.XLOOKUP(D622,tClientes[ID_Cliente],tClientes[UF])</f>
        <v>DF</v>
      </c>
    </row>
    <row r="623" spans="1:15" x14ac:dyDescent="0.3">
      <c r="A623">
        <v>622</v>
      </c>
      <c r="B623" s="3">
        <v>45964</v>
      </c>
      <c r="C623" s="3">
        <v>45971</v>
      </c>
      <c r="D623">
        <v>178</v>
      </c>
      <c r="E623">
        <v>3</v>
      </c>
      <c r="F623">
        <v>1</v>
      </c>
      <c r="G623" s="2">
        <v>2600</v>
      </c>
      <c r="H623" s="4">
        <v>0</v>
      </c>
      <c r="I623" s="2">
        <v>2600</v>
      </c>
      <c r="J623" t="s">
        <v>253</v>
      </c>
      <c r="K623" t="s">
        <v>254</v>
      </c>
      <c r="L623">
        <v>4</v>
      </c>
      <c r="M623" t="str">
        <f>_xlfn.XLOOKUP(E623,tPacotes[ID_Pacote],tPacotes[Pacote])</f>
        <v>Serra Gaúcha</v>
      </c>
      <c r="N623" t="str">
        <f>_xlfn.XLOOKUP(E623,tPacotes[ID_Pacote],tPacotes[Categoria])</f>
        <v>Inverno</v>
      </c>
      <c r="O623" t="str">
        <f>_xlfn.XLOOKUP(D623,tClientes[ID_Cliente],tClientes[UF])</f>
        <v>PE</v>
      </c>
    </row>
    <row r="624" spans="1:15" x14ac:dyDescent="0.3">
      <c r="A624">
        <v>623</v>
      </c>
      <c r="B624" s="3">
        <v>45964</v>
      </c>
      <c r="C624" s="3">
        <v>46093</v>
      </c>
      <c r="D624">
        <v>93</v>
      </c>
      <c r="E624">
        <v>2</v>
      </c>
      <c r="F624">
        <v>4</v>
      </c>
      <c r="G624" s="2">
        <v>7200</v>
      </c>
      <c r="H624" s="4">
        <v>0</v>
      </c>
      <c r="I624" s="2">
        <v>7200</v>
      </c>
      <c r="J624" t="s">
        <v>257</v>
      </c>
      <c r="K624" t="s">
        <v>258</v>
      </c>
      <c r="M624" t="str">
        <f>_xlfn.XLOOKUP(E624,tPacotes[ID_Pacote],tPacotes[Pacote])</f>
        <v>Rio Cidade Maravilhosa</v>
      </c>
      <c r="N624" t="str">
        <f>_xlfn.XLOOKUP(E624,tPacotes[ID_Pacote],tPacotes[Categoria])</f>
        <v>Cultural</v>
      </c>
      <c r="O624" t="str">
        <f>_xlfn.XLOOKUP(D624,tClientes[ID_Cliente],tClientes[UF])</f>
        <v>DF</v>
      </c>
    </row>
    <row r="625" spans="1:15" x14ac:dyDescent="0.3">
      <c r="A625">
        <v>624</v>
      </c>
      <c r="B625" s="3">
        <v>45964</v>
      </c>
      <c r="C625" s="3">
        <v>46002</v>
      </c>
      <c r="D625">
        <v>198</v>
      </c>
      <c r="E625">
        <v>15</v>
      </c>
      <c r="F625">
        <v>1</v>
      </c>
      <c r="G625" s="2">
        <v>3100</v>
      </c>
      <c r="H625" s="4">
        <v>0.05</v>
      </c>
      <c r="I625" s="2">
        <v>2945</v>
      </c>
      <c r="J625" t="s">
        <v>255</v>
      </c>
      <c r="K625" t="s">
        <v>254</v>
      </c>
      <c r="L625">
        <v>4</v>
      </c>
      <c r="M625" t="str">
        <f>_xlfn.XLOOKUP(E625,tPacotes[ID_Pacote],tPacotes[Pacote])</f>
        <v>Jericoacoara</v>
      </c>
      <c r="N625" t="str">
        <f>_xlfn.XLOOKUP(E625,tPacotes[ID_Pacote],tPacotes[Categoria])</f>
        <v>Praia</v>
      </c>
      <c r="O625" t="str">
        <f>_xlfn.XLOOKUP(D625,tClientes[ID_Cliente],tClientes[UF])</f>
        <v>SP</v>
      </c>
    </row>
    <row r="626" spans="1:15" x14ac:dyDescent="0.3">
      <c r="A626">
        <v>625</v>
      </c>
      <c r="B626" s="3">
        <v>45965</v>
      </c>
      <c r="C626" s="3">
        <v>46003</v>
      </c>
      <c r="D626">
        <v>78</v>
      </c>
      <c r="E626">
        <v>12</v>
      </c>
      <c r="F626">
        <v>2</v>
      </c>
      <c r="G626" s="2">
        <v>24800</v>
      </c>
      <c r="H626" s="4">
        <v>0</v>
      </c>
      <c r="I626" s="2">
        <v>24800</v>
      </c>
      <c r="J626" t="s">
        <v>256</v>
      </c>
      <c r="K626" t="s">
        <v>258</v>
      </c>
      <c r="M626" t="str">
        <f>_xlfn.XLOOKUP(E626,tPacotes[ID_Pacote],tPacotes[Pacote])</f>
        <v>Lisboa e Porto</v>
      </c>
      <c r="N626" t="str">
        <f>_xlfn.XLOOKUP(E626,tPacotes[ID_Pacote],tPacotes[Categoria])</f>
        <v>Cultural</v>
      </c>
      <c r="O626" t="str">
        <f>_xlfn.XLOOKUP(D626,tClientes[ID_Cliente],tClientes[UF])</f>
        <v>PR</v>
      </c>
    </row>
    <row r="627" spans="1:15" x14ac:dyDescent="0.3">
      <c r="A627">
        <v>626</v>
      </c>
      <c r="B627" s="3">
        <v>45966</v>
      </c>
      <c r="C627" s="3">
        <v>45974</v>
      </c>
      <c r="D627">
        <v>52</v>
      </c>
      <c r="E627">
        <v>9</v>
      </c>
      <c r="F627">
        <v>3</v>
      </c>
      <c r="G627" s="2">
        <v>26700</v>
      </c>
      <c r="H627" s="4">
        <v>0</v>
      </c>
      <c r="I627" s="2">
        <v>26700</v>
      </c>
      <c r="J627" t="s">
        <v>253</v>
      </c>
      <c r="K627" t="s">
        <v>254</v>
      </c>
      <c r="L627">
        <v>3</v>
      </c>
      <c r="M627" t="str">
        <f>_xlfn.XLOOKUP(E627,tPacotes[ID_Pacote],tPacotes[Pacote])</f>
        <v>Cancún All Inclusive</v>
      </c>
      <c r="N627" t="str">
        <f>_xlfn.XLOOKUP(E627,tPacotes[ID_Pacote],tPacotes[Categoria])</f>
        <v>Praia</v>
      </c>
      <c r="O627" t="str">
        <f>_xlfn.XLOOKUP(D627,tClientes[ID_Cliente],tClientes[UF])</f>
        <v>SP</v>
      </c>
    </row>
    <row r="628" spans="1:15" x14ac:dyDescent="0.3">
      <c r="A628">
        <v>627</v>
      </c>
      <c r="B628" s="3">
        <v>45966</v>
      </c>
      <c r="C628" s="3">
        <v>46037</v>
      </c>
      <c r="D628">
        <v>13</v>
      </c>
      <c r="E628">
        <v>1</v>
      </c>
      <c r="F628">
        <v>1</v>
      </c>
      <c r="G628" s="2">
        <v>3200</v>
      </c>
      <c r="H628" s="4">
        <v>0.05</v>
      </c>
      <c r="I628" s="2">
        <v>3040</v>
      </c>
      <c r="J628" t="s">
        <v>253</v>
      </c>
      <c r="K628" t="s">
        <v>254</v>
      </c>
      <c r="L628">
        <v>4</v>
      </c>
      <c r="M628" t="str">
        <f>_xlfn.XLOOKUP(E628,tPacotes[ID_Pacote],tPacotes[Pacote])</f>
        <v>Nordeste Encantado</v>
      </c>
      <c r="N628" t="str">
        <f>_xlfn.XLOOKUP(E628,tPacotes[ID_Pacote],tPacotes[Categoria])</f>
        <v>Praia</v>
      </c>
      <c r="O628" t="str">
        <f>_xlfn.XLOOKUP(D628,tClientes[ID_Cliente],tClientes[UF])</f>
        <v>RS</v>
      </c>
    </row>
    <row r="629" spans="1:15" x14ac:dyDescent="0.3">
      <c r="A629">
        <v>628</v>
      </c>
      <c r="B629" s="3">
        <v>45966</v>
      </c>
      <c r="C629" s="3">
        <v>46005</v>
      </c>
      <c r="D629">
        <v>116</v>
      </c>
      <c r="E629">
        <v>7</v>
      </c>
      <c r="F629">
        <v>4</v>
      </c>
      <c r="G629" s="2">
        <v>16800</v>
      </c>
      <c r="H629" s="4">
        <v>0</v>
      </c>
      <c r="I629" s="2">
        <v>16800</v>
      </c>
      <c r="J629" t="s">
        <v>253</v>
      </c>
      <c r="K629" t="s">
        <v>254</v>
      </c>
      <c r="L629">
        <v>5</v>
      </c>
      <c r="M629" t="str">
        <f>_xlfn.XLOOKUP(E629,tPacotes[ID_Pacote],tPacotes[Pacote])</f>
        <v>Buenos Aires Clássica</v>
      </c>
      <c r="N629" t="str">
        <f>_xlfn.XLOOKUP(E629,tPacotes[ID_Pacote],tPacotes[Categoria])</f>
        <v>Cultural</v>
      </c>
      <c r="O629" t="str">
        <f>_xlfn.XLOOKUP(D629,tClientes[ID_Cliente],tClientes[UF])</f>
        <v>RJ</v>
      </c>
    </row>
    <row r="630" spans="1:15" x14ac:dyDescent="0.3">
      <c r="A630">
        <v>629</v>
      </c>
      <c r="B630" s="3">
        <v>45967</v>
      </c>
      <c r="C630" s="3">
        <v>46066</v>
      </c>
      <c r="D630">
        <v>151</v>
      </c>
      <c r="E630">
        <v>15</v>
      </c>
      <c r="F630">
        <v>2</v>
      </c>
      <c r="G630" s="2">
        <v>6200</v>
      </c>
      <c r="H630" s="4">
        <v>0.05</v>
      </c>
      <c r="I630" s="2">
        <v>5890</v>
      </c>
      <c r="J630" t="s">
        <v>255</v>
      </c>
      <c r="K630" t="s">
        <v>258</v>
      </c>
      <c r="M630" t="str">
        <f>_xlfn.XLOOKUP(E630,tPacotes[ID_Pacote],tPacotes[Pacote])</f>
        <v>Jericoacoara</v>
      </c>
      <c r="N630" t="str">
        <f>_xlfn.XLOOKUP(E630,tPacotes[ID_Pacote],tPacotes[Categoria])</f>
        <v>Praia</v>
      </c>
      <c r="O630" t="str">
        <f>_xlfn.XLOOKUP(D630,tClientes[ID_Cliente],tClientes[UF])</f>
        <v>SP</v>
      </c>
    </row>
    <row r="631" spans="1:15" x14ac:dyDescent="0.3">
      <c r="A631">
        <v>630</v>
      </c>
      <c r="B631" s="3">
        <v>45967</v>
      </c>
      <c r="C631" s="3">
        <v>46013</v>
      </c>
      <c r="D631">
        <v>23</v>
      </c>
      <c r="E631">
        <v>6</v>
      </c>
      <c r="F631">
        <v>3</v>
      </c>
      <c r="G631" s="2">
        <v>6300</v>
      </c>
      <c r="H631" s="4">
        <v>0</v>
      </c>
      <c r="I631" s="2">
        <v>6300</v>
      </c>
      <c r="J631" t="s">
        <v>253</v>
      </c>
      <c r="K631" t="s">
        <v>254</v>
      </c>
      <c r="L631">
        <v>5</v>
      </c>
      <c r="M631" t="str">
        <f>_xlfn.XLOOKUP(E631,tPacotes[ID_Pacote],tPacotes[Pacote])</f>
        <v>Foz do Iguaçu</v>
      </c>
      <c r="N631" t="str">
        <f>_xlfn.XLOOKUP(E631,tPacotes[ID_Pacote],tPacotes[Categoria])</f>
        <v>Natureza</v>
      </c>
      <c r="O631" t="str">
        <f>_xlfn.XLOOKUP(D631,tClientes[ID_Cliente],tClientes[UF])</f>
        <v>SP</v>
      </c>
    </row>
    <row r="632" spans="1:15" x14ac:dyDescent="0.3">
      <c r="A632">
        <v>631</v>
      </c>
      <c r="B632" s="3">
        <v>45967</v>
      </c>
      <c r="C632" s="3">
        <v>46096</v>
      </c>
      <c r="D632">
        <v>198</v>
      </c>
      <c r="E632">
        <v>15</v>
      </c>
      <c r="F632">
        <v>4</v>
      </c>
      <c r="G632" s="2">
        <v>12400</v>
      </c>
      <c r="H632" s="4">
        <v>0</v>
      </c>
      <c r="I632" s="2">
        <v>12400</v>
      </c>
      <c r="J632" t="s">
        <v>253</v>
      </c>
      <c r="K632" t="s">
        <v>258</v>
      </c>
      <c r="M632" t="str">
        <f>_xlfn.XLOOKUP(E632,tPacotes[ID_Pacote],tPacotes[Pacote])</f>
        <v>Jericoacoara</v>
      </c>
      <c r="N632" t="str">
        <f>_xlfn.XLOOKUP(E632,tPacotes[ID_Pacote],tPacotes[Categoria])</f>
        <v>Praia</v>
      </c>
      <c r="O632" t="str">
        <f>_xlfn.XLOOKUP(D632,tClientes[ID_Cliente],tClientes[UF])</f>
        <v>SP</v>
      </c>
    </row>
    <row r="633" spans="1:15" x14ac:dyDescent="0.3">
      <c r="A633">
        <v>632</v>
      </c>
      <c r="B633" s="3">
        <v>45967</v>
      </c>
      <c r="C633" s="3">
        <v>46008</v>
      </c>
      <c r="D633">
        <v>37</v>
      </c>
      <c r="E633">
        <v>4</v>
      </c>
      <c r="F633">
        <v>2</v>
      </c>
      <c r="G633" s="2">
        <v>13800</v>
      </c>
      <c r="H633" s="4">
        <v>0</v>
      </c>
      <c r="I633" s="2">
        <v>13800</v>
      </c>
      <c r="J633" t="s">
        <v>253</v>
      </c>
      <c r="K633" t="s">
        <v>254</v>
      </c>
      <c r="L633">
        <v>5</v>
      </c>
      <c r="M633" t="str">
        <f>_xlfn.XLOOKUP(E633,tPacotes[ID_Pacote],tPacotes[Pacote])</f>
        <v>Fernando de Noronha</v>
      </c>
      <c r="N633" t="str">
        <f>_xlfn.XLOOKUP(E633,tPacotes[ID_Pacote],tPacotes[Categoria])</f>
        <v>Praia</v>
      </c>
      <c r="O633" t="str">
        <f>_xlfn.XLOOKUP(D633,tClientes[ID_Cliente],tClientes[UF])</f>
        <v>DF</v>
      </c>
    </row>
    <row r="634" spans="1:15" x14ac:dyDescent="0.3">
      <c r="A634">
        <v>633</v>
      </c>
      <c r="B634" s="3">
        <v>45967</v>
      </c>
      <c r="C634" s="3">
        <v>46046</v>
      </c>
      <c r="D634">
        <v>25</v>
      </c>
      <c r="E634">
        <v>6</v>
      </c>
      <c r="F634">
        <v>2</v>
      </c>
      <c r="G634" s="2">
        <v>4200</v>
      </c>
      <c r="H634" s="4">
        <v>0.05</v>
      </c>
      <c r="I634" s="2">
        <v>3990</v>
      </c>
      <c r="J634" t="s">
        <v>253</v>
      </c>
      <c r="K634" t="s">
        <v>254</v>
      </c>
      <c r="L634">
        <v>5</v>
      </c>
      <c r="M634" t="str">
        <f>_xlfn.XLOOKUP(E634,tPacotes[ID_Pacote],tPacotes[Pacote])</f>
        <v>Foz do Iguaçu</v>
      </c>
      <c r="N634" t="str">
        <f>_xlfn.XLOOKUP(E634,tPacotes[ID_Pacote],tPacotes[Categoria])</f>
        <v>Natureza</v>
      </c>
      <c r="O634" t="str">
        <f>_xlfn.XLOOKUP(D634,tClientes[ID_Cliente],tClientes[UF])</f>
        <v>PE</v>
      </c>
    </row>
    <row r="635" spans="1:15" x14ac:dyDescent="0.3">
      <c r="A635">
        <v>634</v>
      </c>
      <c r="B635" s="3">
        <v>45967</v>
      </c>
      <c r="C635" s="3">
        <v>46018</v>
      </c>
      <c r="D635">
        <v>42</v>
      </c>
      <c r="E635">
        <v>15</v>
      </c>
      <c r="F635">
        <v>3</v>
      </c>
      <c r="G635" s="2">
        <v>9300</v>
      </c>
      <c r="H635" s="4">
        <v>0.05</v>
      </c>
      <c r="I635" s="2">
        <v>8835</v>
      </c>
      <c r="J635" t="s">
        <v>256</v>
      </c>
      <c r="K635" t="s">
        <v>254</v>
      </c>
      <c r="L635">
        <v>5</v>
      </c>
      <c r="M635" t="str">
        <f>_xlfn.XLOOKUP(E635,tPacotes[ID_Pacote],tPacotes[Pacote])</f>
        <v>Jericoacoara</v>
      </c>
      <c r="N635" t="str">
        <f>_xlfn.XLOOKUP(E635,tPacotes[ID_Pacote],tPacotes[Categoria])</f>
        <v>Praia</v>
      </c>
      <c r="O635" t="str">
        <f>_xlfn.XLOOKUP(D635,tClientes[ID_Cliente],tClientes[UF])</f>
        <v>SP</v>
      </c>
    </row>
    <row r="636" spans="1:15" x14ac:dyDescent="0.3">
      <c r="A636">
        <v>635</v>
      </c>
      <c r="B636" s="3">
        <v>45968</v>
      </c>
      <c r="C636" s="3">
        <v>45973</v>
      </c>
      <c r="D636">
        <v>113</v>
      </c>
      <c r="E636">
        <v>14</v>
      </c>
      <c r="F636">
        <v>2</v>
      </c>
      <c r="G636" s="2">
        <v>5800</v>
      </c>
      <c r="H636" s="4">
        <v>0.1</v>
      </c>
      <c r="I636" s="2">
        <v>5220</v>
      </c>
      <c r="J636" t="s">
        <v>257</v>
      </c>
      <c r="K636" t="s">
        <v>254</v>
      </c>
      <c r="L636">
        <v>4</v>
      </c>
      <c r="M636" t="str">
        <f>_xlfn.XLOOKUP(E636,tPacotes[ID_Pacote],tPacotes[Pacote])</f>
        <v>Lençóis Maranhenses</v>
      </c>
      <c r="N636" t="str">
        <f>_xlfn.XLOOKUP(E636,tPacotes[ID_Pacote],tPacotes[Categoria])</f>
        <v>Natureza</v>
      </c>
      <c r="O636" t="str">
        <f>_xlfn.XLOOKUP(D636,tClientes[ID_Cliente],tClientes[UF])</f>
        <v>SP</v>
      </c>
    </row>
    <row r="637" spans="1:15" x14ac:dyDescent="0.3">
      <c r="A637">
        <v>636</v>
      </c>
      <c r="B637" s="3">
        <v>45968</v>
      </c>
      <c r="C637" s="3">
        <v>46006</v>
      </c>
      <c r="D637">
        <v>132</v>
      </c>
      <c r="E637">
        <v>3</v>
      </c>
      <c r="F637">
        <v>4</v>
      </c>
      <c r="G637" s="2">
        <v>10400</v>
      </c>
      <c r="H637" s="4">
        <v>0.05</v>
      </c>
      <c r="I637" s="2">
        <v>9880</v>
      </c>
      <c r="J637" t="s">
        <v>253</v>
      </c>
      <c r="K637" t="s">
        <v>254</v>
      </c>
      <c r="L637">
        <v>4</v>
      </c>
      <c r="M637" t="str">
        <f>_xlfn.XLOOKUP(E637,tPacotes[ID_Pacote],tPacotes[Pacote])</f>
        <v>Serra Gaúcha</v>
      </c>
      <c r="N637" t="str">
        <f>_xlfn.XLOOKUP(E637,tPacotes[ID_Pacote],tPacotes[Categoria])</f>
        <v>Inverno</v>
      </c>
      <c r="O637" t="str">
        <f>_xlfn.XLOOKUP(D637,tClientes[ID_Cliente],tClientes[UF])</f>
        <v>RS</v>
      </c>
    </row>
    <row r="638" spans="1:15" x14ac:dyDescent="0.3">
      <c r="A638">
        <v>637</v>
      </c>
      <c r="B638" s="3">
        <v>45968</v>
      </c>
      <c r="C638" s="3">
        <v>45978</v>
      </c>
      <c r="D638">
        <v>116</v>
      </c>
      <c r="E638">
        <v>7</v>
      </c>
      <c r="F638">
        <v>2</v>
      </c>
      <c r="G638" s="2">
        <v>8400</v>
      </c>
      <c r="H638" s="4">
        <v>0</v>
      </c>
      <c r="I638" s="2">
        <v>8400</v>
      </c>
      <c r="J638" t="s">
        <v>257</v>
      </c>
      <c r="K638" t="s">
        <v>254</v>
      </c>
      <c r="L638">
        <v>4</v>
      </c>
      <c r="M638" t="str">
        <f>_xlfn.XLOOKUP(E638,tPacotes[ID_Pacote],tPacotes[Pacote])</f>
        <v>Buenos Aires Clássica</v>
      </c>
      <c r="N638" t="str">
        <f>_xlfn.XLOOKUP(E638,tPacotes[ID_Pacote],tPacotes[Categoria])</f>
        <v>Cultural</v>
      </c>
      <c r="O638" t="str">
        <f>_xlfn.XLOOKUP(D638,tClientes[ID_Cliente],tClientes[UF])</f>
        <v>RJ</v>
      </c>
    </row>
    <row r="639" spans="1:15" x14ac:dyDescent="0.3">
      <c r="A639">
        <v>638</v>
      </c>
      <c r="B639" s="3">
        <v>45968</v>
      </c>
      <c r="C639" s="3">
        <v>45976</v>
      </c>
      <c r="D639">
        <v>200</v>
      </c>
      <c r="E639">
        <v>1</v>
      </c>
      <c r="F639">
        <v>2</v>
      </c>
      <c r="G639" s="2">
        <v>6400</v>
      </c>
      <c r="H639" s="4">
        <v>0</v>
      </c>
      <c r="I639" s="2">
        <v>6400</v>
      </c>
      <c r="J639" t="s">
        <v>253</v>
      </c>
      <c r="K639" t="s">
        <v>254</v>
      </c>
      <c r="L639">
        <v>5</v>
      </c>
      <c r="M639" t="str">
        <f>_xlfn.XLOOKUP(E639,tPacotes[ID_Pacote],tPacotes[Pacote])</f>
        <v>Nordeste Encantado</v>
      </c>
      <c r="N639" t="str">
        <f>_xlfn.XLOOKUP(E639,tPacotes[ID_Pacote],tPacotes[Categoria])</f>
        <v>Praia</v>
      </c>
      <c r="O639" t="str">
        <f>_xlfn.XLOOKUP(D639,tClientes[ID_Cliente],tClientes[UF])</f>
        <v>PR</v>
      </c>
    </row>
    <row r="640" spans="1:15" x14ac:dyDescent="0.3">
      <c r="A640">
        <v>639</v>
      </c>
      <c r="B640" s="3">
        <v>45969</v>
      </c>
      <c r="C640" s="3">
        <v>46024</v>
      </c>
      <c r="D640">
        <v>98</v>
      </c>
      <c r="E640">
        <v>3</v>
      </c>
      <c r="F640">
        <v>2</v>
      </c>
      <c r="G640" s="2">
        <v>5200</v>
      </c>
      <c r="H640" s="4">
        <v>0</v>
      </c>
      <c r="I640" s="2">
        <v>5200</v>
      </c>
      <c r="J640" t="s">
        <v>253</v>
      </c>
      <c r="K640" t="s">
        <v>254</v>
      </c>
      <c r="L640">
        <v>4</v>
      </c>
      <c r="M640" t="str">
        <f>_xlfn.XLOOKUP(E640,tPacotes[ID_Pacote],tPacotes[Pacote])</f>
        <v>Serra Gaúcha</v>
      </c>
      <c r="N640" t="str">
        <f>_xlfn.XLOOKUP(E640,tPacotes[ID_Pacote],tPacotes[Categoria])</f>
        <v>Inverno</v>
      </c>
      <c r="O640" t="str">
        <f>_xlfn.XLOOKUP(D640,tClientes[ID_Cliente],tClientes[UF])</f>
        <v>SP</v>
      </c>
    </row>
    <row r="641" spans="1:15" x14ac:dyDescent="0.3">
      <c r="A641">
        <v>640</v>
      </c>
      <c r="B641" s="3">
        <v>45969</v>
      </c>
      <c r="C641" s="3">
        <v>45973</v>
      </c>
      <c r="D641">
        <v>137</v>
      </c>
      <c r="E641">
        <v>8</v>
      </c>
      <c r="F641">
        <v>1</v>
      </c>
      <c r="G641" s="2">
        <v>5900</v>
      </c>
      <c r="H641" s="4">
        <v>0.05</v>
      </c>
      <c r="I641" s="2">
        <v>5605</v>
      </c>
      <c r="J641" t="s">
        <v>255</v>
      </c>
      <c r="K641" t="s">
        <v>254</v>
      </c>
      <c r="L641">
        <v>4</v>
      </c>
      <c r="M641" t="str">
        <f>_xlfn.XLOOKUP(E641,tPacotes[ID_Pacote],tPacotes[Pacote])</f>
        <v>Santiago e Neve</v>
      </c>
      <c r="N641" t="str">
        <f>_xlfn.XLOOKUP(E641,tPacotes[ID_Pacote],tPacotes[Categoria])</f>
        <v>Inverno</v>
      </c>
      <c r="O641" t="str">
        <f>_xlfn.XLOOKUP(D641,tClientes[ID_Cliente],tClientes[UF])</f>
        <v>SP</v>
      </c>
    </row>
    <row r="642" spans="1:15" x14ac:dyDescent="0.3">
      <c r="A642">
        <v>641</v>
      </c>
      <c r="B642" s="3">
        <v>45969</v>
      </c>
      <c r="C642" s="3">
        <v>45991</v>
      </c>
      <c r="D642">
        <v>29</v>
      </c>
      <c r="E642">
        <v>3</v>
      </c>
      <c r="F642">
        <v>2</v>
      </c>
      <c r="G642" s="2">
        <v>5200</v>
      </c>
      <c r="H642" s="4">
        <v>0</v>
      </c>
      <c r="I642" s="2">
        <v>5200</v>
      </c>
      <c r="J642" t="s">
        <v>256</v>
      </c>
      <c r="K642" t="s">
        <v>258</v>
      </c>
      <c r="M642" t="str">
        <f>_xlfn.XLOOKUP(E642,tPacotes[ID_Pacote],tPacotes[Pacote])</f>
        <v>Serra Gaúcha</v>
      </c>
      <c r="N642" t="str">
        <f>_xlfn.XLOOKUP(E642,tPacotes[ID_Pacote],tPacotes[Categoria])</f>
        <v>Inverno</v>
      </c>
      <c r="O642" t="str">
        <f>_xlfn.XLOOKUP(D642,tClientes[ID_Cliente],tClientes[UF])</f>
        <v>SP</v>
      </c>
    </row>
    <row r="643" spans="1:15" x14ac:dyDescent="0.3">
      <c r="A643">
        <v>642</v>
      </c>
      <c r="B643" s="3">
        <v>45969</v>
      </c>
      <c r="C643" s="3">
        <v>46038</v>
      </c>
      <c r="D643">
        <v>83</v>
      </c>
      <c r="E643">
        <v>12</v>
      </c>
      <c r="F643">
        <v>1</v>
      </c>
      <c r="G643" s="2">
        <v>12400</v>
      </c>
      <c r="H643" s="4">
        <v>0.1</v>
      </c>
      <c r="I643" s="2">
        <v>11160</v>
      </c>
      <c r="J643" t="s">
        <v>253</v>
      </c>
      <c r="K643" t="s">
        <v>258</v>
      </c>
      <c r="M643" t="str">
        <f>_xlfn.XLOOKUP(E643,tPacotes[ID_Pacote],tPacotes[Pacote])</f>
        <v>Lisboa e Porto</v>
      </c>
      <c r="N643" t="str">
        <f>_xlfn.XLOOKUP(E643,tPacotes[ID_Pacote],tPacotes[Categoria])</f>
        <v>Cultural</v>
      </c>
      <c r="O643" t="str">
        <f>_xlfn.XLOOKUP(D643,tClientes[ID_Cliente],tClientes[UF])</f>
        <v>SP</v>
      </c>
    </row>
    <row r="644" spans="1:15" x14ac:dyDescent="0.3">
      <c r="A644">
        <v>643</v>
      </c>
      <c r="B644" s="3">
        <v>45969</v>
      </c>
      <c r="C644" s="3">
        <v>46022</v>
      </c>
      <c r="D644">
        <v>35</v>
      </c>
      <c r="E644">
        <v>1</v>
      </c>
      <c r="F644">
        <v>4</v>
      </c>
      <c r="G644" s="2">
        <v>12800</v>
      </c>
      <c r="H644" s="4">
        <v>0.1</v>
      </c>
      <c r="I644" s="2">
        <v>11520</v>
      </c>
      <c r="J644" t="s">
        <v>253</v>
      </c>
      <c r="K644" t="s">
        <v>254</v>
      </c>
      <c r="L644">
        <v>5</v>
      </c>
      <c r="M644" t="str">
        <f>_xlfn.XLOOKUP(E644,tPacotes[ID_Pacote],tPacotes[Pacote])</f>
        <v>Nordeste Encantado</v>
      </c>
      <c r="N644" t="str">
        <f>_xlfn.XLOOKUP(E644,tPacotes[ID_Pacote],tPacotes[Categoria])</f>
        <v>Praia</v>
      </c>
      <c r="O644" t="str">
        <f>_xlfn.XLOOKUP(D644,tClientes[ID_Cliente],tClientes[UF])</f>
        <v>DF</v>
      </c>
    </row>
    <row r="645" spans="1:15" x14ac:dyDescent="0.3">
      <c r="A645">
        <v>644</v>
      </c>
      <c r="B645" s="3">
        <v>45970</v>
      </c>
      <c r="C645" s="3">
        <v>45983</v>
      </c>
      <c r="D645">
        <v>59</v>
      </c>
      <c r="E645">
        <v>12</v>
      </c>
      <c r="F645">
        <v>3</v>
      </c>
      <c r="G645" s="2">
        <v>37200</v>
      </c>
      <c r="H645" s="4">
        <v>0</v>
      </c>
      <c r="I645" s="2">
        <v>37200</v>
      </c>
      <c r="J645" t="s">
        <v>255</v>
      </c>
      <c r="K645" t="s">
        <v>254</v>
      </c>
      <c r="L645">
        <v>3</v>
      </c>
      <c r="M645" t="str">
        <f>_xlfn.XLOOKUP(E645,tPacotes[ID_Pacote],tPacotes[Pacote])</f>
        <v>Lisboa e Porto</v>
      </c>
      <c r="N645" t="str">
        <f>_xlfn.XLOOKUP(E645,tPacotes[ID_Pacote],tPacotes[Categoria])</f>
        <v>Cultural</v>
      </c>
      <c r="O645" t="str">
        <f>_xlfn.XLOOKUP(D645,tClientes[ID_Cliente],tClientes[UF])</f>
        <v>DF</v>
      </c>
    </row>
    <row r="646" spans="1:15" x14ac:dyDescent="0.3">
      <c r="A646">
        <v>645</v>
      </c>
      <c r="B646" s="3">
        <v>45970</v>
      </c>
      <c r="C646" s="3">
        <v>45979</v>
      </c>
      <c r="D646">
        <v>178</v>
      </c>
      <c r="E646">
        <v>8</v>
      </c>
      <c r="F646">
        <v>2</v>
      </c>
      <c r="G646" s="2">
        <v>11800</v>
      </c>
      <c r="H646" s="4">
        <v>0.05</v>
      </c>
      <c r="I646" s="2">
        <v>11210</v>
      </c>
      <c r="J646" t="s">
        <v>253</v>
      </c>
      <c r="K646" t="s">
        <v>254</v>
      </c>
      <c r="L646">
        <v>4</v>
      </c>
      <c r="M646" t="str">
        <f>_xlfn.XLOOKUP(E646,tPacotes[ID_Pacote],tPacotes[Pacote])</f>
        <v>Santiago e Neve</v>
      </c>
      <c r="N646" t="str">
        <f>_xlfn.XLOOKUP(E646,tPacotes[ID_Pacote],tPacotes[Categoria])</f>
        <v>Inverno</v>
      </c>
      <c r="O646" t="str">
        <f>_xlfn.XLOOKUP(D646,tClientes[ID_Cliente],tClientes[UF])</f>
        <v>PE</v>
      </c>
    </row>
    <row r="647" spans="1:15" x14ac:dyDescent="0.3">
      <c r="A647">
        <v>646</v>
      </c>
      <c r="B647" s="3">
        <v>45970</v>
      </c>
      <c r="C647" s="3">
        <v>46000</v>
      </c>
      <c r="D647">
        <v>25</v>
      </c>
      <c r="E647">
        <v>1</v>
      </c>
      <c r="F647">
        <v>1</v>
      </c>
      <c r="G647" s="2">
        <v>3200</v>
      </c>
      <c r="H647" s="4">
        <v>0.05</v>
      </c>
      <c r="I647" s="2">
        <v>3040</v>
      </c>
      <c r="J647" t="s">
        <v>255</v>
      </c>
      <c r="K647" t="s">
        <v>254</v>
      </c>
      <c r="L647">
        <v>5</v>
      </c>
      <c r="M647" t="str">
        <f>_xlfn.XLOOKUP(E647,tPacotes[ID_Pacote],tPacotes[Pacote])</f>
        <v>Nordeste Encantado</v>
      </c>
      <c r="N647" t="str">
        <f>_xlfn.XLOOKUP(E647,tPacotes[ID_Pacote],tPacotes[Categoria])</f>
        <v>Praia</v>
      </c>
      <c r="O647" t="str">
        <f>_xlfn.XLOOKUP(D647,tClientes[ID_Cliente],tClientes[UF])</f>
        <v>PE</v>
      </c>
    </row>
    <row r="648" spans="1:15" x14ac:dyDescent="0.3">
      <c r="A648">
        <v>647</v>
      </c>
      <c r="B648" s="3">
        <v>45971</v>
      </c>
      <c r="C648" s="3">
        <v>46088</v>
      </c>
      <c r="D648">
        <v>82</v>
      </c>
      <c r="E648">
        <v>15</v>
      </c>
      <c r="F648">
        <v>3</v>
      </c>
      <c r="G648" s="2">
        <v>9300</v>
      </c>
      <c r="H648" s="4">
        <v>0</v>
      </c>
      <c r="I648" s="2">
        <v>9300</v>
      </c>
      <c r="J648" t="s">
        <v>255</v>
      </c>
      <c r="K648" t="s">
        <v>254</v>
      </c>
      <c r="L648">
        <v>3</v>
      </c>
      <c r="M648" t="str">
        <f>_xlfn.XLOOKUP(E648,tPacotes[ID_Pacote],tPacotes[Pacote])</f>
        <v>Jericoacoara</v>
      </c>
      <c r="N648" t="str">
        <f>_xlfn.XLOOKUP(E648,tPacotes[ID_Pacote],tPacotes[Categoria])</f>
        <v>Praia</v>
      </c>
      <c r="O648" t="str">
        <f>_xlfn.XLOOKUP(D648,tClientes[ID_Cliente],tClientes[UF])</f>
        <v>SP</v>
      </c>
    </row>
    <row r="649" spans="1:15" x14ac:dyDescent="0.3">
      <c r="A649">
        <v>648</v>
      </c>
      <c r="B649" s="3">
        <v>45971</v>
      </c>
      <c r="C649" s="3">
        <v>46054</v>
      </c>
      <c r="D649">
        <v>153</v>
      </c>
      <c r="E649">
        <v>8</v>
      </c>
      <c r="F649">
        <v>1</v>
      </c>
      <c r="G649" s="2">
        <v>5900</v>
      </c>
      <c r="H649" s="4">
        <v>0.1</v>
      </c>
      <c r="I649" s="2">
        <v>5310</v>
      </c>
      <c r="J649" t="s">
        <v>253</v>
      </c>
      <c r="K649" t="s">
        <v>258</v>
      </c>
      <c r="M649" t="str">
        <f>_xlfn.XLOOKUP(E649,tPacotes[ID_Pacote],tPacotes[Pacote])</f>
        <v>Santiago e Neve</v>
      </c>
      <c r="N649" t="str">
        <f>_xlfn.XLOOKUP(E649,tPacotes[ID_Pacote],tPacotes[Categoria])</f>
        <v>Inverno</v>
      </c>
      <c r="O649" t="str">
        <f>_xlfn.XLOOKUP(D649,tClientes[ID_Cliente],tClientes[UF])</f>
        <v>SP</v>
      </c>
    </row>
    <row r="650" spans="1:15" x14ac:dyDescent="0.3">
      <c r="A650">
        <v>649</v>
      </c>
      <c r="B650" s="3">
        <v>45971</v>
      </c>
      <c r="C650" s="3">
        <v>45989</v>
      </c>
      <c r="D650">
        <v>31</v>
      </c>
      <c r="E650">
        <v>5</v>
      </c>
      <c r="F650">
        <v>3</v>
      </c>
      <c r="G650" s="2">
        <v>10200</v>
      </c>
      <c r="H650" s="4">
        <v>0</v>
      </c>
      <c r="I650" s="2">
        <v>10200</v>
      </c>
      <c r="J650" t="s">
        <v>255</v>
      </c>
      <c r="K650" t="s">
        <v>254</v>
      </c>
      <c r="L650">
        <v>5</v>
      </c>
      <c r="M650" t="str">
        <f>_xlfn.XLOOKUP(E650,tPacotes[ID_Pacote],tPacotes[Pacote])</f>
        <v>Bonito Aventura</v>
      </c>
      <c r="N650" t="str">
        <f>_xlfn.XLOOKUP(E650,tPacotes[ID_Pacote],tPacotes[Categoria])</f>
        <v>Aventura</v>
      </c>
      <c r="O650" t="str">
        <f>_xlfn.XLOOKUP(D650,tClientes[ID_Cliente],tClientes[UF])</f>
        <v>SP</v>
      </c>
    </row>
    <row r="651" spans="1:15" x14ac:dyDescent="0.3">
      <c r="A651">
        <v>650</v>
      </c>
      <c r="B651" s="3">
        <v>45971</v>
      </c>
      <c r="C651" s="3">
        <v>46048</v>
      </c>
      <c r="D651">
        <v>42</v>
      </c>
      <c r="E651">
        <v>5</v>
      </c>
      <c r="F651">
        <v>3</v>
      </c>
      <c r="G651" s="2">
        <v>10200</v>
      </c>
      <c r="H651" s="4">
        <v>0</v>
      </c>
      <c r="I651" s="2">
        <v>10200</v>
      </c>
      <c r="J651" t="s">
        <v>256</v>
      </c>
      <c r="K651" t="s">
        <v>254</v>
      </c>
      <c r="L651">
        <v>5</v>
      </c>
      <c r="M651" t="str">
        <f>_xlfn.XLOOKUP(E651,tPacotes[ID_Pacote],tPacotes[Pacote])</f>
        <v>Bonito Aventura</v>
      </c>
      <c r="N651" t="str">
        <f>_xlfn.XLOOKUP(E651,tPacotes[ID_Pacote],tPacotes[Categoria])</f>
        <v>Aventura</v>
      </c>
      <c r="O651" t="str">
        <f>_xlfn.XLOOKUP(D651,tClientes[ID_Cliente],tClientes[UF])</f>
        <v>SP</v>
      </c>
    </row>
    <row r="652" spans="1:15" x14ac:dyDescent="0.3">
      <c r="A652">
        <v>651</v>
      </c>
      <c r="B652" s="3">
        <v>45972</v>
      </c>
      <c r="C652" s="3">
        <v>46029</v>
      </c>
      <c r="D652">
        <v>14</v>
      </c>
      <c r="E652">
        <v>5</v>
      </c>
      <c r="F652">
        <v>2</v>
      </c>
      <c r="G652" s="2">
        <v>6800</v>
      </c>
      <c r="H652" s="4">
        <v>0.1</v>
      </c>
      <c r="I652" s="2">
        <v>6120</v>
      </c>
      <c r="J652" t="s">
        <v>253</v>
      </c>
      <c r="K652" t="s">
        <v>254</v>
      </c>
      <c r="L652">
        <v>5</v>
      </c>
      <c r="M652" t="str">
        <f>_xlfn.XLOOKUP(E652,tPacotes[ID_Pacote],tPacotes[Pacote])</f>
        <v>Bonito Aventura</v>
      </c>
      <c r="N652" t="str">
        <f>_xlfn.XLOOKUP(E652,tPacotes[ID_Pacote],tPacotes[Categoria])</f>
        <v>Aventura</v>
      </c>
      <c r="O652" t="str">
        <f>_xlfn.XLOOKUP(D652,tClientes[ID_Cliente],tClientes[UF])</f>
        <v>PE</v>
      </c>
    </row>
    <row r="653" spans="1:15" x14ac:dyDescent="0.3">
      <c r="A653">
        <v>652</v>
      </c>
      <c r="B653" s="3">
        <v>45972</v>
      </c>
      <c r="C653" s="3">
        <v>46003</v>
      </c>
      <c r="D653">
        <v>59</v>
      </c>
      <c r="E653">
        <v>10</v>
      </c>
      <c r="F653">
        <v>2</v>
      </c>
      <c r="G653" s="2">
        <v>23000</v>
      </c>
      <c r="H653" s="4">
        <v>0.1</v>
      </c>
      <c r="I653" s="2">
        <v>20700</v>
      </c>
      <c r="J653" t="s">
        <v>253</v>
      </c>
      <c r="K653" t="s">
        <v>254</v>
      </c>
      <c r="L653">
        <v>2</v>
      </c>
      <c r="M653" t="str">
        <f>_xlfn.XLOOKUP(E653,tPacotes[ID_Pacote],tPacotes[Pacote])</f>
        <v>Orlando Parques</v>
      </c>
      <c r="N653" t="str">
        <f>_xlfn.XLOOKUP(E653,tPacotes[ID_Pacote],tPacotes[Categoria])</f>
        <v>Parques</v>
      </c>
      <c r="O653" t="str">
        <f>_xlfn.XLOOKUP(D653,tClientes[ID_Cliente],tClientes[UF])</f>
        <v>DF</v>
      </c>
    </row>
    <row r="654" spans="1:15" x14ac:dyDescent="0.3">
      <c r="A654">
        <v>653</v>
      </c>
      <c r="B654" s="3">
        <v>45972</v>
      </c>
      <c r="C654" s="3">
        <v>45975</v>
      </c>
      <c r="D654">
        <v>75</v>
      </c>
      <c r="E654">
        <v>6</v>
      </c>
      <c r="F654">
        <v>2</v>
      </c>
      <c r="G654" s="2">
        <v>4200</v>
      </c>
      <c r="H654" s="4">
        <v>0</v>
      </c>
      <c r="I654" s="2">
        <v>4200</v>
      </c>
      <c r="J654" t="s">
        <v>253</v>
      </c>
      <c r="K654" t="s">
        <v>254</v>
      </c>
      <c r="L654">
        <v>5</v>
      </c>
      <c r="M654" t="str">
        <f>_xlfn.XLOOKUP(E654,tPacotes[ID_Pacote],tPacotes[Pacote])</f>
        <v>Foz do Iguaçu</v>
      </c>
      <c r="N654" t="str">
        <f>_xlfn.XLOOKUP(E654,tPacotes[ID_Pacote],tPacotes[Categoria])</f>
        <v>Natureza</v>
      </c>
      <c r="O654" t="str">
        <f>_xlfn.XLOOKUP(D654,tClientes[ID_Cliente],tClientes[UF])</f>
        <v>RS</v>
      </c>
    </row>
    <row r="655" spans="1:15" x14ac:dyDescent="0.3">
      <c r="A655">
        <v>654</v>
      </c>
      <c r="B655" s="3">
        <v>45972</v>
      </c>
      <c r="C655" s="3">
        <v>45995</v>
      </c>
      <c r="D655">
        <v>111</v>
      </c>
      <c r="E655">
        <v>13</v>
      </c>
      <c r="F655">
        <v>1</v>
      </c>
      <c r="G655" s="2">
        <v>7300</v>
      </c>
      <c r="H655" s="4">
        <v>0</v>
      </c>
      <c r="I655" s="2">
        <v>7300</v>
      </c>
      <c r="J655" t="s">
        <v>256</v>
      </c>
      <c r="K655" t="s">
        <v>254</v>
      </c>
      <c r="L655">
        <v>3</v>
      </c>
      <c r="M655" t="str">
        <f>_xlfn.XLOOKUP(E655,tPacotes[ID_Pacote],tPacotes[Pacote])</f>
        <v>Machu Picchu</v>
      </c>
      <c r="N655" t="str">
        <f>_xlfn.XLOOKUP(E655,tPacotes[ID_Pacote],tPacotes[Categoria])</f>
        <v>Aventura</v>
      </c>
      <c r="O655" t="str">
        <f>_xlfn.XLOOKUP(D655,tClientes[ID_Cliente],tClientes[UF])</f>
        <v>RJ</v>
      </c>
    </row>
    <row r="656" spans="1:15" x14ac:dyDescent="0.3">
      <c r="A656">
        <v>655</v>
      </c>
      <c r="B656" s="3">
        <v>45972</v>
      </c>
      <c r="C656" s="3">
        <v>46058</v>
      </c>
      <c r="D656">
        <v>37</v>
      </c>
      <c r="E656">
        <v>9</v>
      </c>
      <c r="F656">
        <v>2</v>
      </c>
      <c r="G656" s="2">
        <v>17800</v>
      </c>
      <c r="H656" s="4">
        <v>0</v>
      </c>
      <c r="I656" s="2">
        <v>17800</v>
      </c>
      <c r="J656" t="s">
        <v>253</v>
      </c>
      <c r="K656" t="s">
        <v>254</v>
      </c>
      <c r="L656">
        <v>5</v>
      </c>
      <c r="M656" t="str">
        <f>_xlfn.XLOOKUP(E656,tPacotes[ID_Pacote],tPacotes[Pacote])</f>
        <v>Cancún All Inclusive</v>
      </c>
      <c r="N656" t="str">
        <f>_xlfn.XLOOKUP(E656,tPacotes[ID_Pacote],tPacotes[Categoria])</f>
        <v>Praia</v>
      </c>
      <c r="O656" t="str">
        <f>_xlfn.XLOOKUP(D656,tClientes[ID_Cliente],tClientes[UF])</f>
        <v>DF</v>
      </c>
    </row>
    <row r="657" spans="1:15" x14ac:dyDescent="0.3">
      <c r="A657">
        <v>656</v>
      </c>
      <c r="B657" s="3">
        <v>45972</v>
      </c>
      <c r="C657" s="3">
        <v>45986</v>
      </c>
      <c r="D657">
        <v>64</v>
      </c>
      <c r="E657">
        <v>4</v>
      </c>
      <c r="F657">
        <v>4</v>
      </c>
      <c r="G657" s="2">
        <v>27600</v>
      </c>
      <c r="H657" s="4">
        <v>0.1</v>
      </c>
      <c r="I657" s="2">
        <v>24840</v>
      </c>
      <c r="J657" t="s">
        <v>257</v>
      </c>
      <c r="K657" t="s">
        <v>254</v>
      </c>
      <c r="L657">
        <v>4</v>
      </c>
      <c r="M657" t="str">
        <f>_xlfn.XLOOKUP(E657,tPacotes[ID_Pacote],tPacotes[Pacote])</f>
        <v>Fernando de Noronha</v>
      </c>
      <c r="N657" t="str">
        <f>_xlfn.XLOOKUP(E657,tPacotes[ID_Pacote],tPacotes[Categoria])</f>
        <v>Praia</v>
      </c>
      <c r="O657" t="str">
        <f>_xlfn.XLOOKUP(D657,tClientes[ID_Cliente],tClientes[UF])</f>
        <v>PE</v>
      </c>
    </row>
    <row r="658" spans="1:15" x14ac:dyDescent="0.3">
      <c r="A658">
        <v>657</v>
      </c>
      <c r="B658" s="3">
        <v>45972</v>
      </c>
      <c r="C658" s="3">
        <v>46017</v>
      </c>
      <c r="D658">
        <v>67</v>
      </c>
      <c r="E658">
        <v>4</v>
      </c>
      <c r="F658">
        <v>2</v>
      </c>
      <c r="G658" s="2">
        <v>13800</v>
      </c>
      <c r="H658" s="4">
        <v>0</v>
      </c>
      <c r="I658" s="2">
        <v>13800</v>
      </c>
      <c r="J658" t="s">
        <v>257</v>
      </c>
      <c r="K658" t="s">
        <v>254</v>
      </c>
      <c r="L658">
        <v>4</v>
      </c>
      <c r="M658" t="str">
        <f>_xlfn.XLOOKUP(E658,tPacotes[ID_Pacote],tPacotes[Pacote])</f>
        <v>Fernando de Noronha</v>
      </c>
      <c r="N658" t="str">
        <f>_xlfn.XLOOKUP(E658,tPacotes[ID_Pacote],tPacotes[Categoria])</f>
        <v>Praia</v>
      </c>
      <c r="O658" t="str">
        <f>_xlfn.XLOOKUP(D658,tClientes[ID_Cliente],tClientes[UF])</f>
        <v>RJ</v>
      </c>
    </row>
    <row r="659" spans="1:15" x14ac:dyDescent="0.3">
      <c r="A659">
        <v>658</v>
      </c>
      <c r="B659" s="3">
        <v>45973</v>
      </c>
      <c r="C659" s="3">
        <v>45987</v>
      </c>
      <c r="D659">
        <v>2</v>
      </c>
      <c r="E659">
        <v>8</v>
      </c>
      <c r="F659">
        <v>2</v>
      </c>
      <c r="G659" s="2">
        <v>11800</v>
      </c>
      <c r="H659" s="4">
        <v>0</v>
      </c>
      <c r="I659" s="2">
        <v>11800</v>
      </c>
      <c r="J659" t="s">
        <v>257</v>
      </c>
      <c r="K659" t="s">
        <v>254</v>
      </c>
      <c r="L659">
        <v>4</v>
      </c>
      <c r="M659" t="str">
        <f>_xlfn.XLOOKUP(E659,tPacotes[ID_Pacote],tPacotes[Pacote])</f>
        <v>Santiago e Neve</v>
      </c>
      <c r="N659" t="str">
        <f>_xlfn.XLOOKUP(E659,tPacotes[ID_Pacote],tPacotes[Categoria])</f>
        <v>Inverno</v>
      </c>
      <c r="O659" t="str">
        <f>_xlfn.XLOOKUP(D659,tClientes[ID_Cliente],tClientes[UF])</f>
        <v>RJ</v>
      </c>
    </row>
    <row r="660" spans="1:15" x14ac:dyDescent="0.3">
      <c r="A660">
        <v>659</v>
      </c>
      <c r="B660" s="3">
        <v>45973</v>
      </c>
      <c r="C660" s="3">
        <v>46059</v>
      </c>
      <c r="D660">
        <v>124</v>
      </c>
      <c r="E660">
        <v>8</v>
      </c>
      <c r="F660">
        <v>2</v>
      </c>
      <c r="G660" s="2">
        <v>11800</v>
      </c>
      <c r="H660" s="4">
        <v>0.1</v>
      </c>
      <c r="I660" s="2">
        <v>10620</v>
      </c>
      <c r="J660" t="s">
        <v>253</v>
      </c>
      <c r="K660" t="s">
        <v>254</v>
      </c>
      <c r="L660">
        <v>4</v>
      </c>
      <c r="M660" t="str">
        <f>_xlfn.XLOOKUP(E660,tPacotes[ID_Pacote],tPacotes[Pacote])</f>
        <v>Santiago e Neve</v>
      </c>
      <c r="N660" t="str">
        <f>_xlfn.XLOOKUP(E660,tPacotes[ID_Pacote],tPacotes[Categoria])</f>
        <v>Inverno</v>
      </c>
      <c r="O660" t="str">
        <f>_xlfn.XLOOKUP(D660,tClientes[ID_Cliente],tClientes[UF])</f>
        <v>BA</v>
      </c>
    </row>
    <row r="661" spans="1:15" x14ac:dyDescent="0.3">
      <c r="A661">
        <v>660</v>
      </c>
      <c r="B661" s="3">
        <v>45974</v>
      </c>
      <c r="C661" s="3">
        <v>46030</v>
      </c>
      <c r="D661">
        <v>141</v>
      </c>
      <c r="E661">
        <v>9</v>
      </c>
      <c r="F661">
        <v>2</v>
      </c>
      <c r="G661" s="2">
        <v>17800</v>
      </c>
      <c r="H661" s="4">
        <v>0</v>
      </c>
      <c r="I661" s="2">
        <v>17800</v>
      </c>
      <c r="J661" t="s">
        <v>255</v>
      </c>
      <c r="K661" t="s">
        <v>254</v>
      </c>
      <c r="L661">
        <v>4</v>
      </c>
      <c r="M661" t="str">
        <f>_xlfn.XLOOKUP(E661,tPacotes[ID_Pacote],tPacotes[Pacote])</f>
        <v>Cancún All Inclusive</v>
      </c>
      <c r="N661" t="str">
        <f>_xlfn.XLOOKUP(E661,tPacotes[ID_Pacote],tPacotes[Categoria])</f>
        <v>Praia</v>
      </c>
      <c r="O661" t="str">
        <f>_xlfn.XLOOKUP(D661,tClientes[ID_Cliente],tClientes[UF])</f>
        <v>DF</v>
      </c>
    </row>
    <row r="662" spans="1:15" x14ac:dyDescent="0.3">
      <c r="A662">
        <v>661</v>
      </c>
      <c r="B662" s="3">
        <v>45975</v>
      </c>
      <c r="C662" s="3">
        <v>46028</v>
      </c>
      <c r="D662">
        <v>142</v>
      </c>
      <c r="E662">
        <v>3</v>
      </c>
      <c r="F662">
        <v>1</v>
      </c>
      <c r="G662" s="2">
        <v>2600</v>
      </c>
      <c r="H662" s="4">
        <v>0.05</v>
      </c>
      <c r="I662" s="2">
        <v>2470</v>
      </c>
      <c r="J662" t="s">
        <v>253</v>
      </c>
      <c r="K662" t="s">
        <v>254</v>
      </c>
      <c r="L662">
        <v>5</v>
      </c>
      <c r="M662" t="str">
        <f>_xlfn.XLOOKUP(E662,tPacotes[ID_Pacote],tPacotes[Pacote])</f>
        <v>Serra Gaúcha</v>
      </c>
      <c r="N662" t="str">
        <f>_xlfn.XLOOKUP(E662,tPacotes[ID_Pacote],tPacotes[Categoria])</f>
        <v>Inverno</v>
      </c>
      <c r="O662" t="str">
        <f>_xlfn.XLOOKUP(D662,tClientes[ID_Cliente],tClientes[UF])</f>
        <v>RJ</v>
      </c>
    </row>
    <row r="663" spans="1:15" x14ac:dyDescent="0.3">
      <c r="A663">
        <v>662</v>
      </c>
      <c r="B663" s="3">
        <v>45975</v>
      </c>
      <c r="C663" s="3">
        <v>45978</v>
      </c>
      <c r="D663">
        <v>168</v>
      </c>
      <c r="E663">
        <v>3</v>
      </c>
      <c r="F663">
        <v>1</v>
      </c>
      <c r="G663" s="2">
        <v>2600</v>
      </c>
      <c r="H663" s="4">
        <v>0.05</v>
      </c>
      <c r="I663" s="2">
        <v>2470</v>
      </c>
      <c r="J663" t="s">
        <v>253</v>
      </c>
      <c r="K663" t="s">
        <v>254</v>
      </c>
      <c r="L663">
        <v>5</v>
      </c>
      <c r="M663" t="str">
        <f>_xlfn.XLOOKUP(E663,tPacotes[ID_Pacote],tPacotes[Pacote])</f>
        <v>Serra Gaúcha</v>
      </c>
      <c r="N663" t="str">
        <f>_xlfn.XLOOKUP(E663,tPacotes[ID_Pacote],tPacotes[Categoria])</f>
        <v>Inverno</v>
      </c>
      <c r="O663" t="str">
        <f>_xlfn.XLOOKUP(D663,tClientes[ID_Cliente],tClientes[UF])</f>
        <v>SP</v>
      </c>
    </row>
    <row r="664" spans="1:15" x14ac:dyDescent="0.3">
      <c r="A664">
        <v>663</v>
      </c>
      <c r="B664" s="3">
        <v>45976</v>
      </c>
      <c r="C664" s="3">
        <v>46067</v>
      </c>
      <c r="D664">
        <v>176</v>
      </c>
      <c r="E664">
        <v>2</v>
      </c>
      <c r="F664">
        <v>2</v>
      </c>
      <c r="G664" s="2">
        <v>3600</v>
      </c>
      <c r="H664" s="4">
        <v>0</v>
      </c>
      <c r="I664" s="2">
        <v>3600</v>
      </c>
      <c r="J664" t="s">
        <v>257</v>
      </c>
      <c r="K664" t="s">
        <v>258</v>
      </c>
      <c r="M664" t="str">
        <f>_xlfn.XLOOKUP(E664,tPacotes[ID_Pacote],tPacotes[Pacote])</f>
        <v>Rio Cidade Maravilhosa</v>
      </c>
      <c r="N664" t="str">
        <f>_xlfn.XLOOKUP(E664,tPacotes[ID_Pacote],tPacotes[Categoria])</f>
        <v>Cultural</v>
      </c>
      <c r="O664" t="str">
        <f>_xlfn.XLOOKUP(D664,tClientes[ID_Cliente],tClientes[UF])</f>
        <v>SP</v>
      </c>
    </row>
    <row r="665" spans="1:15" x14ac:dyDescent="0.3">
      <c r="A665">
        <v>664</v>
      </c>
      <c r="B665" s="3">
        <v>45976</v>
      </c>
      <c r="C665" s="3">
        <v>45994</v>
      </c>
      <c r="D665">
        <v>95</v>
      </c>
      <c r="E665">
        <v>15</v>
      </c>
      <c r="F665">
        <v>1</v>
      </c>
      <c r="G665" s="2">
        <v>3100</v>
      </c>
      <c r="H665" s="4">
        <v>0.05</v>
      </c>
      <c r="I665" s="2">
        <v>2945</v>
      </c>
      <c r="J665" t="s">
        <v>255</v>
      </c>
      <c r="K665" t="s">
        <v>254</v>
      </c>
      <c r="L665">
        <v>4</v>
      </c>
      <c r="M665" t="str">
        <f>_xlfn.XLOOKUP(E665,tPacotes[ID_Pacote],tPacotes[Pacote])</f>
        <v>Jericoacoara</v>
      </c>
      <c r="N665" t="str">
        <f>_xlfn.XLOOKUP(E665,tPacotes[ID_Pacote],tPacotes[Categoria])</f>
        <v>Praia</v>
      </c>
      <c r="O665" t="str">
        <f>_xlfn.XLOOKUP(D665,tClientes[ID_Cliente],tClientes[UF])</f>
        <v>PR</v>
      </c>
    </row>
    <row r="666" spans="1:15" x14ac:dyDescent="0.3">
      <c r="A666">
        <v>665</v>
      </c>
      <c r="B666" s="3">
        <v>45976</v>
      </c>
      <c r="C666" s="3">
        <v>46050</v>
      </c>
      <c r="D666">
        <v>84</v>
      </c>
      <c r="E666">
        <v>4</v>
      </c>
      <c r="F666">
        <v>2</v>
      </c>
      <c r="G666" s="2">
        <v>13800</v>
      </c>
      <c r="H666" s="4">
        <v>0</v>
      </c>
      <c r="I666" s="2">
        <v>13800</v>
      </c>
      <c r="J666" t="s">
        <v>253</v>
      </c>
      <c r="K666" t="s">
        <v>254</v>
      </c>
      <c r="L666">
        <v>3</v>
      </c>
      <c r="M666" t="str">
        <f>_xlfn.XLOOKUP(E666,tPacotes[ID_Pacote],tPacotes[Pacote])</f>
        <v>Fernando de Noronha</v>
      </c>
      <c r="N666" t="str">
        <f>_xlfn.XLOOKUP(E666,tPacotes[ID_Pacote],tPacotes[Categoria])</f>
        <v>Praia</v>
      </c>
      <c r="O666" t="str">
        <f>_xlfn.XLOOKUP(D666,tClientes[ID_Cliente],tClientes[UF])</f>
        <v>RS</v>
      </c>
    </row>
    <row r="667" spans="1:15" x14ac:dyDescent="0.3">
      <c r="A667">
        <v>666</v>
      </c>
      <c r="B667" s="3">
        <v>45977</v>
      </c>
      <c r="C667" s="3">
        <v>46131</v>
      </c>
      <c r="D667">
        <v>112</v>
      </c>
      <c r="E667">
        <v>7</v>
      </c>
      <c r="F667">
        <v>2</v>
      </c>
      <c r="G667" s="2">
        <v>8400</v>
      </c>
      <c r="H667" s="4">
        <v>0</v>
      </c>
      <c r="I667" s="2">
        <v>8400</v>
      </c>
      <c r="J667" t="s">
        <v>257</v>
      </c>
      <c r="K667" t="s">
        <v>254</v>
      </c>
      <c r="L667">
        <v>4</v>
      </c>
      <c r="M667" t="str">
        <f>_xlfn.XLOOKUP(E667,tPacotes[ID_Pacote],tPacotes[Pacote])</f>
        <v>Buenos Aires Clássica</v>
      </c>
      <c r="N667" t="str">
        <f>_xlfn.XLOOKUP(E667,tPacotes[ID_Pacote],tPacotes[Categoria])</f>
        <v>Cultural</v>
      </c>
      <c r="O667" t="str">
        <f>_xlfn.XLOOKUP(D667,tClientes[ID_Cliente],tClientes[UF])</f>
        <v>SP</v>
      </c>
    </row>
    <row r="668" spans="1:15" x14ac:dyDescent="0.3">
      <c r="A668">
        <v>667</v>
      </c>
      <c r="B668" s="3">
        <v>45977</v>
      </c>
      <c r="C668" s="3">
        <v>46113</v>
      </c>
      <c r="D668">
        <v>91</v>
      </c>
      <c r="E668">
        <v>10</v>
      </c>
      <c r="F668">
        <v>1</v>
      </c>
      <c r="G668" s="2">
        <v>11500</v>
      </c>
      <c r="H668" s="4">
        <v>0</v>
      </c>
      <c r="I668" s="2">
        <v>11500</v>
      </c>
      <c r="J668" t="s">
        <v>253</v>
      </c>
      <c r="K668" t="s">
        <v>258</v>
      </c>
      <c r="M668" t="str">
        <f>_xlfn.XLOOKUP(E668,tPacotes[ID_Pacote],tPacotes[Pacote])</f>
        <v>Orlando Parques</v>
      </c>
      <c r="N668" t="str">
        <f>_xlfn.XLOOKUP(E668,tPacotes[ID_Pacote],tPacotes[Categoria])</f>
        <v>Parques</v>
      </c>
      <c r="O668" t="str">
        <f>_xlfn.XLOOKUP(D668,tClientes[ID_Cliente],tClientes[UF])</f>
        <v>SP</v>
      </c>
    </row>
    <row r="669" spans="1:15" x14ac:dyDescent="0.3">
      <c r="A669">
        <v>668</v>
      </c>
      <c r="B669" s="3">
        <v>45978</v>
      </c>
      <c r="C669" s="3">
        <v>46013</v>
      </c>
      <c r="D669">
        <v>191</v>
      </c>
      <c r="E669">
        <v>9</v>
      </c>
      <c r="F669">
        <v>2</v>
      </c>
      <c r="G669" s="2">
        <v>17800</v>
      </c>
      <c r="H669" s="4">
        <v>0</v>
      </c>
      <c r="I669" s="2">
        <v>17800</v>
      </c>
      <c r="J669" t="s">
        <v>257</v>
      </c>
      <c r="K669" t="s">
        <v>254</v>
      </c>
      <c r="L669">
        <v>4</v>
      </c>
      <c r="M669" t="str">
        <f>_xlfn.XLOOKUP(E669,tPacotes[ID_Pacote],tPacotes[Pacote])</f>
        <v>Cancún All Inclusive</v>
      </c>
      <c r="N669" t="str">
        <f>_xlfn.XLOOKUP(E669,tPacotes[ID_Pacote],tPacotes[Categoria])</f>
        <v>Praia</v>
      </c>
      <c r="O669" t="str">
        <f>_xlfn.XLOOKUP(D669,tClientes[ID_Cliente],tClientes[UF])</f>
        <v>SP</v>
      </c>
    </row>
    <row r="670" spans="1:15" x14ac:dyDescent="0.3">
      <c r="A670">
        <v>669</v>
      </c>
      <c r="B670" s="3">
        <v>45978</v>
      </c>
      <c r="C670" s="3">
        <v>46031</v>
      </c>
      <c r="D670">
        <v>178</v>
      </c>
      <c r="E670">
        <v>14</v>
      </c>
      <c r="F670">
        <v>2</v>
      </c>
      <c r="G670" s="2">
        <v>5800</v>
      </c>
      <c r="H670" s="4">
        <v>0</v>
      </c>
      <c r="I670" s="2">
        <v>5800</v>
      </c>
      <c r="J670" t="s">
        <v>256</v>
      </c>
      <c r="K670" t="s">
        <v>254</v>
      </c>
      <c r="L670">
        <v>3</v>
      </c>
      <c r="M670" t="str">
        <f>_xlfn.XLOOKUP(E670,tPacotes[ID_Pacote],tPacotes[Pacote])</f>
        <v>Lençóis Maranhenses</v>
      </c>
      <c r="N670" t="str">
        <f>_xlfn.XLOOKUP(E670,tPacotes[ID_Pacote],tPacotes[Categoria])</f>
        <v>Natureza</v>
      </c>
      <c r="O670" t="str">
        <f>_xlfn.XLOOKUP(D670,tClientes[ID_Cliente],tClientes[UF])</f>
        <v>PE</v>
      </c>
    </row>
    <row r="671" spans="1:15" x14ac:dyDescent="0.3">
      <c r="A671">
        <v>670</v>
      </c>
      <c r="B671" s="3">
        <v>45979</v>
      </c>
      <c r="C671" s="3">
        <v>45997</v>
      </c>
      <c r="D671">
        <v>149</v>
      </c>
      <c r="E671">
        <v>1</v>
      </c>
      <c r="F671">
        <v>2</v>
      </c>
      <c r="G671" s="2">
        <v>6400</v>
      </c>
      <c r="H671" s="4">
        <v>0.05</v>
      </c>
      <c r="I671" s="2">
        <v>6080</v>
      </c>
      <c r="J671" t="s">
        <v>255</v>
      </c>
      <c r="K671" t="s">
        <v>254</v>
      </c>
      <c r="L671">
        <v>5</v>
      </c>
      <c r="M671" t="str">
        <f>_xlfn.XLOOKUP(E671,tPacotes[ID_Pacote],tPacotes[Pacote])</f>
        <v>Nordeste Encantado</v>
      </c>
      <c r="N671" t="str">
        <f>_xlfn.XLOOKUP(E671,tPacotes[ID_Pacote],tPacotes[Categoria])</f>
        <v>Praia</v>
      </c>
      <c r="O671" t="str">
        <f>_xlfn.XLOOKUP(D671,tClientes[ID_Cliente],tClientes[UF])</f>
        <v>SP</v>
      </c>
    </row>
    <row r="672" spans="1:15" x14ac:dyDescent="0.3">
      <c r="A672">
        <v>671</v>
      </c>
      <c r="B672" s="3">
        <v>45979</v>
      </c>
      <c r="C672" s="3">
        <v>45994</v>
      </c>
      <c r="D672">
        <v>17</v>
      </c>
      <c r="E672">
        <v>7</v>
      </c>
      <c r="F672">
        <v>1</v>
      </c>
      <c r="G672" s="2">
        <v>4200</v>
      </c>
      <c r="H672" s="4">
        <v>0</v>
      </c>
      <c r="I672" s="2">
        <v>4200</v>
      </c>
      <c r="J672" t="s">
        <v>255</v>
      </c>
      <c r="K672" t="s">
        <v>254</v>
      </c>
      <c r="L672">
        <v>4</v>
      </c>
      <c r="M672" t="str">
        <f>_xlfn.XLOOKUP(E672,tPacotes[ID_Pacote],tPacotes[Pacote])</f>
        <v>Buenos Aires Clássica</v>
      </c>
      <c r="N672" t="str">
        <f>_xlfn.XLOOKUP(E672,tPacotes[ID_Pacote],tPacotes[Categoria])</f>
        <v>Cultural</v>
      </c>
      <c r="O672" t="str">
        <f>_xlfn.XLOOKUP(D672,tClientes[ID_Cliente],tClientes[UF])</f>
        <v>RJ</v>
      </c>
    </row>
    <row r="673" spans="1:15" x14ac:dyDescent="0.3">
      <c r="A673">
        <v>672</v>
      </c>
      <c r="B673" s="3">
        <v>45979</v>
      </c>
      <c r="C673" s="3">
        <v>45985</v>
      </c>
      <c r="D673">
        <v>129</v>
      </c>
      <c r="E673">
        <v>15</v>
      </c>
      <c r="F673">
        <v>5</v>
      </c>
      <c r="G673" s="2">
        <v>15500</v>
      </c>
      <c r="H673" s="4">
        <v>0.15</v>
      </c>
      <c r="I673" s="2">
        <v>13175</v>
      </c>
      <c r="J673" t="s">
        <v>257</v>
      </c>
      <c r="K673" t="s">
        <v>254</v>
      </c>
      <c r="L673">
        <v>1</v>
      </c>
      <c r="M673" t="str">
        <f>_xlfn.XLOOKUP(E673,tPacotes[ID_Pacote],tPacotes[Pacote])</f>
        <v>Jericoacoara</v>
      </c>
      <c r="N673" t="str">
        <f>_xlfn.XLOOKUP(E673,tPacotes[ID_Pacote],tPacotes[Categoria])</f>
        <v>Praia</v>
      </c>
      <c r="O673" t="str">
        <f>_xlfn.XLOOKUP(D673,tClientes[ID_Cliente],tClientes[UF])</f>
        <v>MG</v>
      </c>
    </row>
    <row r="674" spans="1:15" x14ac:dyDescent="0.3">
      <c r="A674">
        <v>673</v>
      </c>
      <c r="B674" s="3">
        <v>45980</v>
      </c>
      <c r="C674" s="3">
        <v>46156</v>
      </c>
      <c r="D674">
        <v>163</v>
      </c>
      <c r="E674">
        <v>1</v>
      </c>
      <c r="F674">
        <v>2</v>
      </c>
      <c r="G674" s="2">
        <v>6400</v>
      </c>
      <c r="H674" s="4">
        <v>0</v>
      </c>
      <c r="I674" s="2">
        <v>6400</v>
      </c>
      <c r="J674" t="s">
        <v>255</v>
      </c>
      <c r="K674" t="s">
        <v>254</v>
      </c>
      <c r="L674">
        <v>3</v>
      </c>
      <c r="M674" t="str">
        <f>_xlfn.XLOOKUP(E674,tPacotes[ID_Pacote],tPacotes[Pacote])</f>
        <v>Nordeste Encantado</v>
      </c>
      <c r="N674" t="str">
        <f>_xlfn.XLOOKUP(E674,tPacotes[ID_Pacote],tPacotes[Categoria])</f>
        <v>Praia</v>
      </c>
      <c r="O674" t="str">
        <f>_xlfn.XLOOKUP(D674,tClientes[ID_Cliente],tClientes[UF])</f>
        <v>DF</v>
      </c>
    </row>
    <row r="675" spans="1:15" x14ac:dyDescent="0.3">
      <c r="A675">
        <v>674</v>
      </c>
      <c r="B675" s="3">
        <v>45980</v>
      </c>
      <c r="C675" s="3">
        <v>46000</v>
      </c>
      <c r="D675">
        <v>95</v>
      </c>
      <c r="E675">
        <v>15</v>
      </c>
      <c r="F675">
        <v>2</v>
      </c>
      <c r="G675" s="2">
        <v>6200</v>
      </c>
      <c r="H675" s="4">
        <v>0</v>
      </c>
      <c r="I675" s="2">
        <v>6200</v>
      </c>
      <c r="J675" t="s">
        <v>255</v>
      </c>
      <c r="K675" t="s">
        <v>254</v>
      </c>
      <c r="L675">
        <v>3</v>
      </c>
      <c r="M675" t="str">
        <f>_xlfn.XLOOKUP(E675,tPacotes[ID_Pacote],tPacotes[Pacote])</f>
        <v>Jericoacoara</v>
      </c>
      <c r="N675" t="str">
        <f>_xlfn.XLOOKUP(E675,tPacotes[ID_Pacote],tPacotes[Categoria])</f>
        <v>Praia</v>
      </c>
      <c r="O675" t="str">
        <f>_xlfn.XLOOKUP(D675,tClientes[ID_Cliente],tClientes[UF])</f>
        <v>PR</v>
      </c>
    </row>
    <row r="676" spans="1:15" x14ac:dyDescent="0.3">
      <c r="A676">
        <v>675</v>
      </c>
      <c r="B676" s="3">
        <v>45981</v>
      </c>
      <c r="C676" s="3">
        <v>45985</v>
      </c>
      <c r="D676">
        <v>79</v>
      </c>
      <c r="E676">
        <v>7</v>
      </c>
      <c r="F676">
        <v>1</v>
      </c>
      <c r="G676" s="2">
        <v>4200</v>
      </c>
      <c r="H676" s="4">
        <v>0</v>
      </c>
      <c r="I676" s="2">
        <v>4200</v>
      </c>
      <c r="J676" t="s">
        <v>256</v>
      </c>
      <c r="K676" t="s">
        <v>258</v>
      </c>
      <c r="M676" t="str">
        <f>_xlfn.XLOOKUP(E676,tPacotes[ID_Pacote],tPacotes[Pacote])</f>
        <v>Buenos Aires Clássica</v>
      </c>
      <c r="N676" t="str">
        <f>_xlfn.XLOOKUP(E676,tPacotes[ID_Pacote],tPacotes[Categoria])</f>
        <v>Cultural</v>
      </c>
      <c r="O676" t="str">
        <f>_xlfn.XLOOKUP(D676,tClientes[ID_Cliente],tClientes[UF])</f>
        <v>RJ</v>
      </c>
    </row>
    <row r="677" spans="1:15" x14ac:dyDescent="0.3">
      <c r="A677">
        <v>676</v>
      </c>
      <c r="B677" s="3">
        <v>45981</v>
      </c>
      <c r="C677" s="3">
        <v>46024</v>
      </c>
      <c r="D677">
        <v>105</v>
      </c>
      <c r="E677">
        <v>11</v>
      </c>
      <c r="F677">
        <v>1</v>
      </c>
      <c r="G677" s="2">
        <v>15800</v>
      </c>
      <c r="H677" s="4">
        <v>0</v>
      </c>
      <c r="I677" s="2">
        <v>15800</v>
      </c>
      <c r="J677" t="s">
        <v>257</v>
      </c>
      <c r="K677" t="s">
        <v>258</v>
      </c>
      <c r="M677" t="str">
        <f>_xlfn.XLOOKUP(E677,tPacotes[ID_Pacote],tPacotes[Pacote])</f>
        <v>Paris e Londres</v>
      </c>
      <c r="N677" t="str">
        <f>_xlfn.XLOOKUP(E677,tPacotes[ID_Pacote],tPacotes[Categoria])</f>
        <v>Cultural</v>
      </c>
      <c r="O677" t="str">
        <f>_xlfn.XLOOKUP(D677,tClientes[ID_Cliente],tClientes[UF])</f>
        <v>BA</v>
      </c>
    </row>
    <row r="678" spans="1:15" x14ac:dyDescent="0.3">
      <c r="A678">
        <v>677</v>
      </c>
      <c r="B678" s="3">
        <v>45981</v>
      </c>
      <c r="C678" s="3">
        <v>46068</v>
      </c>
      <c r="D678">
        <v>9</v>
      </c>
      <c r="E678">
        <v>14</v>
      </c>
      <c r="F678">
        <v>3</v>
      </c>
      <c r="G678" s="2">
        <v>8700</v>
      </c>
      <c r="H678" s="4">
        <v>0.05</v>
      </c>
      <c r="I678" s="2">
        <v>8265</v>
      </c>
      <c r="J678" t="s">
        <v>255</v>
      </c>
      <c r="K678" t="s">
        <v>254</v>
      </c>
      <c r="L678">
        <v>5</v>
      </c>
      <c r="M678" t="str">
        <f>_xlfn.XLOOKUP(E678,tPacotes[ID_Pacote],tPacotes[Pacote])</f>
        <v>Lençóis Maranhenses</v>
      </c>
      <c r="N678" t="str">
        <f>_xlfn.XLOOKUP(E678,tPacotes[ID_Pacote],tPacotes[Categoria])</f>
        <v>Natureza</v>
      </c>
      <c r="O678" t="str">
        <f>_xlfn.XLOOKUP(D678,tClientes[ID_Cliente],tClientes[UF])</f>
        <v>MG</v>
      </c>
    </row>
    <row r="679" spans="1:15" x14ac:dyDescent="0.3">
      <c r="A679">
        <v>678</v>
      </c>
      <c r="B679" s="3">
        <v>45981</v>
      </c>
      <c r="C679" s="3">
        <v>46069</v>
      </c>
      <c r="D679">
        <v>110</v>
      </c>
      <c r="E679">
        <v>9</v>
      </c>
      <c r="F679">
        <v>3</v>
      </c>
      <c r="G679" s="2">
        <v>26700</v>
      </c>
      <c r="H679" s="4">
        <v>0</v>
      </c>
      <c r="I679" s="2">
        <v>26700</v>
      </c>
      <c r="J679" t="s">
        <v>253</v>
      </c>
      <c r="K679" t="s">
        <v>258</v>
      </c>
      <c r="M679" t="str">
        <f>_xlfn.XLOOKUP(E679,tPacotes[ID_Pacote],tPacotes[Pacote])</f>
        <v>Cancún All Inclusive</v>
      </c>
      <c r="N679" t="str">
        <f>_xlfn.XLOOKUP(E679,tPacotes[ID_Pacote],tPacotes[Categoria])</f>
        <v>Praia</v>
      </c>
      <c r="O679" t="str">
        <f>_xlfn.XLOOKUP(D679,tClientes[ID_Cliente],tClientes[UF])</f>
        <v>SP</v>
      </c>
    </row>
    <row r="680" spans="1:15" x14ac:dyDescent="0.3">
      <c r="A680">
        <v>679</v>
      </c>
      <c r="B680" s="3">
        <v>45981</v>
      </c>
      <c r="C680" s="3">
        <v>45992</v>
      </c>
      <c r="D680">
        <v>119</v>
      </c>
      <c r="E680">
        <v>1</v>
      </c>
      <c r="F680">
        <v>1</v>
      </c>
      <c r="G680" s="2">
        <v>3200</v>
      </c>
      <c r="H680" s="4">
        <v>0.1</v>
      </c>
      <c r="I680" s="2">
        <v>2880</v>
      </c>
      <c r="J680" t="s">
        <v>256</v>
      </c>
      <c r="K680" t="s">
        <v>254</v>
      </c>
      <c r="L680">
        <v>3</v>
      </c>
      <c r="M680" t="str">
        <f>_xlfn.XLOOKUP(E680,tPacotes[ID_Pacote],tPacotes[Pacote])</f>
        <v>Nordeste Encantado</v>
      </c>
      <c r="N680" t="str">
        <f>_xlfn.XLOOKUP(E680,tPacotes[ID_Pacote],tPacotes[Categoria])</f>
        <v>Praia</v>
      </c>
      <c r="O680" t="str">
        <f>_xlfn.XLOOKUP(D680,tClientes[ID_Cliente],tClientes[UF])</f>
        <v>SP</v>
      </c>
    </row>
    <row r="681" spans="1:15" x14ac:dyDescent="0.3">
      <c r="A681">
        <v>680</v>
      </c>
      <c r="B681" s="3">
        <v>45982</v>
      </c>
      <c r="C681" s="3">
        <v>46042</v>
      </c>
      <c r="D681">
        <v>188</v>
      </c>
      <c r="E681">
        <v>1</v>
      </c>
      <c r="F681">
        <v>1</v>
      </c>
      <c r="G681" s="2">
        <v>3200</v>
      </c>
      <c r="H681" s="4">
        <v>0</v>
      </c>
      <c r="I681" s="2">
        <v>3200</v>
      </c>
      <c r="J681" t="s">
        <v>253</v>
      </c>
      <c r="K681" t="s">
        <v>254</v>
      </c>
      <c r="L681">
        <v>5</v>
      </c>
      <c r="M681" t="str">
        <f>_xlfn.XLOOKUP(E681,tPacotes[ID_Pacote],tPacotes[Pacote])</f>
        <v>Nordeste Encantado</v>
      </c>
      <c r="N681" t="str">
        <f>_xlfn.XLOOKUP(E681,tPacotes[ID_Pacote],tPacotes[Categoria])</f>
        <v>Praia</v>
      </c>
      <c r="O681" t="str">
        <f>_xlfn.XLOOKUP(D681,tClientes[ID_Cliente],tClientes[UF])</f>
        <v>SP</v>
      </c>
    </row>
    <row r="682" spans="1:15" x14ac:dyDescent="0.3">
      <c r="A682">
        <v>681</v>
      </c>
      <c r="B682" s="3">
        <v>45982</v>
      </c>
      <c r="C682" s="3">
        <v>46002</v>
      </c>
      <c r="D682">
        <v>172</v>
      </c>
      <c r="E682">
        <v>4</v>
      </c>
      <c r="F682">
        <v>2</v>
      </c>
      <c r="G682" s="2">
        <v>13800</v>
      </c>
      <c r="H682" s="4">
        <v>0</v>
      </c>
      <c r="I682" s="2">
        <v>13800</v>
      </c>
      <c r="J682" t="s">
        <v>257</v>
      </c>
      <c r="K682" t="s">
        <v>254</v>
      </c>
      <c r="L682">
        <v>4</v>
      </c>
      <c r="M682" t="str">
        <f>_xlfn.XLOOKUP(E682,tPacotes[ID_Pacote],tPacotes[Pacote])</f>
        <v>Fernando de Noronha</v>
      </c>
      <c r="N682" t="str">
        <f>_xlfn.XLOOKUP(E682,tPacotes[ID_Pacote],tPacotes[Categoria])</f>
        <v>Praia</v>
      </c>
      <c r="O682" t="str">
        <f>_xlfn.XLOOKUP(D682,tClientes[ID_Cliente],tClientes[UF])</f>
        <v>DF</v>
      </c>
    </row>
    <row r="683" spans="1:15" x14ac:dyDescent="0.3">
      <c r="A683">
        <v>682</v>
      </c>
      <c r="B683" s="3">
        <v>45984</v>
      </c>
      <c r="C683" s="3">
        <v>46065</v>
      </c>
      <c r="D683">
        <v>51</v>
      </c>
      <c r="E683">
        <v>5</v>
      </c>
      <c r="F683">
        <v>2</v>
      </c>
      <c r="G683" s="2">
        <v>6800</v>
      </c>
      <c r="H683" s="4">
        <v>0.1</v>
      </c>
      <c r="I683" s="2">
        <v>6120</v>
      </c>
      <c r="J683" t="s">
        <v>253</v>
      </c>
      <c r="K683" t="s">
        <v>254</v>
      </c>
      <c r="L683">
        <v>5</v>
      </c>
      <c r="M683" t="str">
        <f>_xlfn.XLOOKUP(E683,tPacotes[ID_Pacote],tPacotes[Pacote])</f>
        <v>Bonito Aventura</v>
      </c>
      <c r="N683" t="str">
        <f>_xlfn.XLOOKUP(E683,tPacotes[ID_Pacote],tPacotes[Categoria])</f>
        <v>Aventura</v>
      </c>
      <c r="O683" t="str">
        <f>_xlfn.XLOOKUP(D683,tClientes[ID_Cliente],tClientes[UF])</f>
        <v>RJ</v>
      </c>
    </row>
    <row r="684" spans="1:15" x14ac:dyDescent="0.3">
      <c r="A684">
        <v>683</v>
      </c>
      <c r="B684" s="3">
        <v>45984</v>
      </c>
      <c r="C684" s="3">
        <v>45987</v>
      </c>
      <c r="D684">
        <v>166</v>
      </c>
      <c r="E684">
        <v>6</v>
      </c>
      <c r="F684">
        <v>2</v>
      </c>
      <c r="G684" s="2">
        <v>4200</v>
      </c>
      <c r="H684" s="4">
        <v>0.05</v>
      </c>
      <c r="I684" s="2">
        <v>3990</v>
      </c>
      <c r="J684" t="s">
        <v>253</v>
      </c>
      <c r="K684" t="s">
        <v>258</v>
      </c>
      <c r="M684" t="str">
        <f>_xlfn.XLOOKUP(E684,tPacotes[ID_Pacote],tPacotes[Pacote])</f>
        <v>Foz do Iguaçu</v>
      </c>
      <c r="N684" t="str">
        <f>_xlfn.XLOOKUP(E684,tPacotes[ID_Pacote],tPacotes[Categoria])</f>
        <v>Natureza</v>
      </c>
      <c r="O684" t="str">
        <f>_xlfn.XLOOKUP(D684,tClientes[ID_Cliente],tClientes[UF])</f>
        <v>RJ</v>
      </c>
    </row>
    <row r="685" spans="1:15" x14ac:dyDescent="0.3">
      <c r="A685">
        <v>684</v>
      </c>
      <c r="B685" s="3">
        <v>45984</v>
      </c>
      <c r="C685" s="3">
        <v>45999</v>
      </c>
      <c r="D685">
        <v>139</v>
      </c>
      <c r="E685">
        <v>15</v>
      </c>
      <c r="F685">
        <v>4</v>
      </c>
      <c r="G685" s="2">
        <v>12400</v>
      </c>
      <c r="H685" s="4">
        <v>0.05</v>
      </c>
      <c r="I685" s="2">
        <v>11780</v>
      </c>
      <c r="J685" t="s">
        <v>255</v>
      </c>
      <c r="K685" t="s">
        <v>258</v>
      </c>
      <c r="M685" t="str">
        <f>_xlfn.XLOOKUP(E685,tPacotes[ID_Pacote],tPacotes[Pacote])</f>
        <v>Jericoacoara</v>
      </c>
      <c r="N685" t="str">
        <f>_xlfn.XLOOKUP(E685,tPacotes[ID_Pacote],tPacotes[Categoria])</f>
        <v>Praia</v>
      </c>
      <c r="O685" t="str">
        <f>_xlfn.XLOOKUP(D685,tClientes[ID_Cliente],tClientes[UF])</f>
        <v>SP</v>
      </c>
    </row>
    <row r="686" spans="1:15" x14ac:dyDescent="0.3">
      <c r="A686">
        <v>685</v>
      </c>
      <c r="B686" s="3">
        <v>45986</v>
      </c>
      <c r="C686" s="3">
        <v>46030</v>
      </c>
      <c r="D686">
        <v>110</v>
      </c>
      <c r="E686">
        <v>6</v>
      </c>
      <c r="F686">
        <v>4</v>
      </c>
      <c r="G686" s="2">
        <v>8400</v>
      </c>
      <c r="H686" s="4">
        <v>0.1</v>
      </c>
      <c r="I686" s="2">
        <v>7560</v>
      </c>
      <c r="J686" t="s">
        <v>253</v>
      </c>
      <c r="K686" t="s">
        <v>258</v>
      </c>
      <c r="M686" t="str">
        <f>_xlfn.XLOOKUP(E686,tPacotes[ID_Pacote],tPacotes[Pacote])</f>
        <v>Foz do Iguaçu</v>
      </c>
      <c r="N686" t="str">
        <f>_xlfn.XLOOKUP(E686,tPacotes[ID_Pacote],tPacotes[Categoria])</f>
        <v>Natureza</v>
      </c>
      <c r="O686" t="str">
        <f>_xlfn.XLOOKUP(D686,tClientes[ID_Cliente],tClientes[UF])</f>
        <v>SP</v>
      </c>
    </row>
    <row r="687" spans="1:15" x14ac:dyDescent="0.3">
      <c r="A687">
        <v>686</v>
      </c>
      <c r="B687" s="3">
        <v>45986</v>
      </c>
      <c r="C687" s="3">
        <v>45990</v>
      </c>
      <c r="D687">
        <v>98</v>
      </c>
      <c r="E687">
        <v>11</v>
      </c>
      <c r="F687">
        <v>5</v>
      </c>
      <c r="G687" s="2">
        <v>79000</v>
      </c>
      <c r="H687" s="4">
        <v>0</v>
      </c>
      <c r="I687" s="2">
        <v>79000</v>
      </c>
      <c r="J687" t="s">
        <v>257</v>
      </c>
      <c r="K687" t="s">
        <v>254</v>
      </c>
      <c r="L687">
        <v>4</v>
      </c>
      <c r="M687" t="str">
        <f>_xlfn.XLOOKUP(E687,tPacotes[ID_Pacote],tPacotes[Pacote])</f>
        <v>Paris e Londres</v>
      </c>
      <c r="N687" t="str">
        <f>_xlfn.XLOOKUP(E687,tPacotes[ID_Pacote],tPacotes[Categoria])</f>
        <v>Cultural</v>
      </c>
      <c r="O687" t="str">
        <f>_xlfn.XLOOKUP(D687,tClientes[ID_Cliente],tClientes[UF])</f>
        <v>SP</v>
      </c>
    </row>
    <row r="688" spans="1:15" x14ac:dyDescent="0.3">
      <c r="A688">
        <v>687</v>
      </c>
      <c r="B688" s="3">
        <v>45986</v>
      </c>
      <c r="C688" s="3">
        <v>45990</v>
      </c>
      <c r="D688">
        <v>144</v>
      </c>
      <c r="E688">
        <v>12</v>
      </c>
      <c r="F688">
        <v>1</v>
      </c>
      <c r="G688" s="2">
        <v>12400</v>
      </c>
      <c r="H688" s="4">
        <v>0.1</v>
      </c>
      <c r="I688" s="2">
        <v>11160</v>
      </c>
      <c r="J688" t="s">
        <v>256</v>
      </c>
      <c r="K688" t="s">
        <v>254</v>
      </c>
      <c r="L688">
        <v>1</v>
      </c>
      <c r="M688" t="str">
        <f>_xlfn.XLOOKUP(E688,tPacotes[ID_Pacote],tPacotes[Pacote])</f>
        <v>Lisboa e Porto</v>
      </c>
      <c r="N688" t="str">
        <f>_xlfn.XLOOKUP(E688,tPacotes[ID_Pacote],tPacotes[Categoria])</f>
        <v>Cultural</v>
      </c>
      <c r="O688" t="str">
        <f>_xlfn.XLOOKUP(D688,tClientes[ID_Cliente],tClientes[UF])</f>
        <v>DF</v>
      </c>
    </row>
    <row r="689" spans="1:15" x14ac:dyDescent="0.3">
      <c r="A689">
        <v>688</v>
      </c>
      <c r="B689" s="3">
        <v>45986</v>
      </c>
      <c r="C689" s="3">
        <v>45993</v>
      </c>
      <c r="D689">
        <v>185</v>
      </c>
      <c r="E689">
        <v>9</v>
      </c>
      <c r="F689">
        <v>2</v>
      </c>
      <c r="G689" s="2">
        <v>17800</v>
      </c>
      <c r="H689" s="4">
        <v>0</v>
      </c>
      <c r="I689" s="2">
        <v>17800</v>
      </c>
      <c r="J689" t="s">
        <v>253</v>
      </c>
      <c r="K689" t="s">
        <v>254</v>
      </c>
      <c r="L689">
        <v>4</v>
      </c>
      <c r="M689" t="str">
        <f>_xlfn.XLOOKUP(E689,tPacotes[ID_Pacote],tPacotes[Pacote])</f>
        <v>Cancún All Inclusive</v>
      </c>
      <c r="N689" t="str">
        <f>_xlfn.XLOOKUP(E689,tPacotes[ID_Pacote],tPacotes[Categoria])</f>
        <v>Praia</v>
      </c>
      <c r="O689" t="str">
        <f>_xlfn.XLOOKUP(D689,tClientes[ID_Cliente],tClientes[UF])</f>
        <v>SP</v>
      </c>
    </row>
    <row r="690" spans="1:15" x14ac:dyDescent="0.3">
      <c r="A690">
        <v>689</v>
      </c>
      <c r="B690" s="3">
        <v>45986</v>
      </c>
      <c r="C690" s="3">
        <v>46010</v>
      </c>
      <c r="D690">
        <v>130</v>
      </c>
      <c r="E690">
        <v>4</v>
      </c>
      <c r="F690">
        <v>5</v>
      </c>
      <c r="G690" s="2">
        <v>34500</v>
      </c>
      <c r="H690" s="4">
        <v>0.05</v>
      </c>
      <c r="I690" s="2">
        <v>32775</v>
      </c>
      <c r="J690" t="s">
        <v>255</v>
      </c>
      <c r="K690" t="s">
        <v>254</v>
      </c>
      <c r="L690">
        <v>4</v>
      </c>
      <c r="M690" t="str">
        <f>_xlfn.XLOOKUP(E690,tPacotes[ID_Pacote],tPacotes[Pacote])</f>
        <v>Fernando de Noronha</v>
      </c>
      <c r="N690" t="str">
        <f>_xlfn.XLOOKUP(E690,tPacotes[ID_Pacote],tPacotes[Categoria])</f>
        <v>Praia</v>
      </c>
      <c r="O690" t="str">
        <f>_xlfn.XLOOKUP(D690,tClientes[ID_Cliente],tClientes[UF])</f>
        <v>SP</v>
      </c>
    </row>
    <row r="691" spans="1:15" x14ac:dyDescent="0.3">
      <c r="A691">
        <v>690</v>
      </c>
      <c r="B691" s="3">
        <v>45986</v>
      </c>
      <c r="C691" s="3">
        <v>46031</v>
      </c>
      <c r="D691">
        <v>75</v>
      </c>
      <c r="E691">
        <v>2</v>
      </c>
      <c r="F691">
        <v>3</v>
      </c>
      <c r="G691" s="2">
        <v>5400</v>
      </c>
      <c r="H691" s="4">
        <v>0</v>
      </c>
      <c r="I691" s="2">
        <v>5400</v>
      </c>
      <c r="J691" t="s">
        <v>256</v>
      </c>
      <c r="K691" t="s">
        <v>254</v>
      </c>
      <c r="L691">
        <v>2</v>
      </c>
      <c r="M691" t="str">
        <f>_xlfn.XLOOKUP(E691,tPacotes[ID_Pacote],tPacotes[Pacote])</f>
        <v>Rio Cidade Maravilhosa</v>
      </c>
      <c r="N691" t="str">
        <f>_xlfn.XLOOKUP(E691,tPacotes[ID_Pacote],tPacotes[Categoria])</f>
        <v>Cultural</v>
      </c>
      <c r="O691" t="str">
        <f>_xlfn.XLOOKUP(D691,tClientes[ID_Cliente],tClientes[UF])</f>
        <v>RS</v>
      </c>
    </row>
    <row r="692" spans="1:15" x14ac:dyDescent="0.3">
      <c r="A692">
        <v>691</v>
      </c>
      <c r="B692" s="3">
        <v>45987</v>
      </c>
      <c r="C692" s="3">
        <v>46099</v>
      </c>
      <c r="D692">
        <v>192</v>
      </c>
      <c r="E692">
        <v>3</v>
      </c>
      <c r="F692">
        <v>3</v>
      </c>
      <c r="G692" s="2">
        <v>7800</v>
      </c>
      <c r="H692" s="4">
        <v>0</v>
      </c>
      <c r="I692" s="2">
        <v>7800</v>
      </c>
      <c r="J692" t="s">
        <v>253</v>
      </c>
      <c r="K692" t="s">
        <v>254</v>
      </c>
      <c r="L692">
        <v>2</v>
      </c>
      <c r="M692" t="str">
        <f>_xlfn.XLOOKUP(E692,tPacotes[ID_Pacote],tPacotes[Pacote])</f>
        <v>Serra Gaúcha</v>
      </c>
      <c r="N692" t="str">
        <f>_xlfn.XLOOKUP(E692,tPacotes[ID_Pacote],tPacotes[Categoria])</f>
        <v>Inverno</v>
      </c>
      <c r="O692" t="str">
        <f>_xlfn.XLOOKUP(D692,tClientes[ID_Cliente],tClientes[UF])</f>
        <v>SP</v>
      </c>
    </row>
    <row r="693" spans="1:15" x14ac:dyDescent="0.3">
      <c r="A693">
        <v>692</v>
      </c>
      <c r="B693" s="3">
        <v>45987</v>
      </c>
      <c r="C693" s="3">
        <v>46133</v>
      </c>
      <c r="D693">
        <v>46</v>
      </c>
      <c r="E693">
        <v>1</v>
      </c>
      <c r="F693">
        <v>1</v>
      </c>
      <c r="G693" s="2">
        <v>3200</v>
      </c>
      <c r="H693" s="4">
        <v>0</v>
      </c>
      <c r="I693" s="2">
        <v>3200</v>
      </c>
      <c r="J693" t="s">
        <v>253</v>
      </c>
      <c r="K693" t="s">
        <v>254</v>
      </c>
      <c r="L693">
        <v>1</v>
      </c>
      <c r="M693" t="str">
        <f>_xlfn.XLOOKUP(E693,tPacotes[ID_Pacote],tPacotes[Pacote])</f>
        <v>Nordeste Encantado</v>
      </c>
      <c r="N693" t="str">
        <f>_xlfn.XLOOKUP(E693,tPacotes[ID_Pacote],tPacotes[Categoria])</f>
        <v>Praia</v>
      </c>
      <c r="O693" t="str">
        <f>_xlfn.XLOOKUP(D693,tClientes[ID_Cliente],tClientes[UF])</f>
        <v>RJ</v>
      </c>
    </row>
    <row r="694" spans="1:15" x14ac:dyDescent="0.3">
      <c r="A694">
        <v>693</v>
      </c>
      <c r="B694" s="3">
        <v>45987</v>
      </c>
      <c r="C694" s="3">
        <v>46024</v>
      </c>
      <c r="D694">
        <v>2</v>
      </c>
      <c r="E694">
        <v>1</v>
      </c>
      <c r="F694">
        <v>2</v>
      </c>
      <c r="G694" s="2">
        <v>6400</v>
      </c>
      <c r="H694" s="4">
        <v>0.05</v>
      </c>
      <c r="I694" s="2">
        <v>6080</v>
      </c>
      <c r="J694" t="s">
        <v>255</v>
      </c>
      <c r="K694" t="s">
        <v>254</v>
      </c>
      <c r="L694">
        <v>4</v>
      </c>
      <c r="M694" t="str">
        <f>_xlfn.XLOOKUP(E694,tPacotes[ID_Pacote],tPacotes[Pacote])</f>
        <v>Nordeste Encantado</v>
      </c>
      <c r="N694" t="str">
        <f>_xlfn.XLOOKUP(E694,tPacotes[ID_Pacote],tPacotes[Categoria])</f>
        <v>Praia</v>
      </c>
      <c r="O694" t="str">
        <f>_xlfn.XLOOKUP(D694,tClientes[ID_Cliente],tClientes[UF])</f>
        <v>RJ</v>
      </c>
    </row>
    <row r="695" spans="1:15" x14ac:dyDescent="0.3">
      <c r="A695">
        <v>694</v>
      </c>
      <c r="B695" s="3">
        <v>45989</v>
      </c>
      <c r="C695" s="3">
        <v>45994</v>
      </c>
      <c r="D695">
        <v>70</v>
      </c>
      <c r="E695">
        <v>3</v>
      </c>
      <c r="F695">
        <v>1</v>
      </c>
      <c r="G695" s="2">
        <v>2600</v>
      </c>
      <c r="H695" s="4">
        <v>0.05</v>
      </c>
      <c r="I695" s="2">
        <v>2470</v>
      </c>
      <c r="J695" t="s">
        <v>253</v>
      </c>
      <c r="K695" t="s">
        <v>254</v>
      </c>
      <c r="L695">
        <v>4</v>
      </c>
      <c r="M695" t="str">
        <f>_xlfn.XLOOKUP(E695,tPacotes[ID_Pacote],tPacotes[Pacote])</f>
        <v>Serra Gaúcha</v>
      </c>
      <c r="N695" t="str">
        <f>_xlfn.XLOOKUP(E695,tPacotes[ID_Pacote],tPacotes[Categoria])</f>
        <v>Inverno</v>
      </c>
      <c r="O695" t="str">
        <f>_xlfn.XLOOKUP(D695,tClientes[ID_Cliente],tClientes[UF])</f>
        <v>MG</v>
      </c>
    </row>
    <row r="696" spans="1:15" x14ac:dyDescent="0.3">
      <c r="A696">
        <v>695</v>
      </c>
      <c r="B696" s="3">
        <v>45989</v>
      </c>
      <c r="C696" s="3">
        <v>46035</v>
      </c>
      <c r="D696">
        <v>189</v>
      </c>
      <c r="E696">
        <v>7</v>
      </c>
      <c r="F696">
        <v>2</v>
      </c>
      <c r="G696" s="2">
        <v>8400</v>
      </c>
      <c r="H696" s="4">
        <v>0.15</v>
      </c>
      <c r="I696" s="2">
        <v>7140</v>
      </c>
      <c r="J696" t="s">
        <v>257</v>
      </c>
      <c r="K696" t="s">
        <v>254</v>
      </c>
      <c r="L696">
        <v>3</v>
      </c>
      <c r="M696" t="str">
        <f>_xlfn.XLOOKUP(E696,tPacotes[ID_Pacote],tPacotes[Pacote])</f>
        <v>Buenos Aires Clássica</v>
      </c>
      <c r="N696" t="str">
        <f>_xlfn.XLOOKUP(E696,tPacotes[ID_Pacote],tPacotes[Categoria])</f>
        <v>Cultural</v>
      </c>
      <c r="O696" t="str">
        <f>_xlfn.XLOOKUP(D696,tClientes[ID_Cliente],tClientes[UF])</f>
        <v>SP</v>
      </c>
    </row>
    <row r="697" spans="1:15" x14ac:dyDescent="0.3">
      <c r="A697">
        <v>696</v>
      </c>
      <c r="B697" s="3">
        <v>45990</v>
      </c>
      <c r="C697" s="3">
        <v>46004</v>
      </c>
      <c r="D697">
        <v>68</v>
      </c>
      <c r="E697">
        <v>2</v>
      </c>
      <c r="F697">
        <v>1</v>
      </c>
      <c r="G697" s="2">
        <v>1800</v>
      </c>
      <c r="H697" s="4">
        <v>0.05</v>
      </c>
      <c r="I697" s="2">
        <v>1710</v>
      </c>
      <c r="J697" t="s">
        <v>253</v>
      </c>
      <c r="K697" t="s">
        <v>254</v>
      </c>
      <c r="L697">
        <v>3</v>
      </c>
      <c r="M697" t="str">
        <f>_xlfn.XLOOKUP(E697,tPacotes[ID_Pacote],tPacotes[Pacote])</f>
        <v>Rio Cidade Maravilhosa</v>
      </c>
      <c r="N697" t="str">
        <f>_xlfn.XLOOKUP(E697,tPacotes[ID_Pacote],tPacotes[Categoria])</f>
        <v>Cultural</v>
      </c>
      <c r="O697" t="str">
        <f>_xlfn.XLOOKUP(D697,tClientes[ID_Cliente],tClientes[UF])</f>
        <v>BA</v>
      </c>
    </row>
    <row r="698" spans="1:15" x14ac:dyDescent="0.3">
      <c r="A698">
        <v>697</v>
      </c>
      <c r="B698" s="3">
        <v>45991</v>
      </c>
      <c r="C698" s="3">
        <v>46085</v>
      </c>
      <c r="D698">
        <v>110</v>
      </c>
      <c r="E698">
        <v>2</v>
      </c>
      <c r="F698">
        <v>1</v>
      </c>
      <c r="G698" s="2">
        <v>1800</v>
      </c>
      <c r="H698" s="4">
        <v>0</v>
      </c>
      <c r="I698" s="2">
        <v>1800</v>
      </c>
      <c r="J698" t="s">
        <v>253</v>
      </c>
      <c r="K698" t="s">
        <v>254</v>
      </c>
      <c r="L698">
        <v>4</v>
      </c>
      <c r="M698" t="str">
        <f>_xlfn.XLOOKUP(E698,tPacotes[ID_Pacote],tPacotes[Pacote])</f>
        <v>Rio Cidade Maravilhosa</v>
      </c>
      <c r="N698" t="str">
        <f>_xlfn.XLOOKUP(E698,tPacotes[ID_Pacote],tPacotes[Categoria])</f>
        <v>Cultural</v>
      </c>
      <c r="O698" t="str">
        <f>_xlfn.XLOOKUP(D698,tClientes[ID_Cliente],tClientes[UF])</f>
        <v>SP</v>
      </c>
    </row>
    <row r="699" spans="1:15" x14ac:dyDescent="0.3">
      <c r="A699">
        <v>698</v>
      </c>
      <c r="B699" s="3">
        <v>45991</v>
      </c>
      <c r="C699" s="3">
        <v>45994</v>
      </c>
      <c r="D699">
        <v>64</v>
      </c>
      <c r="E699">
        <v>3</v>
      </c>
      <c r="F699">
        <v>2</v>
      </c>
      <c r="G699" s="2">
        <v>5200</v>
      </c>
      <c r="H699" s="4">
        <v>0</v>
      </c>
      <c r="I699" s="2">
        <v>5200</v>
      </c>
      <c r="J699" t="s">
        <v>257</v>
      </c>
      <c r="K699" t="s">
        <v>254</v>
      </c>
      <c r="L699">
        <v>1</v>
      </c>
      <c r="M699" t="str">
        <f>_xlfn.XLOOKUP(E699,tPacotes[ID_Pacote],tPacotes[Pacote])</f>
        <v>Serra Gaúcha</v>
      </c>
      <c r="N699" t="str">
        <f>_xlfn.XLOOKUP(E699,tPacotes[ID_Pacote],tPacotes[Categoria])</f>
        <v>Inverno</v>
      </c>
      <c r="O699" t="str">
        <f>_xlfn.XLOOKUP(D699,tClientes[ID_Cliente],tClientes[UF])</f>
        <v>PE</v>
      </c>
    </row>
    <row r="700" spans="1:15" x14ac:dyDescent="0.3">
      <c r="A700">
        <v>699</v>
      </c>
      <c r="B700" s="3">
        <v>45991</v>
      </c>
      <c r="C700" s="3">
        <v>46025</v>
      </c>
      <c r="D700">
        <v>139</v>
      </c>
      <c r="E700">
        <v>8</v>
      </c>
      <c r="F700">
        <v>5</v>
      </c>
      <c r="G700" s="2">
        <v>29500</v>
      </c>
      <c r="H700" s="4">
        <v>0.15</v>
      </c>
      <c r="I700" s="2">
        <v>25075</v>
      </c>
      <c r="J700" t="s">
        <v>255</v>
      </c>
      <c r="K700" t="s">
        <v>258</v>
      </c>
      <c r="M700" t="str">
        <f>_xlfn.XLOOKUP(E700,tPacotes[ID_Pacote],tPacotes[Pacote])</f>
        <v>Santiago e Neve</v>
      </c>
      <c r="N700" t="str">
        <f>_xlfn.XLOOKUP(E700,tPacotes[ID_Pacote],tPacotes[Categoria])</f>
        <v>Inverno</v>
      </c>
      <c r="O700" t="str">
        <f>_xlfn.XLOOKUP(D700,tClientes[ID_Cliente],tClientes[UF])</f>
        <v>SP</v>
      </c>
    </row>
    <row r="701" spans="1:15" x14ac:dyDescent="0.3">
      <c r="A701">
        <v>700</v>
      </c>
      <c r="B701" s="3">
        <v>45991</v>
      </c>
      <c r="C701" s="3">
        <v>46122</v>
      </c>
      <c r="D701">
        <v>16</v>
      </c>
      <c r="E701">
        <v>1</v>
      </c>
      <c r="F701">
        <v>2</v>
      </c>
      <c r="G701" s="2">
        <v>6400</v>
      </c>
      <c r="H701" s="4">
        <v>0.1</v>
      </c>
      <c r="I701" s="2">
        <v>5760</v>
      </c>
      <c r="J701" t="s">
        <v>253</v>
      </c>
      <c r="K701" t="s">
        <v>254</v>
      </c>
      <c r="L701">
        <v>3</v>
      </c>
      <c r="M701" t="str">
        <f>_xlfn.XLOOKUP(E701,tPacotes[ID_Pacote],tPacotes[Pacote])</f>
        <v>Nordeste Encantado</v>
      </c>
      <c r="N701" t="str">
        <f>_xlfn.XLOOKUP(E701,tPacotes[ID_Pacote],tPacotes[Categoria])</f>
        <v>Praia</v>
      </c>
      <c r="O701" t="str">
        <f>_xlfn.XLOOKUP(D701,tClientes[ID_Cliente],tClientes[UF])</f>
        <v>DF</v>
      </c>
    </row>
    <row r="702" spans="1:15" x14ac:dyDescent="0.3">
      <c r="A702">
        <v>701</v>
      </c>
      <c r="B702" s="3">
        <v>45992</v>
      </c>
      <c r="C702" s="3">
        <v>46155</v>
      </c>
      <c r="D702">
        <v>194</v>
      </c>
      <c r="E702">
        <v>3</v>
      </c>
      <c r="F702">
        <v>2</v>
      </c>
      <c r="G702" s="2">
        <v>5200</v>
      </c>
      <c r="H702" s="4">
        <v>0</v>
      </c>
      <c r="I702" s="2">
        <v>5200</v>
      </c>
      <c r="J702" t="s">
        <v>257</v>
      </c>
      <c r="K702" t="s">
        <v>258</v>
      </c>
      <c r="M702" t="str">
        <f>_xlfn.XLOOKUP(E702,tPacotes[ID_Pacote],tPacotes[Pacote])</f>
        <v>Serra Gaúcha</v>
      </c>
      <c r="N702" t="str">
        <f>_xlfn.XLOOKUP(E702,tPacotes[ID_Pacote],tPacotes[Categoria])</f>
        <v>Inverno</v>
      </c>
      <c r="O702" t="str">
        <f>_xlfn.XLOOKUP(D702,tClientes[ID_Cliente],tClientes[UF])</f>
        <v>DF</v>
      </c>
    </row>
    <row r="703" spans="1:15" x14ac:dyDescent="0.3">
      <c r="A703">
        <v>702</v>
      </c>
      <c r="B703" s="3">
        <v>45992</v>
      </c>
      <c r="C703" s="3">
        <v>46041</v>
      </c>
      <c r="D703">
        <v>132</v>
      </c>
      <c r="E703">
        <v>6</v>
      </c>
      <c r="F703">
        <v>2</v>
      </c>
      <c r="G703" s="2">
        <v>4200</v>
      </c>
      <c r="H703" s="4">
        <v>0.05</v>
      </c>
      <c r="I703" s="2">
        <v>3990</v>
      </c>
      <c r="J703" t="s">
        <v>253</v>
      </c>
      <c r="K703" t="s">
        <v>254</v>
      </c>
      <c r="L703">
        <v>4</v>
      </c>
      <c r="M703" t="str">
        <f>_xlfn.XLOOKUP(E703,tPacotes[ID_Pacote],tPacotes[Pacote])</f>
        <v>Foz do Iguaçu</v>
      </c>
      <c r="N703" t="str">
        <f>_xlfn.XLOOKUP(E703,tPacotes[ID_Pacote],tPacotes[Categoria])</f>
        <v>Natureza</v>
      </c>
      <c r="O703" t="str">
        <f>_xlfn.XLOOKUP(D703,tClientes[ID_Cliente],tClientes[UF])</f>
        <v>RS</v>
      </c>
    </row>
    <row r="704" spans="1:15" x14ac:dyDescent="0.3">
      <c r="A704">
        <v>703</v>
      </c>
      <c r="B704" s="3">
        <v>45992</v>
      </c>
      <c r="C704" s="3">
        <v>46036</v>
      </c>
      <c r="D704">
        <v>125</v>
      </c>
      <c r="E704">
        <v>3</v>
      </c>
      <c r="F704">
        <v>2</v>
      </c>
      <c r="G704" s="2">
        <v>5200</v>
      </c>
      <c r="H704" s="4">
        <v>0.05</v>
      </c>
      <c r="I704" s="2">
        <v>4940</v>
      </c>
      <c r="J704" t="s">
        <v>255</v>
      </c>
      <c r="K704" t="s">
        <v>254</v>
      </c>
      <c r="L704">
        <v>5</v>
      </c>
      <c r="M704" t="str">
        <f>_xlfn.XLOOKUP(E704,tPacotes[ID_Pacote],tPacotes[Pacote])</f>
        <v>Serra Gaúcha</v>
      </c>
      <c r="N704" t="str">
        <f>_xlfn.XLOOKUP(E704,tPacotes[ID_Pacote],tPacotes[Categoria])</f>
        <v>Inverno</v>
      </c>
      <c r="O704" t="str">
        <f>_xlfn.XLOOKUP(D704,tClientes[ID_Cliente],tClientes[UF])</f>
        <v>MG</v>
      </c>
    </row>
    <row r="705" spans="1:15" x14ac:dyDescent="0.3">
      <c r="A705">
        <v>704</v>
      </c>
      <c r="B705" s="3">
        <v>45992</v>
      </c>
      <c r="C705" s="3">
        <v>46037</v>
      </c>
      <c r="D705">
        <v>151</v>
      </c>
      <c r="E705">
        <v>3</v>
      </c>
      <c r="F705">
        <v>1</v>
      </c>
      <c r="G705" s="2">
        <v>2600</v>
      </c>
      <c r="H705" s="4">
        <v>0.05</v>
      </c>
      <c r="I705" s="2">
        <v>2470</v>
      </c>
      <c r="J705" t="s">
        <v>257</v>
      </c>
      <c r="K705" t="s">
        <v>254</v>
      </c>
      <c r="L705">
        <v>3</v>
      </c>
      <c r="M705" t="str">
        <f>_xlfn.XLOOKUP(E705,tPacotes[ID_Pacote],tPacotes[Pacote])</f>
        <v>Serra Gaúcha</v>
      </c>
      <c r="N705" t="str">
        <f>_xlfn.XLOOKUP(E705,tPacotes[ID_Pacote],tPacotes[Categoria])</f>
        <v>Inverno</v>
      </c>
      <c r="O705" t="str">
        <f>_xlfn.XLOOKUP(D705,tClientes[ID_Cliente],tClientes[UF])</f>
        <v>SP</v>
      </c>
    </row>
    <row r="706" spans="1:15" x14ac:dyDescent="0.3">
      <c r="A706">
        <v>705</v>
      </c>
      <c r="B706" s="3">
        <v>45993</v>
      </c>
      <c r="C706" s="3">
        <v>45999</v>
      </c>
      <c r="D706">
        <v>67</v>
      </c>
      <c r="E706">
        <v>15</v>
      </c>
      <c r="F706">
        <v>1</v>
      </c>
      <c r="G706" s="2">
        <v>3100</v>
      </c>
      <c r="H706" s="4">
        <v>0</v>
      </c>
      <c r="I706" s="2">
        <v>3100</v>
      </c>
      <c r="J706" t="s">
        <v>253</v>
      </c>
      <c r="K706" t="s">
        <v>254</v>
      </c>
      <c r="L706">
        <v>4</v>
      </c>
      <c r="M706" t="str">
        <f>_xlfn.XLOOKUP(E706,tPacotes[ID_Pacote],tPacotes[Pacote])</f>
        <v>Jericoacoara</v>
      </c>
      <c r="N706" t="str">
        <f>_xlfn.XLOOKUP(E706,tPacotes[ID_Pacote],tPacotes[Categoria])</f>
        <v>Praia</v>
      </c>
      <c r="O706" t="str">
        <f>_xlfn.XLOOKUP(D706,tClientes[ID_Cliente],tClientes[UF])</f>
        <v>RJ</v>
      </c>
    </row>
    <row r="707" spans="1:15" x14ac:dyDescent="0.3">
      <c r="A707">
        <v>706</v>
      </c>
      <c r="B707" s="3">
        <v>45993</v>
      </c>
      <c r="C707" s="3">
        <v>46035</v>
      </c>
      <c r="D707">
        <v>173</v>
      </c>
      <c r="E707">
        <v>2</v>
      </c>
      <c r="F707">
        <v>1</v>
      </c>
      <c r="G707" s="2">
        <v>1800</v>
      </c>
      <c r="H707" s="4">
        <v>0</v>
      </c>
      <c r="I707" s="2">
        <v>1800</v>
      </c>
      <c r="J707" t="s">
        <v>256</v>
      </c>
      <c r="K707" t="s">
        <v>254</v>
      </c>
      <c r="L707">
        <v>5</v>
      </c>
      <c r="M707" t="str">
        <f>_xlfn.XLOOKUP(E707,tPacotes[ID_Pacote],tPacotes[Pacote])</f>
        <v>Rio Cidade Maravilhosa</v>
      </c>
      <c r="N707" t="str">
        <f>_xlfn.XLOOKUP(E707,tPacotes[ID_Pacote],tPacotes[Categoria])</f>
        <v>Cultural</v>
      </c>
      <c r="O707" t="str">
        <f>_xlfn.XLOOKUP(D707,tClientes[ID_Cliente],tClientes[UF])</f>
        <v>BA</v>
      </c>
    </row>
    <row r="708" spans="1:15" x14ac:dyDescent="0.3">
      <c r="A708">
        <v>707</v>
      </c>
      <c r="B708" s="3">
        <v>45993</v>
      </c>
      <c r="C708" s="3">
        <v>46144</v>
      </c>
      <c r="D708">
        <v>34</v>
      </c>
      <c r="E708">
        <v>15</v>
      </c>
      <c r="F708">
        <v>2</v>
      </c>
      <c r="G708" s="2">
        <v>6200</v>
      </c>
      <c r="H708" s="4">
        <v>0.05</v>
      </c>
      <c r="I708" s="2">
        <v>5890</v>
      </c>
      <c r="J708" t="s">
        <v>253</v>
      </c>
      <c r="K708" t="s">
        <v>254</v>
      </c>
      <c r="L708">
        <v>5</v>
      </c>
      <c r="M708" t="str">
        <f>_xlfn.XLOOKUP(E708,tPacotes[ID_Pacote],tPacotes[Pacote])</f>
        <v>Jericoacoara</v>
      </c>
      <c r="N708" t="str">
        <f>_xlfn.XLOOKUP(E708,tPacotes[ID_Pacote],tPacotes[Categoria])</f>
        <v>Praia</v>
      </c>
      <c r="O708" t="str">
        <f>_xlfn.XLOOKUP(D708,tClientes[ID_Cliente],tClientes[UF])</f>
        <v>SP</v>
      </c>
    </row>
    <row r="709" spans="1:15" x14ac:dyDescent="0.3">
      <c r="A709">
        <v>708</v>
      </c>
      <c r="B709" s="3">
        <v>45993</v>
      </c>
      <c r="C709" s="3">
        <v>46034</v>
      </c>
      <c r="D709">
        <v>5</v>
      </c>
      <c r="E709">
        <v>9</v>
      </c>
      <c r="F709">
        <v>2</v>
      </c>
      <c r="G709" s="2">
        <v>17800</v>
      </c>
      <c r="H709" s="4">
        <v>0.1</v>
      </c>
      <c r="I709" s="2">
        <v>16020</v>
      </c>
      <c r="J709" t="s">
        <v>257</v>
      </c>
      <c r="K709" t="s">
        <v>254</v>
      </c>
      <c r="L709">
        <v>4</v>
      </c>
      <c r="M709" t="str">
        <f>_xlfn.XLOOKUP(E709,tPacotes[ID_Pacote],tPacotes[Pacote])</f>
        <v>Cancún All Inclusive</v>
      </c>
      <c r="N709" t="str">
        <f>_xlfn.XLOOKUP(E709,tPacotes[ID_Pacote],tPacotes[Categoria])</f>
        <v>Praia</v>
      </c>
      <c r="O709" t="str">
        <f>_xlfn.XLOOKUP(D709,tClientes[ID_Cliente],tClientes[UF])</f>
        <v>MG</v>
      </c>
    </row>
    <row r="710" spans="1:15" x14ac:dyDescent="0.3">
      <c r="A710">
        <v>709</v>
      </c>
      <c r="B710" s="3">
        <v>45993</v>
      </c>
      <c r="C710" s="3">
        <v>46021</v>
      </c>
      <c r="D710">
        <v>173</v>
      </c>
      <c r="E710">
        <v>15</v>
      </c>
      <c r="F710">
        <v>2</v>
      </c>
      <c r="G710" s="2">
        <v>6200</v>
      </c>
      <c r="H710" s="4">
        <v>0</v>
      </c>
      <c r="I710" s="2">
        <v>6200</v>
      </c>
      <c r="J710" t="s">
        <v>256</v>
      </c>
      <c r="K710" t="s">
        <v>254</v>
      </c>
      <c r="L710">
        <v>5</v>
      </c>
      <c r="M710" t="str">
        <f>_xlfn.XLOOKUP(E710,tPacotes[ID_Pacote],tPacotes[Pacote])</f>
        <v>Jericoacoara</v>
      </c>
      <c r="N710" t="str">
        <f>_xlfn.XLOOKUP(E710,tPacotes[ID_Pacote],tPacotes[Categoria])</f>
        <v>Praia</v>
      </c>
      <c r="O710" t="str">
        <f>_xlfn.XLOOKUP(D710,tClientes[ID_Cliente],tClientes[UF])</f>
        <v>BA</v>
      </c>
    </row>
    <row r="711" spans="1:15" x14ac:dyDescent="0.3">
      <c r="A711">
        <v>710</v>
      </c>
      <c r="B711" s="3">
        <v>45994</v>
      </c>
      <c r="C711" s="3">
        <v>46151</v>
      </c>
      <c r="D711">
        <v>48</v>
      </c>
      <c r="E711">
        <v>7</v>
      </c>
      <c r="F711">
        <v>1</v>
      </c>
      <c r="G711" s="2">
        <v>4200</v>
      </c>
      <c r="H711" s="4">
        <v>0.05</v>
      </c>
      <c r="I711" s="2">
        <v>3990</v>
      </c>
      <c r="J711" t="s">
        <v>255</v>
      </c>
      <c r="K711" t="s">
        <v>254</v>
      </c>
      <c r="L711">
        <v>5</v>
      </c>
      <c r="M711" t="str">
        <f>_xlfn.XLOOKUP(E711,tPacotes[ID_Pacote],tPacotes[Pacote])</f>
        <v>Buenos Aires Clássica</v>
      </c>
      <c r="N711" t="str">
        <f>_xlfn.XLOOKUP(E711,tPacotes[ID_Pacote],tPacotes[Categoria])</f>
        <v>Cultural</v>
      </c>
      <c r="O711" t="str">
        <f>_xlfn.XLOOKUP(D711,tClientes[ID_Cliente],tClientes[UF])</f>
        <v>SP</v>
      </c>
    </row>
    <row r="712" spans="1:15" x14ac:dyDescent="0.3">
      <c r="A712">
        <v>711</v>
      </c>
      <c r="B712" s="3">
        <v>45994</v>
      </c>
      <c r="C712" s="3">
        <v>46006</v>
      </c>
      <c r="D712">
        <v>74</v>
      </c>
      <c r="E712">
        <v>15</v>
      </c>
      <c r="F712">
        <v>2</v>
      </c>
      <c r="G712" s="2">
        <v>6200</v>
      </c>
      <c r="H712" s="4">
        <v>0</v>
      </c>
      <c r="I712" s="2">
        <v>6200</v>
      </c>
      <c r="J712" t="s">
        <v>253</v>
      </c>
      <c r="K712" t="s">
        <v>254</v>
      </c>
      <c r="L712">
        <v>1</v>
      </c>
      <c r="M712" t="str">
        <f>_xlfn.XLOOKUP(E712,tPacotes[ID_Pacote],tPacotes[Pacote])</f>
        <v>Jericoacoara</v>
      </c>
      <c r="N712" t="str">
        <f>_xlfn.XLOOKUP(E712,tPacotes[ID_Pacote],tPacotes[Categoria])</f>
        <v>Praia</v>
      </c>
      <c r="O712" t="str">
        <f>_xlfn.XLOOKUP(D712,tClientes[ID_Cliente],tClientes[UF])</f>
        <v>SP</v>
      </c>
    </row>
    <row r="713" spans="1:15" x14ac:dyDescent="0.3">
      <c r="A713">
        <v>712</v>
      </c>
      <c r="B713" s="3">
        <v>45994</v>
      </c>
      <c r="C713" s="3">
        <v>46012</v>
      </c>
      <c r="D713">
        <v>132</v>
      </c>
      <c r="E713">
        <v>1</v>
      </c>
      <c r="F713">
        <v>5</v>
      </c>
      <c r="G713" s="2">
        <v>16000</v>
      </c>
      <c r="H713" s="4">
        <v>0.1</v>
      </c>
      <c r="I713" s="2">
        <v>14400</v>
      </c>
      <c r="J713" t="s">
        <v>253</v>
      </c>
      <c r="K713" t="s">
        <v>254</v>
      </c>
      <c r="L713">
        <v>4</v>
      </c>
      <c r="M713" t="str">
        <f>_xlfn.XLOOKUP(E713,tPacotes[ID_Pacote],tPacotes[Pacote])</f>
        <v>Nordeste Encantado</v>
      </c>
      <c r="N713" t="str">
        <f>_xlfn.XLOOKUP(E713,tPacotes[ID_Pacote],tPacotes[Categoria])</f>
        <v>Praia</v>
      </c>
      <c r="O713" t="str">
        <f>_xlfn.XLOOKUP(D713,tClientes[ID_Cliente],tClientes[UF])</f>
        <v>RS</v>
      </c>
    </row>
    <row r="714" spans="1:15" x14ac:dyDescent="0.3">
      <c r="A714">
        <v>713</v>
      </c>
      <c r="B714" s="3">
        <v>45994</v>
      </c>
      <c r="C714" s="3">
        <v>46030</v>
      </c>
      <c r="D714">
        <v>144</v>
      </c>
      <c r="E714">
        <v>7</v>
      </c>
      <c r="F714">
        <v>4</v>
      </c>
      <c r="G714" s="2">
        <v>16800</v>
      </c>
      <c r="H714" s="4">
        <v>0.1</v>
      </c>
      <c r="I714" s="2">
        <v>15120</v>
      </c>
      <c r="J714" t="s">
        <v>256</v>
      </c>
      <c r="K714" t="s">
        <v>254</v>
      </c>
      <c r="L714">
        <v>5</v>
      </c>
      <c r="M714" t="str">
        <f>_xlfn.XLOOKUP(E714,tPacotes[ID_Pacote],tPacotes[Pacote])</f>
        <v>Buenos Aires Clássica</v>
      </c>
      <c r="N714" t="str">
        <f>_xlfn.XLOOKUP(E714,tPacotes[ID_Pacote],tPacotes[Categoria])</f>
        <v>Cultural</v>
      </c>
      <c r="O714" t="str">
        <f>_xlfn.XLOOKUP(D714,tClientes[ID_Cliente],tClientes[UF])</f>
        <v>DF</v>
      </c>
    </row>
    <row r="715" spans="1:15" x14ac:dyDescent="0.3">
      <c r="A715">
        <v>714</v>
      </c>
      <c r="B715" s="3">
        <v>45994</v>
      </c>
      <c r="C715" s="3">
        <v>46073</v>
      </c>
      <c r="D715">
        <v>112</v>
      </c>
      <c r="E715">
        <v>12</v>
      </c>
      <c r="F715">
        <v>3</v>
      </c>
      <c r="G715" s="2">
        <v>37200</v>
      </c>
      <c r="H715" s="4">
        <v>0</v>
      </c>
      <c r="I715" s="2">
        <v>37200</v>
      </c>
      <c r="J715" t="s">
        <v>253</v>
      </c>
      <c r="K715" t="s">
        <v>254</v>
      </c>
      <c r="L715">
        <v>4</v>
      </c>
      <c r="M715" t="str">
        <f>_xlfn.XLOOKUP(E715,tPacotes[ID_Pacote],tPacotes[Pacote])</f>
        <v>Lisboa e Porto</v>
      </c>
      <c r="N715" t="str">
        <f>_xlfn.XLOOKUP(E715,tPacotes[ID_Pacote],tPacotes[Categoria])</f>
        <v>Cultural</v>
      </c>
      <c r="O715" t="str">
        <f>_xlfn.XLOOKUP(D715,tClientes[ID_Cliente],tClientes[UF])</f>
        <v>SP</v>
      </c>
    </row>
    <row r="716" spans="1:15" x14ac:dyDescent="0.3">
      <c r="A716">
        <v>715</v>
      </c>
      <c r="B716" s="3">
        <v>45995</v>
      </c>
      <c r="C716" s="3">
        <v>46001</v>
      </c>
      <c r="D716">
        <v>80</v>
      </c>
      <c r="E716">
        <v>1</v>
      </c>
      <c r="F716">
        <v>1</v>
      </c>
      <c r="G716" s="2">
        <v>3200</v>
      </c>
      <c r="H716" s="4">
        <v>0</v>
      </c>
      <c r="I716" s="2">
        <v>3200</v>
      </c>
      <c r="J716" t="s">
        <v>257</v>
      </c>
      <c r="K716" t="s">
        <v>254</v>
      </c>
      <c r="L716">
        <v>4</v>
      </c>
      <c r="M716" t="str">
        <f>_xlfn.XLOOKUP(E716,tPacotes[ID_Pacote],tPacotes[Pacote])</f>
        <v>Nordeste Encantado</v>
      </c>
      <c r="N716" t="str">
        <f>_xlfn.XLOOKUP(E716,tPacotes[ID_Pacote],tPacotes[Categoria])</f>
        <v>Praia</v>
      </c>
      <c r="O716" t="str">
        <f>_xlfn.XLOOKUP(D716,tClientes[ID_Cliente],tClientes[UF])</f>
        <v>SP</v>
      </c>
    </row>
    <row r="717" spans="1:15" x14ac:dyDescent="0.3">
      <c r="A717">
        <v>716</v>
      </c>
      <c r="B717" s="3">
        <v>45996</v>
      </c>
      <c r="C717" s="3">
        <v>46015</v>
      </c>
      <c r="D717">
        <v>25</v>
      </c>
      <c r="E717">
        <v>12</v>
      </c>
      <c r="F717">
        <v>1</v>
      </c>
      <c r="G717" s="2">
        <v>12400</v>
      </c>
      <c r="H717" s="4">
        <v>0.05</v>
      </c>
      <c r="I717" s="2">
        <v>11780</v>
      </c>
      <c r="J717" t="s">
        <v>255</v>
      </c>
      <c r="K717" t="s">
        <v>254</v>
      </c>
      <c r="L717">
        <v>5</v>
      </c>
      <c r="M717" t="str">
        <f>_xlfn.XLOOKUP(E717,tPacotes[ID_Pacote],tPacotes[Pacote])</f>
        <v>Lisboa e Porto</v>
      </c>
      <c r="N717" t="str">
        <f>_xlfn.XLOOKUP(E717,tPacotes[ID_Pacote],tPacotes[Categoria])</f>
        <v>Cultural</v>
      </c>
      <c r="O717" t="str">
        <f>_xlfn.XLOOKUP(D717,tClientes[ID_Cliente],tClientes[UF])</f>
        <v>PE</v>
      </c>
    </row>
    <row r="718" spans="1:15" x14ac:dyDescent="0.3">
      <c r="A718">
        <v>717</v>
      </c>
      <c r="B718" s="3">
        <v>45996</v>
      </c>
      <c r="C718" s="3">
        <v>46012</v>
      </c>
      <c r="D718">
        <v>103</v>
      </c>
      <c r="E718">
        <v>2</v>
      </c>
      <c r="F718">
        <v>1</v>
      </c>
      <c r="G718" s="2">
        <v>1800</v>
      </c>
      <c r="H718" s="4">
        <v>0</v>
      </c>
      <c r="I718" s="2">
        <v>1800</v>
      </c>
      <c r="J718" t="s">
        <v>253</v>
      </c>
      <c r="K718" t="s">
        <v>254</v>
      </c>
      <c r="L718">
        <v>5</v>
      </c>
      <c r="M718" t="str">
        <f>_xlfn.XLOOKUP(E718,tPacotes[ID_Pacote],tPacotes[Pacote])</f>
        <v>Rio Cidade Maravilhosa</v>
      </c>
      <c r="N718" t="str">
        <f>_xlfn.XLOOKUP(E718,tPacotes[ID_Pacote],tPacotes[Categoria])</f>
        <v>Cultural</v>
      </c>
      <c r="O718" t="str">
        <f>_xlfn.XLOOKUP(D718,tClientes[ID_Cliente],tClientes[UF])</f>
        <v>SP</v>
      </c>
    </row>
    <row r="719" spans="1:15" x14ac:dyDescent="0.3">
      <c r="A719">
        <v>718</v>
      </c>
      <c r="B719" s="3">
        <v>45996</v>
      </c>
      <c r="C719" s="3">
        <v>46168</v>
      </c>
      <c r="D719">
        <v>36</v>
      </c>
      <c r="E719">
        <v>14</v>
      </c>
      <c r="F719">
        <v>1</v>
      </c>
      <c r="G719" s="2">
        <v>2900</v>
      </c>
      <c r="H719" s="4">
        <v>0.1</v>
      </c>
      <c r="I719" s="2">
        <v>2610</v>
      </c>
      <c r="J719" t="s">
        <v>255</v>
      </c>
      <c r="K719" t="s">
        <v>254</v>
      </c>
      <c r="L719">
        <v>4</v>
      </c>
      <c r="M719" t="str">
        <f>_xlfn.XLOOKUP(E719,tPacotes[ID_Pacote],tPacotes[Pacote])</f>
        <v>Lençóis Maranhenses</v>
      </c>
      <c r="N719" t="str">
        <f>_xlfn.XLOOKUP(E719,tPacotes[ID_Pacote],tPacotes[Categoria])</f>
        <v>Natureza</v>
      </c>
      <c r="O719" t="str">
        <f>_xlfn.XLOOKUP(D719,tClientes[ID_Cliente],tClientes[UF])</f>
        <v>SP</v>
      </c>
    </row>
    <row r="720" spans="1:15" x14ac:dyDescent="0.3">
      <c r="A720">
        <v>719</v>
      </c>
      <c r="B720" s="3">
        <v>45996</v>
      </c>
      <c r="C720" s="3">
        <v>46010</v>
      </c>
      <c r="D720">
        <v>167</v>
      </c>
      <c r="E720">
        <v>14</v>
      </c>
      <c r="F720">
        <v>2</v>
      </c>
      <c r="G720" s="2">
        <v>5800</v>
      </c>
      <c r="H720" s="4">
        <v>0</v>
      </c>
      <c r="I720" s="2">
        <v>5800</v>
      </c>
      <c r="J720" t="s">
        <v>253</v>
      </c>
      <c r="K720" t="s">
        <v>254</v>
      </c>
      <c r="L720">
        <v>4</v>
      </c>
      <c r="M720" t="str">
        <f>_xlfn.XLOOKUP(E720,tPacotes[ID_Pacote],tPacotes[Pacote])</f>
        <v>Lençóis Maranhenses</v>
      </c>
      <c r="N720" t="str">
        <f>_xlfn.XLOOKUP(E720,tPacotes[ID_Pacote],tPacotes[Categoria])</f>
        <v>Natureza</v>
      </c>
      <c r="O720" t="str">
        <f>_xlfn.XLOOKUP(D720,tClientes[ID_Cliente],tClientes[UF])</f>
        <v>SP</v>
      </c>
    </row>
    <row r="721" spans="1:15" x14ac:dyDescent="0.3">
      <c r="A721">
        <v>720</v>
      </c>
      <c r="B721" s="3">
        <v>45997</v>
      </c>
      <c r="C721" s="3">
        <v>46081</v>
      </c>
      <c r="D721">
        <v>79</v>
      </c>
      <c r="E721">
        <v>1</v>
      </c>
      <c r="F721">
        <v>2</v>
      </c>
      <c r="G721" s="2">
        <v>6400</v>
      </c>
      <c r="H721" s="4">
        <v>0</v>
      </c>
      <c r="I721" s="2">
        <v>6400</v>
      </c>
      <c r="J721" t="s">
        <v>253</v>
      </c>
      <c r="K721" t="s">
        <v>254</v>
      </c>
      <c r="L721">
        <v>2</v>
      </c>
      <c r="M721" t="str">
        <f>_xlfn.XLOOKUP(E721,tPacotes[ID_Pacote],tPacotes[Pacote])</f>
        <v>Nordeste Encantado</v>
      </c>
      <c r="N721" t="str">
        <f>_xlfn.XLOOKUP(E721,tPacotes[ID_Pacote],tPacotes[Categoria])</f>
        <v>Praia</v>
      </c>
      <c r="O721" t="str">
        <f>_xlfn.XLOOKUP(D721,tClientes[ID_Cliente],tClientes[UF])</f>
        <v>RJ</v>
      </c>
    </row>
    <row r="722" spans="1:15" x14ac:dyDescent="0.3">
      <c r="A722">
        <v>721</v>
      </c>
      <c r="B722" s="3">
        <v>45997</v>
      </c>
      <c r="C722" s="3">
        <v>46078</v>
      </c>
      <c r="D722">
        <v>102</v>
      </c>
      <c r="E722">
        <v>10</v>
      </c>
      <c r="F722">
        <v>4</v>
      </c>
      <c r="G722" s="2">
        <v>46000</v>
      </c>
      <c r="H722" s="4">
        <v>0</v>
      </c>
      <c r="I722" s="2">
        <v>46000</v>
      </c>
      <c r="J722" t="s">
        <v>255</v>
      </c>
      <c r="K722" t="s">
        <v>254</v>
      </c>
      <c r="L722">
        <v>4</v>
      </c>
      <c r="M722" t="str">
        <f>_xlfn.XLOOKUP(E722,tPacotes[ID_Pacote],tPacotes[Pacote])</f>
        <v>Orlando Parques</v>
      </c>
      <c r="N722" t="str">
        <f>_xlfn.XLOOKUP(E722,tPacotes[ID_Pacote],tPacotes[Categoria])</f>
        <v>Parques</v>
      </c>
      <c r="O722" t="str">
        <f>_xlfn.XLOOKUP(D722,tClientes[ID_Cliente],tClientes[UF])</f>
        <v>PR</v>
      </c>
    </row>
    <row r="723" spans="1:15" x14ac:dyDescent="0.3">
      <c r="A723">
        <v>722</v>
      </c>
      <c r="B723" s="3">
        <v>45999</v>
      </c>
      <c r="C723" s="3">
        <v>46041</v>
      </c>
      <c r="D723">
        <v>124</v>
      </c>
      <c r="E723">
        <v>4</v>
      </c>
      <c r="F723">
        <v>1</v>
      </c>
      <c r="G723" s="2">
        <v>6900</v>
      </c>
      <c r="H723" s="4">
        <v>0</v>
      </c>
      <c r="I723" s="2">
        <v>6900</v>
      </c>
      <c r="J723" t="s">
        <v>255</v>
      </c>
      <c r="K723" t="s">
        <v>254</v>
      </c>
      <c r="L723">
        <v>4</v>
      </c>
      <c r="M723" t="str">
        <f>_xlfn.XLOOKUP(E723,tPacotes[ID_Pacote],tPacotes[Pacote])</f>
        <v>Fernando de Noronha</v>
      </c>
      <c r="N723" t="str">
        <f>_xlfn.XLOOKUP(E723,tPacotes[ID_Pacote],tPacotes[Categoria])</f>
        <v>Praia</v>
      </c>
      <c r="O723" t="str">
        <f>_xlfn.XLOOKUP(D723,tClientes[ID_Cliente],tClientes[UF])</f>
        <v>BA</v>
      </c>
    </row>
    <row r="724" spans="1:15" x14ac:dyDescent="0.3">
      <c r="A724">
        <v>723</v>
      </c>
      <c r="B724" s="3">
        <v>45999</v>
      </c>
      <c r="C724" s="3">
        <v>46150</v>
      </c>
      <c r="D724">
        <v>89</v>
      </c>
      <c r="E724">
        <v>1</v>
      </c>
      <c r="F724">
        <v>1</v>
      </c>
      <c r="G724" s="2">
        <v>3200</v>
      </c>
      <c r="H724" s="4">
        <v>0</v>
      </c>
      <c r="I724" s="2">
        <v>3200</v>
      </c>
      <c r="J724" t="s">
        <v>257</v>
      </c>
      <c r="K724" t="s">
        <v>254</v>
      </c>
      <c r="L724">
        <v>5</v>
      </c>
      <c r="M724" t="str">
        <f>_xlfn.XLOOKUP(E724,tPacotes[ID_Pacote],tPacotes[Pacote])</f>
        <v>Nordeste Encantado</v>
      </c>
      <c r="N724" t="str">
        <f>_xlfn.XLOOKUP(E724,tPacotes[ID_Pacote],tPacotes[Categoria])</f>
        <v>Praia</v>
      </c>
      <c r="O724" t="str">
        <f>_xlfn.XLOOKUP(D724,tClientes[ID_Cliente],tClientes[UF])</f>
        <v>MG</v>
      </c>
    </row>
    <row r="725" spans="1:15" x14ac:dyDescent="0.3">
      <c r="A725">
        <v>724</v>
      </c>
      <c r="B725" s="3">
        <v>45999</v>
      </c>
      <c r="C725" s="3">
        <v>46018</v>
      </c>
      <c r="D725">
        <v>55</v>
      </c>
      <c r="E725">
        <v>7</v>
      </c>
      <c r="F725">
        <v>2</v>
      </c>
      <c r="G725" s="2">
        <v>8400</v>
      </c>
      <c r="H725" s="4">
        <v>0</v>
      </c>
      <c r="I725" s="2">
        <v>8400</v>
      </c>
      <c r="J725" t="s">
        <v>257</v>
      </c>
      <c r="K725" t="s">
        <v>254</v>
      </c>
      <c r="L725">
        <v>5</v>
      </c>
      <c r="M725" t="str">
        <f>_xlfn.XLOOKUP(E725,tPacotes[ID_Pacote],tPacotes[Pacote])</f>
        <v>Buenos Aires Clássica</v>
      </c>
      <c r="N725" t="str">
        <f>_xlfn.XLOOKUP(E725,tPacotes[ID_Pacote],tPacotes[Categoria])</f>
        <v>Cultural</v>
      </c>
      <c r="O725" t="str">
        <f>_xlfn.XLOOKUP(D725,tClientes[ID_Cliente],tClientes[UF])</f>
        <v>BA</v>
      </c>
    </row>
    <row r="726" spans="1:15" x14ac:dyDescent="0.3">
      <c r="A726">
        <v>725</v>
      </c>
      <c r="B726" s="3">
        <v>46000</v>
      </c>
      <c r="C726" s="3">
        <v>46135</v>
      </c>
      <c r="D726">
        <v>185</v>
      </c>
      <c r="E726">
        <v>9</v>
      </c>
      <c r="F726">
        <v>1</v>
      </c>
      <c r="G726" s="2">
        <v>8900</v>
      </c>
      <c r="H726" s="4">
        <v>0</v>
      </c>
      <c r="I726" s="2">
        <v>8900</v>
      </c>
      <c r="J726" t="s">
        <v>255</v>
      </c>
      <c r="K726" t="s">
        <v>254</v>
      </c>
      <c r="L726">
        <v>4</v>
      </c>
      <c r="M726" t="str">
        <f>_xlfn.XLOOKUP(E726,tPacotes[ID_Pacote],tPacotes[Pacote])</f>
        <v>Cancún All Inclusive</v>
      </c>
      <c r="N726" t="str">
        <f>_xlfn.XLOOKUP(E726,tPacotes[ID_Pacote],tPacotes[Categoria])</f>
        <v>Praia</v>
      </c>
      <c r="O726" t="str">
        <f>_xlfn.XLOOKUP(D726,tClientes[ID_Cliente],tClientes[UF])</f>
        <v>SP</v>
      </c>
    </row>
    <row r="727" spans="1:15" x14ac:dyDescent="0.3">
      <c r="A727">
        <v>726</v>
      </c>
      <c r="B727" s="3">
        <v>46000</v>
      </c>
      <c r="C727" s="3">
        <v>46081</v>
      </c>
      <c r="D727">
        <v>19</v>
      </c>
      <c r="E727">
        <v>1</v>
      </c>
      <c r="F727">
        <v>4</v>
      </c>
      <c r="G727" s="2">
        <v>12800</v>
      </c>
      <c r="H727" s="4">
        <v>0.1</v>
      </c>
      <c r="I727" s="2">
        <v>11520</v>
      </c>
      <c r="J727" t="s">
        <v>253</v>
      </c>
      <c r="K727" t="s">
        <v>254</v>
      </c>
      <c r="L727">
        <v>4</v>
      </c>
      <c r="M727" t="str">
        <f>_xlfn.XLOOKUP(E727,tPacotes[ID_Pacote],tPacotes[Pacote])</f>
        <v>Nordeste Encantado</v>
      </c>
      <c r="N727" t="str">
        <f>_xlfn.XLOOKUP(E727,tPacotes[ID_Pacote],tPacotes[Categoria])</f>
        <v>Praia</v>
      </c>
      <c r="O727" t="str">
        <f>_xlfn.XLOOKUP(D727,tClientes[ID_Cliente],tClientes[UF])</f>
        <v>SP</v>
      </c>
    </row>
    <row r="728" spans="1:15" x14ac:dyDescent="0.3">
      <c r="A728">
        <v>727</v>
      </c>
      <c r="B728" s="3">
        <v>46000</v>
      </c>
      <c r="C728" s="3">
        <v>46073</v>
      </c>
      <c r="D728">
        <v>19</v>
      </c>
      <c r="E728">
        <v>2</v>
      </c>
      <c r="F728">
        <v>2</v>
      </c>
      <c r="G728" s="2">
        <v>3600</v>
      </c>
      <c r="H728" s="4">
        <v>0.1</v>
      </c>
      <c r="I728" s="2">
        <v>3240</v>
      </c>
      <c r="J728" t="s">
        <v>257</v>
      </c>
      <c r="K728" t="s">
        <v>254</v>
      </c>
      <c r="L728">
        <v>4</v>
      </c>
      <c r="M728" t="str">
        <f>_xlfn.XLOOKUP(E728,tPacotes[ID_Pacote],tPacotes[Pacote])</f>
        <v>Rio Cidade Maravilhosa</v>
      </c>
      <c r="N728" t="str">
        <f>_xlfn.XLOOKUP(E728,tPacotes[ID_Pacote],tPacotes[Categoria])</f>
        <v>Cultural</v>
      </c>
      <c r="O728" t="str">
        <f>_xlfn.XLOOKUP(D728,tClientes[ID_Cliente],tClientes[UF])</f>
        <v>SP</v>
      </c>
    </row>
    <row r="729" spans="1:15" x14ac:dyDescent="0.3">
      <c r="A729">
        <v>728</v>
      </c>
      <c r="B729" s="3">
        <v>46001</v>
      </c>
      <c r="C729" s="3">
        <v>46014</v>
      </c>
      <c r="D729">
        <v>99</v>
      </c>
      <c r="E729">
        <v>7</v>
      </c>
      <c r="F729">
        <v>5</v>
      </c>
      <c r="G729" s="2">
        <v>21000</v>
      </c>
      <c r="H729" s="4">
        <v>0.1</v>
      </c>
      <c r="I729" s="2">
        <v>18900</v>
      </c>
      <c r="J729" t="s">
        <v>253</v>
      </c>
      <c r="K729" t="s">
        <v>254</v>
      </c>
      <c r="L729">
        <v>4</v>
      </c>
      <c r="M729" t="str">
        <f>_xlfn.XLOOKUP(E729,tPacotes[ID_Pacote],tPacotes[Pacote])</f>
        <v>Buenos Aires Clássica</v>
      </c>
      <c r="N729" t="str">
        <f>_xlfn.XLOOKUP(E729,tPacotes[ID_Pacote],tPacotes[Categoria])</f>
        <v>Cultural</v>
      </c>
      <c r="O729" t="str">
        <f>_xlfn.XLOOKUP(D729,tClientes[ID_Cliente],tClientes[UF])</f>
        <v>SP</v>
      </c>
    </row>
    <row r="730" spans="1:15" x14ac:dyDescent="0.3">
      <c r="A730">
        <v>729</v>
      </c>
      <c r="B730" s="3">
        <v>46001</v>
      </c>
      <c r="C730" s="3">
        <v>46010</v>
      </c>
      <c r="D730">
        <v>3</v>
      </c>
      <c r="E730">
        <v>3</v>
      </c>
      <c r="F730">
        <v>1</v>
      </c>
      <c r="G730" s="2">
        <v>2600</v>
      </c>
      <c r="H730" s="4">
        <v>0.05</v>
      </c>
      <c r="I730" s="2">
        <v>2470</v>
      </c>
      <c r="J730" t="s">
        <v>257</v>
      </c>
      <c r="K730" t="s">
        <v>254</v>
      </c>
      <c r="L730">
        <v>3</v>
      </c>
      <c r="M730" t="str">
        <f>_xlfn.XLOOKUP(E730,tPacotes[ID_Pacote],tPacotes[Pacote])</f>
        <v>Serra Gaúcha</v>
      </c>
      <c r="N730" t="str">
        <f>_xlfn.XLOOKUP(E730,tPacotes[ID_Pacote],tPacotes[Categoria])</f>
        <v>Inverno</v>
      </c>
      <c r="O730" t="str">
        <f>_xlfn.XLOOKUP(D730,tClientes[ID_Cliente],tClientes[UF])</f>
        <v>SP</v>
      </c>
    </row>
    <row r="731" spans="1:15" x14ac:dyDescent="0.3">
      <c r="A731">
        <v>730</v>
      </c>
      <c r="B731" s="3">
        <v>46001</v>
      </c>
      <c r="C731" s="3">
        <v>46121</v>
      </c>
      <c r="D731">
        <v>177</v>
      </c>
      <c r="E731">
        <v>4</v>
      </c>
      <c r="F731">
        <v>2</v>
      </c>
      <c r="G731" s="2">
        <v>13800</v>
      </c>
      <c r="H731" s="4">
        <v>0.1</v>
      </c>
      <c r="I731" s="2">
        <v>12420</v>
      </c>
      <c r="J731" t="s">
        <v>253</v>
      </c>
      <c r="K731" t="s">
        <v>254</v>
      </c>
      <c r="L731">
        <v>4</v>
      </c>
      <c r="M731" t="str">
        <f>_xlfn.XLOOKUP(E731,tPacotes[ID_Pacote],tPacotes[Pacote])</f>
        <v>Fernando de Noronha</v>
      </c>
      <c r="N731" t="str">
        <f>_xlfn.XLOOKUP(E731,tPacotes[ID_Pacote],tPacotes[Categoria])</f>
        <v>Praia</v>
      </c>
      <c r="O731" t="str">
        <f>_xlfn.XLOOKUP(D731,tClientes[ID_Cliente],tClientes[UF])</f>
        <v>RJ</v>
      </c>
    </row>
    <row r="732" spans="1:15" x14ac:dyDescent="0.3">
      <c r="A732">
        <v>731</v>
      </c>
      <c r="B732" s="3">
        <v>46001</v>
      </c>
      <c r="C732" s="3">
        <v>46058</v>
      </c>
      <c r="D732">
        <v>50</v>
      </c>
      <c r="E732">
        <v>8</v>
      </c>
      <c r="F732">
        <v>1</v>
      </c>
      <c r="G732" s="2">
        <v>5900</v>
      </c>
      <c r="H732" s="4">
        <v>0</v>
      </c>
      <c r="I732" s="2">
        <v>5900</v>
      </c>
      <c r="J732" t="s">
        <v>257</v>
      </c>
      <c r="K732" t="s">
        <v>254</v>
      </c>
      <c r="L732">
        <v>4</v>
      </c>
      <c r="M732" t="str">
        <f>_xlfn.XLOOKUP(E732,tPacotes[ID_Pacote],tPacotes[Pacote])</f>
        <v>Santiago e Neve</v>
      </c>
      <c r="N732" t="str">
        <f>_xlfn.XLOOKUP(E732,tPacotes[ID_Pacote],tPacotes[Categoria])</f>
        <v>Inverno</v>
      </c>
      <c r="O732" t="str">
        <f>_xlfn.XLOOKUP(D732,tClientes[ID_Cliente],tClientes[UF])</f>
        <v>SP</v>
      </c>
    </row>
    <row r="733" spans="1:15" x14ac:dyDescent="0.3">
      <c r="A733">
        <v>732</v>
      </c>
      <c r="B733" s="3">
        <v>46001</v>
      </c>
      <c r="C733" s="3">
        <v>46032</v>
      </c>
      <c r="D733">
        <v>40</v>
      </c>
      <c r="E733">
        <v>1</v>
      </c>
      <c r="F733">
        <v>3</v>
      </c>
      <c r="G733" s="2">
        <v>9600</v>
      </c>
      <c r="H733" s="4">
        <v>0.1</v>
      </c>
      <c r="I733" s="2">
        <v>8640</v>
      </c>
      <c r="J733" t="s">
        <v>255</v>
      </c>
      <c r="K733" t="s">
        <v>254</v>
      </c>
      <c r="L733">
        <v>2</v>
      </c>
      <c r="M733" t="str">
        <f>_xlfn.XLOOKUP(E733,tPacotes[ID_Pacote],tPacotes[Pacote])</f>
        <v>Nordeste Encantado</v>
      </c>
      <c r="N733" t="str">
        <f>_xlfn.XLOOKUP(E733,tPacotes[ID_Pacote],tPacotes[Categoria])</f>
        <v>Praia</v>
      </c>
      <c r="O733" t="str">
        <f>_xlfn.XLOOKUP(D733,tClientes[ID_Cliente],tClientes[UF])</f>
        <v>RJ</v>
      </c>
    </row>
    <row r="734" spans="1:15" x14ac:dyDescent="0.3">
      <c r="A734">
        <v>733</v>
      </c>
      <c r="B734" s="3">
        <v>46001</v>
      </c>
      <c r="C734" s="3">
        <v>46089</v>
      </c>
      <c r="D734">
        <v>100</v>
      </c>
      <c r="E734">
        <v>3</v>
      </c>
      <c r="F734">
        <v>4</v>
      </c>
      <c r="G734" s="2">
        <v>10400</v>
      </c>
      <c r="H734" s="4">
        <v>0</v>
      </c>
      <c r="I734" s="2">
        <v>10400</v>
      </c>
      <c r="J734" t="s">
        <v>253</v>
      </c>
      <c r="K734" t="s">
        <v>254</v>
      </c>
      <c r="L734">
        <v>3</v>
      </c>
      <c r="M734" t="str">
        <f>_xlfn.XLOOKUP(E734,tPacotes[ID_Pacote],tPacotes[Pacote])</f>
        <v>Serra Gaúcha</v>
      </c>
      <c r="N734" t="str">
        <f>_xlfn.XLOOKUP(E734,tPacotes[ID_Pacote],tPacotes[Categoria])</f>
        <v>Inverno</v>
      </c>
      <c r="O734" t="str">
        <f>_xlfn.XLOOKUP(D734,tClientes[ID_Cliente],tClientes[UF])</f>
        <v>SP</v>
      </c>
    </row>
    <row r="735" spans="1:15" x14ac:dyDescent="0.3">
      <c r="A735">
        <v>734</v>
      </c>
      <c r="B735" s="3">
        <v>46001</v>
      </c>
      <c r="C735" s="3">
        <v>46038</v>
      </c>
      <c r="D735">
        <v>198</v>
      </c>
      <c r="E735">
        <v>3</v>
      </c>
      <c r="F735">
        <v>4</v>
      </c>
      <c r="G735" s="2">
        <v>10400</v>
      </c>
      <c r="H735" s="4">
        <v>0</v>
      </c>
      <c r="I735" s="2">
        <v>10400</v>
      </c>
      <c r="J735" t="s">
        <v>257</v>
      </c>
      <c r="K735" t="s">
        <v>254</v>
      </c>
      <c r="L735">
        <v>5</v>
      </c>
      <c r="M735" t="str">
        <f>_xlfn.XLOOKUP(E735,tPacotes[ID_Pacote],tPacotes[Pacote])</f>
        <v>Serra Gaúcha</v>
      </c>
      <c r="N735" t="str">
        <f>_xlfn.XLOOKUP(E735,tPacotes[ID_Pacote],tPacotes[Categoria])</f>
        <v>Inverno</v>
      </c>
      <c r="O735" t="str">
        <f>_xlfn.XLOOKUP(D735,tClientes[ID_Cliente],tClientes[UF])</f>
        <v>SP</v>
      </c>
    </row>
    <row r="736" spans="1:15" x14ac:dyDescent="0.3">
      <c r="A736">
        <v>735</v>
      </c>
      <c r="B736" s="3">
        <v>46002</v>
      </c>
      <c r="C736" s="3">
        <v>46014</v>
      </c>
      <c r="D736">
        <v>100</v>
      </c>
      <c r="E736">
        <v>11</v>
      </c>
      <c r="F736">
        <v>1</v>
      </c>
      <c r="G736" s="2">
        <v>15800</v>
      </c>
      <c r="H736" s="4">
        <v>0</v>
      </c>
      <c r="I736" s="2">
        <v>15800</v>
      </c>
      <c r="J736" t="s">
        <v>253</v>
      </c>
      <c r="K736" t="s">
        <v>254</v>
      </c>
      <c r="L736">
        <v>2</v>
      </c>
      <c r="M736" t="str">
        <f>_xlfn.XLOOKUP(E736,tPacotes[ID_Pacote],tPacotes[Pacote])</f>
        <v>Paris e Londres</v>
      </c>
      <c r="N736" t="str">
        <f>_xlfn.XLOOKUP(E736,tPacotes[ID_Pacote],tPacotes[Categoria])</f>
        <v>Cultural</v>
      </c>
      <c r="O736" t="str">
        <f>_xlfn.XLOOKUP(D736,tClientes[ID_Cliente],tClientes[UF])</f>
        <v>SP</v>
      </c>
    </row>
    <row r="737" spans="1:15" x14ac:dyDescent="0.3">
      <c r="A737">
        <v>736</v>
      </c>
      <c r="B737" s="3">
        <v>46002</v>
      </c>
      <c r="C737" s="3">
        <v>46085</v>
      </c>
      <c r="D737">
        <v>83</v>
      </c>
      <c r="E737">
        <v>2</v>
      </c>
      <c r="F737">
        <v>2</v>
      </c>
      <c r="G737" s="2">
        <v>3600</v>
      </c>
      <c r="H737" s="4">
        <v>0</v>
      </c>
      <c r="I737" s="2">
        <v>3600</v>
      </c>
      <c r="J737" t="s">
        <v>253</v>
      </c>
      <c r="K737" t="s">
        <v>254</v>
      </c>
      <c r="L737">
        <v>5</v>
      </c>
      <c r="M737" t="str">
        <f>_xlfn.XLOOKUP(E737,tPacotes[ID_Pacote],tPacotes[Pacote])</f>
        <v>Rio Cidade Maravilhosa</v>
      </c>
      <c r="N737" t="str">
        <f>_xlfn.XLOOKUP(E737,tPacotes[ID_Pacote],tPacotes[Categoria])</f>
        <v>Cultural</v>
      </c>
      <c r="O737" t="str">
        <f>_xlfn.XLOOKUP(D737,tClientes[ID_Cliente],tClientes[UF])</f>
        <v>SP</v>
      </c>
    </row>
    <row r="738" spans="1:15" x14ac:dyDescent="0.3">
      <c r="A738">
        <v>737</v>
      </c>
      <c r="B738" s="3">
        <v>46003</v>
      </c>
      <c r="C738" s="3">
        <v>46022</v>
      </c>
      <c r="D738">
        <v>91</v>
      </c>
      <c r="E738">
        <v>1</v>
      </c>
      <c r="F738">
        <v>2</v>
      </c>
      <c r="G738" s="2">
        <v>6400</v>
      </c>
      <c r="H738" s="4">
        <v>0</v>
      </c>
      <c r="I738" s="2">
        <v>6400</v>
      </c>
      <c r="J738" t="s">
        <v>256</v>
      </c>
      <c r="K738" t="s">
        <v>254</v>
      </c>
      <c r="L738">
        <v>5</v>
      </c>
      <c r="M738" t="str">
        <f>_xlfn.XLOOKUP(E738,tPacotes[ID_Pacote],tPacotes[Pacote])</f>
        <v>Nordeste Encantado</v>
      </c>
      <c r="N738" t="str">
        <f>_xlfn.XLOOKUP(E738,tPacotes[ID_Pacote],tPacotes[Categoria])</f>
        <v>Praia</v>
      </c>
      <c r="O738" t="str">
        <f>_xlfn.XLOOKUP(D738,tClientes[ID_Cliente],tClientes[UF])</f>
        <v>SP</v>
      </c>
    </row>
    <row r="739" spans="1:15" x14ac:dyDescent="0.3">
      <c r="A739">
        <v>738</v>
      </c>
      <c r="B739" s="3">
        <v>46003</v>
      </c>
      <c r="C739" s="3">
        <v>46034</v>
      </c>
      <c r="D739">
        <v>68</v>
      </c>
      <c r="E739">
        <v>8</v>
      </c>
      <c r="F739">
        <v>1</v>
      </c>
      <c r="G739" s="2">
        <v>5900</v>
      </c>
      <c r="H739" s="4">
        <v>0.05</v>
      </c>
      <c r="I739" s="2">
        <v>5605</v>
      </c>
      <c r="J739" t="s">
        <v>253</v>
      </c>
      <c r="K739" t="s">
        <v>254</v>
      </c>
      <c r="L739">
        <v>3</v>
      </c>
      <c r="M739" t="str">
        <f>_xlfn.XLOOKUP(E739,tPacotes[ID_Pacote],tPacotes[Pacote])</f>
        <v>Santiago e Neve</v>
      </c>
      <c r="N739" t="str">
        <f>_xlfn.XLOOKUP(E739,tPacotes[ID_Pacote],tPacotes[Categoria])</f>
        <v>Inverno</v>
      </c>
      <c r="O739" t="str">
        <f>_xlfn.XLOOKUP(D739,tClientes[ID_Cliente],tClientes[UF])</f>
        <v>BA</v>
      </c>
    </row>
    <row r="740" spans="1:15" x14ac:dyDescent="0.3">
      <c r="A740">
        <v>739</v>
      </c>
      <c r="B740" s="3">
        <v>46003</v>
      </c>
      <c r="C740" s="3">
        <v>46079</v>
      </c>
      <c r="D740">
        <v>163</v>
      </c>
      <c r="E740">
        <v>10</v>
      </c>
      <c r="F740">
        <v>2</v>
      </c>
      <c r="G740" s="2">
        <v>23000</v>
      </c>
      <c r="H740" s="4">
        <v>0</v>
      </c>
      <c r="I740" s="2">
        <v>23000</v>
      </c>
      <c r="J740" t="s">
        <v>255</v>
      </c>
      <c r="K740" t="s">
        <v>254</v>
      </c>
      <c r="L740">
        <v>4</v>
      </c>
      <c r="M740" t="str">
        <f>_xlfn.XLOOKUP(E740,tPacotes[ID_Pacote],tPacotes[Pacote])</f>
        <v>Orlando Parques</v>
      </c>
      <c r="N740" t="str">
        <f>_xlfn.XLOOKUP(E740,tPacotes[ID_Pacote],tPacotes[Categoria])</f>
        <v>Parques</v>
      </c>
      <c r="O740" t="str">
        <f>_xlfn.XLOOKUP(D740,tClientes[ID_Cliente],tClientes[UF])</f>
        <v>DF</v>
      </c>
    </row>
    <row r="741" spans="1:15" x14ac:dyDescent="0.3">
      <c r="A741">
        <v>740</v>
      </c>
      <c r="B741" s="3">
        <v>46004</v>
      </c>
      <c r="C741" s="3">
        <v>46017</v>
      </c>
      <c r="D741">
        <v>184</v>
      </c>
      <c r="E741">
        <v>3</v>
      </c>
      <c r="F741">
        <v>3</v>
      </c>
      <c r="G741" s="2">
        <v>7800</v>
      </c>
      <c r="H741" s="4">
        <v>0.1</v>
      </c>
      <c r="I741" s="2">
        <v>7020</v>
      </c>
      <c r="J741" t="s">
        <v>253</v>
      </c>
      <c r="K741" t="s">
        <v>254</v>
      </c>
      <c r="L741">
        <v>4</v>
      </c>
      <c r="M741" t="str">
        <f>_xlfn.XLOOKUP(E741,tPacotes[ID_Pacote],tPacotes[Pacote])</f>
        <v>Serra Gaúcha</v>
      </c>
      <c r="N741" t="str">
        <f>_xlfn.XLOOKUP(E741,tPacotes[ID_Pacote],tPacotes[Categoria])</f>
        <v>Inverno</v>
      </c>
      <c r="O741" t="str">
        <f>_xlfn.XLOOKUP(D741,tClientes[ID_Cliente],tClientes[UF])</f>
        <v>SP</v>
      </c>
    </row>
    <row r="742" spans="1:15" x14ac:dyDescent="0.3">
      <c r="A742">
        <v>741</v>
      </c>
      <c r="B742" s="3">
        <v>46004</v>
      </c>
      <c r="C742" s="3">
        <v>46015</v>
      </c>
      <c r="D742">
        <v>179</v>
      </c>
      <c r="E742">
        <v>1</v>
      </c>
      <c r="F742">
        <v>5</v>
      </c>
      <c r="G742" s="2">
        <v>16000</v>
      </c>
      <c r="H742" s="4">
        <v>0.1</v>
      </c>
      <c r="I742" s="2">
        <v>14400</v>
      </c>
      <c r="J742" t="s">
        <v>255</v>
      </c>
      <c r="K742" t="s">
        <v>254</v>
      </c>
      <c r="L742">
        <v>4</v>
      </c>
      <c r="M742" t="str">
        <f>_xlfn.XLOOKUP(E742,tPacotes[ID_Pacote],tPacotes[Pacote])</f>
        <v>Nordeste Encantado</v>
      </c>
      <c r="N742" t="str">
        <f>_xlfn.XLOOKUP(E742,tPacotes[ID_Pacote],tPacotes[Categoria])</f>
        <v>Praia</v>
      </c>
      <c r="O742" t="str">
        <f>_xlfn.XLOOKUP(D742,tClientes[ID_Cliente],tClientes[UF])</f>
        <v>SP</v>
      </c>
    </row>
    <row r="743" spans="1:15" x14ac:dyDescent="0.3">
      <c r="A743">
        <v>742</v>
      </c>
      <c r="B743" s="3">
        <v>46004</v>
      </c>
      <c r="C743" s="3">
        <v>46126</v>
      </c>
      <c r="D743">
        <v>124</v>
      </c>
      <c r="E743">
        <v>1</v>
      </c>
      <c r="F743">
        <v>1</v>
      </c>
      <c r="G743" s="2">
        <v>3200</v>
      </c>
      <c r="H743" s="4">
        <v>0</v>
      </c>
      <c r="I743" s="2">
        <v>3200</v>
      </c>
      <c r="J743" t="s">
        <v>253</v>
      </c>
      <c r="K743" t="s">
        <v>254</v>
      </c>
      <c r="L743">
        <v>5</v>
      </c>
      <c r="M743" t="str">
        <f>_xlfn.XLOOKUP(E743,tPacotes[ID_Pacote],tPacotes[Pacote])</f>
        <v>Nordeste Encantado</v>
      </c>
      <c r="N743" t="str">
        <f>_xlfn.XLOOKUP(E743,tPacotes[ID_Pacote],tPacotes[Categoria])</f>
        <v>Praia</v>
      </c>
      <c r="O743" t="str">
        <f>_xlfn.XLOOKUP(D743,tClientes[ID_Cliente],tClientes[UF])</f>
        <v>BA</v>
      </c>
    </row>
    <row r="744" spans="1:15" x14ac:dyDescent="0.3">
      <c r="A744">
        <v>743</v>
      </c>
      <c r="B744" s="3">
        <v>46004</v>
      </c>
      <c r="C744" s="3">
        <v>46072</v>
      </c>
      <c r="D744">
        <v>74</v>
      </c>
      <c r="E744">
        <v>10</v>
      </c>
      <c r="F744">
        <v>2</v>
      </c>
      <c r="G744" s="2">
        <v>23000</v>
      </c>
      <c r="H744" s="4">
        <v>0.1</v>
      </c>
      <c r="I744" s="2">
        <v>20700</v>
      </c>
      <c r="J744" t="s">
        <v>253</v>
      </c>
      <c r="K744" t="s">
        <v>254</v>
      </c>
      <c r="L744">
        <v>5</v>
      </c>
      <c r="M744" t="str">
        <f>_xlfn.XLOOKUP(E744,tPacotes[ID_Pacote],tPacotes[Pacote])</f>
        <v>Orlando Parques</v>
      </c>
      <c r="N744" t="str">
        <f>_xlfn.XLOOKUP(E744,tPacotes[ID_Pacote],tPacotes[Categoria])</f>
        <v>Parques</v>
      </c>
      <c r="O744" t="str">
        <f>_xlfn.XLOOKUP(D744,tClientes[ID_Cliente],tClientes[UF])</f>
        <v>SP</v>
      </c>
    </row>
    <row r="745" spans="1:15" x14ac:dyDescent="0.3">
      <c r="A745">
        <v>744</v>
      </c>
      <c r="B745" s="3">
        <v>46004</v>
      </c>
      <c r="C745" s="3">
        <v>46037</v>
      </c>
      <c r="D745">
        <v>99</v>
      </c>
      <c r="E745">
        <v>7</v>
      </c>
      <c r="F745">
        <v>1</v>
      </c>
      <c r="G745" s="2">
        <v>4200</v>
      </c>
      <c r="H745" s="4">
        <v>0</v>
      </c>
      <c r="I745" s="2">
        <v>4200</v>
      </c>
      <c r="J745" t="s">
        <v>253</v>
      </c>
      <c r="K745" t="s">
        <v>254</v>
      </c>
      <c r="L745">
        <v>4</v>
      </c>
      <c r="M745" t="str">
        <f>_xlfn.XLOOKUP(E745,tPacotes[ID_Pacote],tPacotes[Pacote])</f>
        <v>Buenos Aires Clássica</v>
      </c>
      <c r="N745" t="str">
        <f>_xlfn.XLOOKUP(E745,tPacotes[ID_Pacote],tPacotes[Categoria])</f>
        <v>Cultural</v>
      </c>
      <c r="O745" t="str">
        <f>_xlfn.XLOOKUP(D745,tClientes[ID_Cliente],tClientes[UF])</f>
        <v>SP</v>
      </c>
    </row>
    <row r="746" spans="1:15" x14ac:dyDescent="0.3">
      <c r="A746">
        <v>745</v>
      </c>
      <c r="B746" s="3">
        <v>46005</v>
      </c>
      <c r="C746" s="3">
        <v>46020</v>
      </c>
      <c r="D746">
        <v>171</v>
      </c>
      <c r="E746">
        <v>8</v>
      </c>
      <c r="F746">
        <v>2</v>
      </c>
      <c r="G746" s="2">
        <v>11800</v>
      </c>
      <c r="H746" s="4">
        <v>0.05</v>
      </c>
      <c r="I746" s="2">
        <v>11210</v>
      </c>
      <c r="J746" t="s">
        <v>253</v>
      </c>
      <c r="K746" t="s">
        <v>254</v>
      </c>
      <c r="L746">
        <v>3</v>
      </c>
      <c r="M746" t="str">
        <f>_xlfn.XLOOKUP(E746,tPacotes[ID_Pacote],tPacotes[Pacote])</f>
        <v>Santiago e Neve</v>
      </c>
      <c r="N746" t="str">
        <f>_xlfn.XLOOKUP(E746,tPacotes[ID_Pacote],tPacotes[Categoria])</f>
        <v>Inverno</v>
      </c>
      <c r="O746" t="str">
        <f>_xlfn.XLOOKUP(D746,tClientes[ID_Cliente],tClientes[UF])</f>
        <v>SP</v>
      </c>
    </row>
    <row r="747" spans="1:15" x14ac:dyDescent="0.3">
      <c r="A747">
        <v>746</v>
      </c>
      <c r="B747" s="3">
        <v>46005</v>
      </c>
      <c r="C747" s="3">
        <v>46032</v>
      </c>
      <c r="D747">
        <v>132</v>
      </c>
      <c r="E747">
        <v>3</v>
      </c>
      <c r="F747">
        <v>2</v>
      </c>
      <c r="G747" s="2">
        <v>5200</v>
      </c>
      <c r="H747" s="4">
        <v>0</v>
      </c>
      <c r="I747" s="2">
        <v>5200</v>
      </c>
      <c r="J747" t="s">
        <v>257</v>
      </c>
      <c r="K747" t="s">
        <v>254</v>
      </c>
      <c r="L747">
        <v>4</v>
      </c>
      <c r="M747" t="str">
        <f>_xlfn.XLOOKUP(E747,tPacotes[ID_Pacote],tPacotes[Pacote])</f>
        <v>Serra Gaúcha</v>
      </c>
      <c r="N747" t="str">
        <f>_xlfn.XLOOKUP(E747,tPacotes[ID_Pacote],tPacotes[Categoria])</f>
        <v>Inverno</v>
      </c>
      <c r="O747" t="str">
        <f>_xlfn.XLOOKUP(D747,tClientes[ID_Cliente],tClientes[UF])</f>
        <v>RS</v>
      </c>
    </row>
    <row r="748" spans="1:15" x14ac:dyDescent="0.3">
      <c r="A748">
        <v>747</v>
      </c>
      <c r="B748" s="3">
        <v>46005</v>
      </c>
      <c r="C748" s="3">
        <v>46147</v>
      </c>
      <c r="D748">
        <v>177</v>
      </c>
      <c r="E748">
        <v>9</v>
      </c>
      <c r="F748">
        <v>1</v>
      </c>
      <c r="G748" s="2">
        <v>8900</v>
      </c>
      <c r="H748" s="4">
        <v>0.1</v>
      </c>
      <c r="I748" s="2">
        <v>8010</v>
      </c>
      <c r="J748" t="s">
        <v>257</v>
      </c>
      <c r="K748" t="s">
        <v>254</v>
      </c>
      <c r="L748">
        <v>4</v>
      </c>
      <c r="M748" t="str">
        <f>_xlfn.XLOOKUP(E748,tPacotes[ID_Pacote],tPacotes[Pacote])</f>
        <v>Cancún All Inclusive</v>
      </c>
      <c r="N748" t="str">
        <f>_xlfn.XLOOKUP(E748,tPacotes[ID_Pacote],tPacotes[Categoria])</f>
        <v>Praia</v>
      </c>
      <c r="O748" t="str">
        <f>_xlfn.XLOOKUP(D748,tClientes[ID_Cliente],tClientes[UF])</f>
        <v>RJ</v>
      </c>
    </row>
    <row r="749" spans="1:15" x14ac:dyDescent="0.3">
      <c r="A749">
        <v>748</v>
      </c>
      <c r="B749" s="3">
        <v>46005</v>
      </c>
      <c r="C749" s="3">
        <v>46177</v>
      </c>
      <c r="D749">
        <v>189</v>
      </c>
      <c r="E749">
        <v>3</v>
      </c>
      <c r="F749">
        <v>2</v>
      </c>
      <c r="G749" s="2">
        <v>5200</v>
      </c>
      <c r="H749" s="4">
        <v>0.15</v>
      </c>
      <c r="I749" s="2">
        <v>4420</v>
      </c>
      <c r="J749" t="s">
        <v>255</v>
      </c>
      <c r="K749" t="s">
        <v>254</v>
      </c>
      <c r="L749">
        <v>4</v>
      </c>
      <c r="M749" t="str">
        <f>_xlfn.XLOOKUP(E749,tPacotes[ID_Pacote],tPacotes[Pacote])</f>
        <v>Serra Gaúcha</v>
      </c>
      <c r="N749" t="str">
        <f>_xlfn.XLOOKUP(E749,tPacotes[ID_Pacote],tPacotes[Categoria])</f>
        <v>Inverno</v>
      </c>
      <c r="O749" t="str">
        <f>_xlfn.XLOOKUP(D749,tClientes[ID_Cliente],tClientes[UF])</f>
        <v>SP</v>
      </c>
    </row>
    <row r="750" spans="1:15" x14ac:dyDescent="0.3">
      <c r="A750">
        <v>749</v>
      </c>
      <c r="B750" s="3">
        <v>46005</v>
      </c>
      <c r="C750" s="3">
        <v>46045</v>
      </c>
      <c r="D750">
        <v>41</v>
      </c>
      <c r="E750">
        <v>10</v>
      </c>
      <c r="F750">
        <v>3</v>
      </c>
      <c r="G750" s="2">
        <v>34500</v>
      </c>
      <c r="H750" s="4">
        <v>0.05</v>
      </c>
      <c r="I750" s="2">
        <v>32775</v>
      </c>
      <c r="J750" t="s">
        <v>253</v>
      </c>
      <c r="K750" t="s">
        <v>254</v>
      </c>
      <c r="L750">
        <v>3</v>
      </c>
      <c r="M750" t="str">
        <f>_xlfn.XLOOKUP(E750,tPacotes[ID_Pacote],tPacotes[Pacote])</f>
        <v>Orlando Parques</v>
      </c>
      <c r="N750" t="str">
        <f>_xlfn.XLOOKUP(E750,tPacotes[ID_Pacote],tPacotes[Categoria])</f>
        <v>Parques</v>
      </c>
      <c r="O750" t="str">
        <f>_xlfn.XLOOKUP(D750,tClientes[ID_Cliente],tClientes[UF])</f>
        <v>RS</v>
      </c>
    </row>
    <row r="751" spans="1:15" x14ac:dyDescent="0.3">
      <c r="A751">
        <v>750</v>
      </c>
      <c r="B751" s="3">
        <v>46006</v>
      </c>
      <c r="C751" s="3">
        <v>46064</v>
      </c>
      <c r="D751">
        <v>49</v>
      </c>
      <c r="E751">
        <v>1</v>
      </c>
      <c r="F751">
        <v>2</v>
      </c>
      <c r="G751" s="2">
        <v>6400</v>
      </c>
      <c r="H751" s="4">
        <v>0</v>
      </c>
      <c r="I751" s="2">
        <v>6400</v>
      </c>
      <c r="J751" t="s">
        <v>255</v>
      </c>
      <c r="K751" t="s">
        <v>254</v>
      </c>
      <c r="L751">
        <v>4</v>
      </c>
      <c r="M751" t="str">
        <f>_xlfn.XLOOKUP(E751,tPacotes[ID_Pacote],tPacotes[Pacote])</f>
        <v>Nordeste Encantado</v>
      </c>
      <c r="N751" t="str">
        <f>_xlfn.XLOOKUP(E751,tPacotes[ID_Pacote],tPacotes[Categoria])</f>
        <v>Praia</v>
      </c>
      <c r="O751" t="str">
        <f>_xlfn.XLOOKUP(D751,tClientes[ID_Cliente],tClientes[UF])</f>
        <v>RJ</v>
      </c>
    </row>
    <row r="752" spans="1:15" x14ac:dyDescent="0.3">
      <c r="A752">
        <v>751</v>
      </c>
      <c r="B752" s="3">
        <v>46006</v>
      </c>
      <c r="C752" s="3">
        <v>46023</v>
      </c>
      <c r="D752">
        <v>84</v>
      </c>
      <c r="E752">
        <v>2</v>
      </c>
      <c r="F752">
        <v>1</v>
      </c>
      <c r="G752" s="2">
        <v>1800</v>
      </c>
      <c r="H752" s="4">
        <v>0</v>
      </c>
      <c r="I752" s="2">
        <v>1800</v>
      </c>
      <c r="J752" t="s">
        <v>255</v>
      </c>
      <c r="K752" t="s">
        <v>254</v>
      </c>
      <c r="L752">
        <v>3</v>
      </c>
      <c r="M752" t="str">
        <f>_xlfn.XLOOKUP(E752,tPacotes[ID_Pacote],tPacotes[Pacote])</f>
        <v>Rio Cidade Maravilhosa</v>
      </c>
      <c r="N752" t="str">
        <f>_xlfn.XLOOKUP(E752,tPacotes[ID_Pacote],tPacotes[Categoria])</f>
        <v>Cultural</v>
      </c>
      <c r="O752" t="str">
        <f>_xlfn.XLOOKUP(D752,tClientes[ID_Cliente],tClientes[UF])</f>
        <v>RS</v>
      </c>
    </row>
    <row r="753" spans="1:15" x14ac:dyDescent="0.3">
      <c r="A753">
        <v>752</v>
      </c>
      <c r="B753" s="3">
        <v>46006</v>
      </c>
      <c r="C753" s="3">
        <v>46047</v>
      </c>
      <c r="D753">
        <v>47</v>
      </c>
      <c r="E753">
        <v>9</v>
      </c>
      <c r="F753">
        <v>1</v>
      </c>
      <c r="G753" s="2">
        <v>8900</v>
      </c>
      <c r="H753" s="4">
        <v>0</v>
      </c>
      <c r="I753" s="2">
        <v>8900</v>
      </c>
      <c r="J753" t="s">
        <v>253</v>
      </c>
      <c r="K753" t="s">
        <v>254</v>
      </c>
      <c r="L753">
        <v>4</v>
      </c>
      <c r="M753" t="str">
        <f>_xlfn.XLOOKUP(E753,tPacotes[ID_Pacote],tPacotes[Pacote])</f>
        <v>Cancún All Inclusive</v>
      </c>
      <c r="N753" t="str">
        <f>_xlfn.XLOOKUP(E753,tPacotes[ID_Pacote],tPacotes[Categoria])</f>
        <v>Praia</v>
      </c>
      <c r="O753" t="str">
        <f>_xlfn.XLOOKUP(D753,tClientes[ID_Cliente],tClientes[UF])</f>
        <v>BA</v>
      </c>
    </row>
    <row r="754" spans="1:15" x14ac:dyDescent="0.3">
      <c r="A754">
        <v>753</v>
      </c>
      <c r="B754" s="3">
        <v>46007</v>
      </c>
      <c r="C754" s="3">
        <v>46086</v>
      </c>
      <c r="D754">
        <v>100</v>
      </c>
      <c r="E754">
        <v>9</v>
      </c>
      <c r="F754">
        <v>3</v>
      </c>
      <c r="G754" s="2">
        <v>26700</v>
      </c>
      <c r="H754" s="4">
        <v>0</v>
      </c>
      <c r="I754" s="2">
        <v>26700</v>
      </c>
      <c r="J754" t="s">
        <v>253</v>
      </c>
      <c r="K754" t="s">
        <v>254</v>
      </c>
      <c r="L754">
        <v>5</v>
      </c>
      <c r="M754" t="str">
        <f>_xlfn.XLOOKUP(E754,tPacotes[ID_Pacote],tPacotes[Pacote])</f>
        <v>Cancún All Inclusive</v>
      </c>
      <c r="N754" t="str">
        <f>_xlfn.XLOOKUP(E754,tPacotes[ID_Pacote],tPacotes[Categoria])</f>
        <v>Praia</v>
      </c>
      <c r="O754" t="str">
        <f>_xlfn.XLOOKUP(D754,tClientes[ID_Cliente],tClientes[UF])</f>
        <v>SP</v>
      </c>
    </row>
    <row r="755" spans="1:15" x14ac:dyDescent="0.3">
      <c r="A755">
        <v>754</v>
      </c>
      <c r="B755" s="3">
        <v>46007</v>
      </c>
      <c r="C755" s="3">
        <v>46048</v>
      </c>
      <c r="D755">
        <v>159</v>
      </c>
      <c r="E755">
        <v>5</v>
      </c>
      <c r="F755">
        <v>2</v>
      </c>
      <c r="G755" s="2">
        <v>6800</v>
      </c>
      <c r="H755" s="4">
        <v>0.1</v>
      </c>
      <c r="I755" s="2">
        <v>6120</v>
      </c>
      <c r="J755" t="s">
        <v>253</v>
      </c>
      <c r="K755" t="s">
        <v>254</v>
      </c>
      <c r="L755">
        <v>5</v>
      </c>
      <c r="M755" t="str">
        <f>_xlfn.XLOOKUP(E755,tPacotes[ID_Pacote],tPacotes[Pacote])</f>
        <v>Bonito Aventura</v>
      </c>
      <c r="N755" t="str">
        <f>_xlfn.XLOOKUP(E755,tPacotes[ID_Pacote],tPacotes[Categoria])</f>
        <v>Aventura</v>
      </c>
      <c r="O755" t="str">
        <f>_xlfn.XLOOKUP(D755,tClientes[ID_Cliente],tClientes[UF])</f>
        <v>SP</v>
      </c>
    </row>
    <row r="756" spans="1:15" x14ac:dyDescent="0.3">
      <c r="A756">
        <v>755</v>
      </c>
      <c r="B756" s="3">
        <v>46007</v>
      </c>
      <c r="C756" s="3">
        <v>46049</v>
      </c>
      <c r="D756">
        <v>111</v>
      </c>
      <c r="E756">
        <v>15</v>
      </c>
      <c r="F756">
        <v>2</v>
      </c>
      <c r="G756" s="2">
        <v>6200</v>
      </c>
      <c r="H756" s="4">
        <v>0</v>
      </c>
      <c r="I756" s="2">
        <v>6200</v>
      </c>
      <c r="J756" t="s">
        <v>256</v>
      </c>
      <c r="K756" t="s">
        <v>254</v>
      </c>
      <c r="L756">
        <v>5</v>
      </c>
      <c r="M756" t="str">
        <f>_xlfn.XLOOKUP(E756,tPacotes[ID_Pacote],tPacotes[Pacote])</f>
        <v>Jericoacoara</v>
      </c>
      <c r="N756" t="str">
        <f>_xlfn.XLOOKUP(E756,tPacotes[ID_Pacote],tPacotes[Categoria])</f>
        <v>Praia</v>
      </c>
      <c r="O756" t="str">
        <f>_xlfn.XLOOKUP(D756,tClientes[ID_Cliente],tClientes[UF])</f>
        <v>RJ</v>
      </c>
    </row>
    <row r="757" spans="1:15" x14ac:dyDescent="0.3">
      <c r="A757">
        <v>756</v>
      </c>
      <c r="B757" s="3">
        <v>46008</v>
      </c>
      <c r="C757" s="3">
        <v>46153</v>
      </c>
      <c r="D757">
        <v>63</v>
      </c>
      <c r="E757">
        <v>15</v>
      </c>
      <c r="F757">
        <v>4</v>
      </c>
      <c r="G757" s="2">
        <v>12400</v>
      </c>
      <c r="H757" s="4">
        <v>0.05</v>
      </c>
      <c r="I757" s="2">
        <v>11780</v>
      </c>
      <c r="J757" t="s">
        <v>253</v>
      </c>
      <c r="K757" t="s">
        <v>258</v>
      </c>
      <c r="M757" t="str">
        <f>_xlfn.XLOOKUP(E757,tPacotes[ID_Pacote],tPacotes[Pacote])</f>
        <v>Jericoacoara</v>
      </c>
      <c r="N757" t="str">
        <f>_xlfn.XLOOKUP(E757,tPacotes[ID_Pacote],tPacotes[Categoria])</f>
        <v>Praia</v>
      </c>
      <c r="O757" t="str">
        <f>_xlfn.XLOOKUP(D757,tClientes[ID_Cliente],tClientes[UF])</f>
        <v>RS</v>
      </c>
    </row>
    <row r="758" spans="1:15" x14ac:dyDescent="0.3">
      <c r="A758">
        <v>757</v>
      </c>
      <c r="B758" s="3">
        <v>46008</v>
      </c>
      <c r="C758" s="3">
        <v>46023</v>
      </c>
      <c r="D758">
        <v>16</v>
      </c>
      <c r="E758">
        <v>2</v>
      </c>
      <c r="F758">
        <v>2</v>
      </c>
      <c r="G758" s="2">
        <v>3600</v>
      </c>
      <c r="H758" s="4">
        <v>0</v>
      </c>
      <c r="I758" s="2">
        <v>3600</v>
      </c>
      <c r="J758" t="s">
        <v>257</v>
      </c>
      <c r="K758" t="s">
        <v>254</v>
      </c>
      <c r="L758">
        <v>3</v>
      </c>
      <c r="M758" t="str">
        <f>_xlfn.XLOOKUP(E758,tPacotes[ID_Pacote],tPacotes[Pacote])</f>
        <v>Rio Cidade Maravilhosa</v>
      </c>
      <c r="N758" t="str">
        <f>_xlfn.XLOOKUP(E758,tPacotes[ID_Pacote],tPacotes[Categoria])</f>
        <v>Cultural</v>
      </c>
      <c r="O758" t="str">
        <f>_xlfn.XLOOKUP(D758,tClientes[ID_Cliente],tClientes[UF])</f>
        <v>DF</v>
      </c>
    </row>
    <row r="759" spans="1:15" x14ac:dyDescent="0.3">
      <c r="A759">
        <v>758</v>
      </c>
      <c r="B759" s="3">
        <v>46009</v>
      </c>
      <c r="C759" s="3">
        <v>46021</v>
      </c>
      <c r="D759">
        <v>106</v>
      </c>
      <c r="E759">
        <v>2</v>
      </c>
      <c r="F759">
        <v>2</v>
      </c>
      <c r="G759" s="2">
        <v>3600</v>
      </c>
      <c r="H759" s="4">
        <v>0</v>
      </c>
      <c r="I759" s="2">
        <v>3600</v>
      </c>
      <c r="J759" t="s">
        <v>256</v>
      </c>
      <c r="K759" t="s">
        <v>254</v>
      </c>
      <c r="L759">
        <v>4</v>
      </c>
      <c r="M759" t="str">
        <f>_xlfn.XLOOKUP(E759,tPacotes[ID_Pacote],tPacotes[Pacote])</f>
        <v>Rio Cidade Maravilhosa</v>
      </c>
      <c r="N759" t="str">
        <f>_xlfn.XLOOKUP(E759,tPacotes[ID_Pacote],tPacotes[Categoria])</f>
        <v>Cultural</v>
      </c>
      <c r="O759" t="str">
        <f>_xlfn.XLOOKUP(D759,tClientes[ID_Cliente],tClientes[UF])</f>
        <v>PE</v>
      </c>
    </row>
    <row r="760" spans="1:15" x14ac:dyDescent="0.3">
      <c r="A760">
        <v>759</v>
      </c>
      <c r="B760" s="3">
        <v>46009</v>
      </c>
      <c r="C760" s="3">
        <v>46062</v>
      </c>
      <c r="D760">
        <v>187</v>
      </c>
      <c r="E760">
        <v>9</v>
      </c>
      <c r="F760">
        <v>1</v>
      </c>
      <c r="G760" s="2">
        <v>8900</v>
      </c>
      <c r="H760" s="4">
        <v>0</v>
      </c>
      <c r="I760" s="2">
        <v>8900</v>
      </c>
      <c r="J760" t="s">
        <v>257</v>
      </c>
      <c r="K760" t="s">
        <v>254</v>
      </c>
      <c r="L760">
        <v>4</v>
      </c>
      <c r="M760" t="str">
        <f>_xlfn.XLOOKUP(E760,tPacotes[ID_Pacote],tPacotes[Pacote])</f>
        <v>Cancún All Inclusive</v>
      </c>
      <c r="N760" t="str">
        <f>_xlfn.XLOOKUP(E760,tPacotes[ID_Pacote],tPacotes[Categoria])</f>
        <v>Praia</v>
      </c>
      <c r="O760" t="str">
        <f>_xlfn.XLOOKUP(D760,tClientes[ID_Cliente],tClientes[UF])</f>
        <v>BA</v>
      </c>
    </row>
    <row r="761" spans="1:15" x14ac:dyDescent="0.3">
      <c r="A761">
        <v>760</v>
      </c>
      <c r="B761" s="3">
        <v>46009</v>
      </c>
      <c r="C761" s="3">
        <v>46024</v>
      </c>
      <c r="D761">
        <v>123</v>
      </c>
      <c r="E761">
        <v>2</v>
      </c>
      <c r="F761">
        <v>2</v>
      </c>
      <c r="G761" s="2">
        <v>3600</v>
      </c>
      <c r="H761" s="4">
        <v>0</v>
      </c>
      <c r="I761" s="2">
        <v>3600</v>
      </c>
      <c r="J761" t="s">
        <v>253</v>
      </c>
      <c r="K761" t="s">
        <v>254</v>
      </c>
      <c r="L761">
        <v>5</v>
      </c>
      <c r="M761" t="str">
        <f>_xlfn.XLOOKUP(E761,tPacotes[ID_Pacote],tPacotes[Pacote])</f>
        <v>Rio Cidade Maravilhosa</v>
      </c>
      <c r="N761" t="str">
        <f>_xlfn.XLOOKUP(E761,tPacotes[ID_Pacote],tPacotes[Categoria])</f>
        <v>Cultural</v>
      </c>
      <c r="O761" t="str">
        <f>_xlfn.XLOOKUP(D761,tClientes[ID_Cliente],tClientes[UF])</f>
        <v>PR</v>
      </c>
    </row>
    <row r="762" spans="1:15" x14ac:dyDescent="0.3">
      <c r="A762">
        <v>761</v>
      </c>
      <c r="B762" s="3">
        <v>46011</v>
      </c>
      <c r="C762" s="3">
        <v>46021</v>
      </c>
      <c r="D762">
        <v>39</v>
      </c>
      <c r="E762">
        <v>6</v>
      </c>
      <c r="F762">
        <v>2</v>
      </c>
      <c r="G762" s="2">
        <v>4200</v>
      </c>
      <c r="H762" s="4">
        <v>0</v>
      </c>
      <c r="I762" s="2">
        <v>4200</v>
      </c>
      <c r="J762" t="s">
        <v>257</v>
      </c>
      <c r="K762" t="s">
        <v>254</v>
      </c>
      <c r="L762">
        <v>4</v>
      </c>
      <c r="M762" t="str">
        <f>_xlfn.XLOOKUP(E762,tPacotes[ID_Pacote],tPacotes[Pacote])</f>
        <v>Foz do Iguaçu</v>
      </c>
      <c r="N762" t="str">
        <f>_xlfn.XLOOKUP(E762,tPacotes[ID_Pacote],tPacotes[Categoria])</f>
        <v>Natureza</v>
      </c>
      <c r="O762" t="str">
        <f>_xlfn.XLOOKUP(D762,tClientes[ID_Cliente],tClientes[UF])</f>
        <v>RJ</v>
      </c>
    </row>
    <row r="763" spans="1:15" x14ac:dyDescent="0.3">
      <c r="A763">
        <v>762</v>
      </c>
      <c r="B763" s="3">
        <v>46012</v>
      </c>
      <c r="C763" s="3">
        <v>46023</v>
      </c>
      <c r="D763">
        <v>76</v>
      </c>
      <c r="E763">
        <v>5</v>
      </c>
      <c r="F763">
        <v>2</v>
      </c>
      <c r="G763" s="2">
        <v>6800</v>
      </c>
      <c r="H763" s="4">
        <v>0.05</v>
      </c>
      <c r="I763" s="2">
        <v>6460</v>
      </c>
      <c r="J763" t="s">
        <v>253</v>
      </c>
      <c r="K763" t="s">
        <v>254</v>
      </c>
      <c r="L763">
        <v>3</v>
      </c>
      <c r="M763" t="str">
        <f>_xlfn.XLOOKUP(E763,tPacotes[ID_Pacote],tPacotes[Pacote])</f>
        <v>Bonito Aventura</v>
      </c>
      <c r="N763" t="str">
        <f>_xlfn.XLOOKUP(E763,tPacotes[ID_Pacote],tPacotes[Categoria])</f>
        <v>Aventura</v>
      </c>
      <c r="O763" t="str">
        <f>_xlfn.XLOOKUP(D763,tClientes[ID_Cliente],tClientes[UF])</f>
        <v>DF</v>
      </c>
    </row>
    <row r="764" spans="1:15" x14ac:dyDescent="0.3">
      <c r="A764">
        <v>763</v>
      </c>
      <c r="B764" s="3">
        <v>46014</v>
      </c>
      <c r="C764" s="3">
        <v>46043</v>
      </c>
      <c r="D764">
        <v>32</v>
      </c>
      <c r="E764">
        <v>14</v>
      </c>
      <c r="F764">
        <v>4</v>
      </c>
      <c r="G764" s="2">
        <v>11600</v>
      </c>
      <c r="H764" s="4">
        <v>0</v>
      </c>
      <c r="I764" s="2">
        <v>11600</v>
      </c>
      <c r="J764" t="s">
        <v>255</v>
      </c>
      <c r="K764" t="s">
        <v>254</v>
      </c>
      <c r="L764">
        <v>4</v>
      </c>
      <c r="M764" t="str">
        <f>_xlfn.XLOOKUP(E764,tPacotes[ID_Pacote],tPacotes[Pacote])</f>
        <v>Lençóis Maranhenses</v>
      </c>
      <c r="N764" t="str">
        <f>_xlfn.XLOOKUP(E764,tPacotes[ID_Pacote],tPacotes[Categoria])</f>
        <v>Natureza</v>
      </c>
      <c r="O764" t="str">
        <f>_xlfn.XLOOKUP(D764,tClientes[ID_Cliente],tClientes[UF])</f>
        <v>PR</v>
      </c>
    </row>
    <row r="765" spans="1:15" x14ac:dyDescent="0.3">
      <c r="A765">
        <v>764</v>
      </c>
      <c r="B765" s="3">
        <v>46014</v>
      </c>
      <c r="C765" s="3">
        <v>46062</v>
      </c>
      <c r="D765">
        <v>110</v>
      </c>
      <c r="E765">
        <v>12</v>
      </c>
      <c r="F765">
        <v>3</v>
      </c>
      <c r="G765" s="2">
        <v>37200</v>
      </c>
      <c r="H765" s="4">
        <v>0.05</v>
      </c>
      <c r="I765" s="2">
        <v>35340</v>
      </c>
      <c r="J765" t="s">
        <v>253</v>
      </c>
      <c r="K765" t="s">
        <v>254</v>
      </c>
      <c r="L765">
        <v>3</v>
      </c>
      <c r="M765" t="str">
        <f>_xlfn.XLOOKUP(E765,tPacotes[ID_Pacote],tPacotes[Pacote])</f>
        <v>Lisboa e Porto</v>
      </c>
      <c r="N765" t="str">
        <f>_xlfn.XLOOKUP(E765,tPacotes[ID_Pacote],tPacotes[Categoria])</f>
        <v>Cultural</v>
      </c>
      <c r="O765" t="str">
        <f>_xlfn.XLOOKUP(D765,tClientes[ID_Cliente],tClientes[UF])</f>
        <v>SP</v>
      </c>
    </row>
    <row r="766" spans="1:15" x14ac:dyDescent="0.3">
      <c r="A766">
        <v>765</v>
      </c>
      <c r="B766" s="3">
        <v>46015</v>
      </c>
      <c r="C766" s="3">
        <v>46020</v>
      </c>
      <c r="D766">
        <v>198</v>
      </c>
      <c r="E766">
        <v>1</v>
      </c>
      <c r="F766">
        <v>2</v>
      </c>
      <c r="G766" s="2">
        <v>6400</v>
      </c>
      <c r="H766" s="4">
        <v>0.1</v>
      </c>
      <c r="I766" s="2">
        <v>5760</v>
      </c>
      <c r="J766" t="s">
        <v>255</v>
      </c>
      <c r="K766" t="s">
        <v>254</v>
      </c>
      <c r="L766">
        <v>5</v>
      </c>
      <c r="M766" t="str">
        <f>_xlfn.XLOOKUP(E766,tPacotes[ID_Pacote],tPacotes[Pacote])</f>
        <v>Nordeste Encantado</v>
      </c>
      <c r="N766" t="str">
        <f>_xlfn.XLOOKUP(E766,tPacotes[ID_Pacote],tPacotes[Categoria])</f>
        <v>Praia</v>
      </c>
      <c r="O766" t="str">
        <f>_xlfn.XLOOKUP(D766,tClientes[ID_Cliente],tClientes[UF])</f>
        <v>SP</v>
      </c>
    </row>
    <row r="767" spans="1:15" x14ac:dyDescent="0.3">
      <c r="A767">
        <v>766</v>
      </c>
      <c r="B767" s="3">
        <v>46016</v>
      </c>
      <c r="C767" s="3">
        <v>46028</v>
      </c>
      <c r="D767">
        <v>20</v>
      </c>
      <c r="E767">
        <v>6</v>
      </c>
      <c r="F767">
        <v>1</v>
      </c>
      <c r="G767" s="2">
        <v>2100</v>
      </c>
      <c r="H767" s="4">
        <v>0.1</v>
      </c>
      <c r="I767" s="2">
        <v>1890</v>
      </c>
      <c r="J767" t="s">
        <v>255</v>
      </c>
      <c r="K767" t="s">
        <v>254</v>
      </c>
      <c r="L767">
        <v>4</v>
      </c>
      <c r="M767" t="str">
        <f>_xlfn.XLOOKUP(E767,tPacotes[ID_Pacote],tPacotes[Pacote])</f>
        <v>Foz do Iguaçu</v>
      </c>
      <c r="N767" t="str">
        <f>_xlfn.XLOOKUP(E767,tPacotes[ID_Pacote],tPacotes[Categoria])</f>
        <v>Natureza</v>
      </c>
      <c r="O767" t="str">
        <f>_xlfn.XLOOKUP(D767,tClientes[ID_Cliente],tClientes[UF])</f>
        <v>PR</v>
      </c>
    </row>
    <row r="768" spans="1:15" x14ac:dyDescent="0.3">
      <c r="A768">
        <v>767</v>
      </c>
      <c r="B768" s="3">
        <v>46016</v>
      </c>
      <c r="C768" s="3">
        <v>46075</v>
      </c>
      <c r="D768">
        <v>14</v>
      </c>
      <c r="E768">
        <v>2</v>
      </c>
      <c r="F768">
        <v>2</v>
      </c>
      <c r="G768" s="2">
        <v>3600</v>
      </c>
      <c r="H768" s="4">
        <v>0</v>
      </c>
      <c r="I768" s="2">
        <v>3600</v>
      </c>
      <c r="J768" t="s">
        <v>255</v>
      </c>
      <c r="K768" t="s">
        <v>258</v>
      </c>
      <c r="M768" t="str">
        <f>_xlfn.XLOOKUP(E768,tPacotes[ID_Pacote],tPacotes[Pacote])</f>
        <v>Rio Cidade Maravilhosa</v>
      </c>
      <c r="N768" t="str">
        <f>_xlfn.XLOOKUP(E768,tPacotes[ID_Pacote],tPacotes[Categoria])</f>
        <v>Cultural</v>
      </c>
      <c r="O768" t="str">
        <f>_xlfn.XLOOKUP(D768,tClientes[ID_Cliente],tClientes[UF])</f>
        <v>PE</v>
      </c>
    </row>
    <row r="769" spans="1:15" x14ac:dyDescent="0.3">
      <c r="A769">
        <v>768</v>
      </c>
      <c r="B769" s="3">
        <v>46016</v>
      </c>
      <c r="C769" s="3">
        <v>46105</v>
      </c>
      <c r="D769">
        <v>170</v>
      </c>
      <c r="E769">
        <v>15</v>
      </c>
      <c r="F769">
        <v>2</v>
      </c>
      <c r="G769" s="2">
        <v>6200</v>
      </c>
      <c r="H769" s="4">
        <v>0</v>
      </c>
      <c r="I769" s="2">
        <v>6200</v>
      </c>
      <c r="J769" t="s">
        <v>253</v>
      </c>
      <c r="K769" t="s">
        <v>254</v>
      </c>
      <c r="L769">
        <v>3</v>
      </c>
      <c r="M769" t="str">
        <f>_xlfn.XLOOKUP(E769,tPacotes[ID_Pacote],tPacotes[Pacote])</f>
        <v>Jericoacoara</v>
      </c>
      <c r="N769" t="str">
        <f>_xlfn.XLOOKUP(E769,tPacotes[ID_Pacote],tPacotes[Categoria])</f>
        <v>Praia</v>
      </c>
      <c r="O769" t="str">
        <f>_xlfn.XLOOKUP(D769,tClientes[ID_Cliente],tClientes[UF])</f>
        <v>SP</v>
      </c>
    </row>
    <row r="770" spans="1:15" x14ac:dyDescent="0.3">
      <c r="A770">
        <v>769</v>
      </c>
      <c r="B770" s="3">
        <v>46016</v>
      </c>
      <c r="C770" s="3">
        <v>46097</v>
      </c>
      <c r="D770">
        <v>182</v>
      </c>
      <c r="E770">
        <v>15</v>
      </c>
      <c r="F770">
        <v>4</v>
      </c>
      <c r="G770" s="2">
        <v>12400</v>
      </c>
      <c r="H770" s="4">
        <v>0.1</v>
      </c>
      <c r="I770" s="2">
        <v>11160</v>
      </c>
      <c r="J770" t="s">
        <v>253</v>
      </c>
      <c r="K770" t="s">
        <v>254</v>
      </c>
      <c r="L770">
        <v>4</v>
      </c>
      <c r="M770" t="str">
        <f>_xlfn.XLOOKUP(E770,tPacotes[ID_Pacote],tPacotes[Pacote])</f>
        <v>Jericoacoara</v>
      </c>
      <c r="N770" t="str">
        <f>_xlfn.XLOOKUP(E770,tPacotes[ID_Pacote],tPacotes[Categoria])</f>
        <v>Praia</v>
      </c>
      <c r="O770" t="str">
        <f>_xlfn.XLOOKUP(D770,tClientes[ID_Cliente],tClientes[UF])</f>
        <v>MG</v>
      </c>
    </row>
    <row r="771" spans="1:15" x14ac:dyDescent="0.3">
      <c r="A771">
        <v>770</v>
      </c>
      <c r="B771" s="3">
        <v>46017</v>
      </c>
      <c r="C771" s="3">
        <v>46024</v>
      </c>
      <c r="D771">
        <v>35</v>
      </c>
      <c r="E771">
        <v>9</v>
      </c>
      <c r="F771">
        <v>2</v>
      </c>
      <c r="G771" s="2">
        <v>17800</v>
      </c>
      <c r="H771" s="4">
        <v>0</v>
      </c>
      <c r="I771" s="2">
        <v>17800</v>
      </c>
      <c r="J771" t="s">
        <v>255</v>
      </c>
      <c r="K771" t="s">
        <v>254</v>
      </c>
      <c r="L771">
        <v>3</v>
      </c>
      <c r="M771" t="str">
        <f>_xlfn.XLOOKUP(E771,tPacotes[ID_Pacote],tPacotes[Pacote])</f>
        <v>Cancún All Inclusive</v>
      </c>
      <c r="N771" t="str">
        <f>_xlfn.XLOOKUP(E771,tPacotes[ID_Pacote],tPacotes[Categoria])</f>
        <v>Praia</v>
      </c>
      <c r="O771" t="str">
        <f>_xlfn.XLOOKUP(D771,tClientes[ID_Cliente],tClientes[UF])</f>
        <v>DF</v>
      </c>
    </row>
    <row r="772" spans="1:15" x14ac:dyDescent="0.3">
      <c r="A772">
        <v>771</v>
      </c>
      <c r="B772" s="3">
        <v>46017</v>
      </c>
      <c r="C772" s="3">
        <v>46140</v>
      </c>
      <c r="D772">
        <v>112</v>
      </c>
      <c r="E772">
        <v>15</v>
      </c>
      <c r="F772">
        <v>3</v>
      </c>
      <c r="G772" s="2">
        <v>9300</v>
      </c>
      <c r="H772" s="4">
        <v>0</v>
      </c>
      <c r="I772" s="2">
        <v>9300</v>
      </c>
      <c r="J772" t="s">
        <v>255</v>
      </c>
      <c r="K772" t="s">
        <v>258</v>
      </c>
      <c r="M772" t="str">
        <f>_xlfn.XLOOKUP(E772,tPacotes[ID_Pacote],tPacotes[Pacote])</f>
        <v>Jericoacoara</v>
      </c>
      <c r="N772" t="str">
        <f>_xlfn.XLOOKUP(E772,tPacotes[ID_Pacote],tPacotes[Categoria])</f>
        <v>Praia</v>
      </c>
      <c r="O772" t="str">
        <f>_xlfn.XLOOKUP(D772,tClientes[ID_Cliente],tClientes[UF])</f>
        <v>SP</v>
      </c>
    </row>
    <row r="773" spans="1:15" x14ac:dyDescent="0.3">
      <c r="A773">
        <v>772</v>
      </c>
      <c r="B773" s="3">
        <v>46017</v>
      </c>
      <c r="C773" s="3">
        <v>46020</v>
      </c>
      <c r="D773">
        <v>152</v>
      </c>
      <c r="E773">
        <v>4</v>
      </c>
      <c r="F773">
        <v>2</v>
      </c>
      <c r="G773" s="2">
        <v>13800</v>
      </c>
      <c r="H773" s="4">
        <v>0</v>
      </c>
      <c r="I773" s="2">
        <v>13800</v>
      </c>
      <c r="J773" t="s">
        <v>253</v>
      </c>
      <c r="K773" t="s">
        <v>254</v>
      </c>
      <c r="L773">
        <v>5</v>
      </c>
      <c r="M773" t="str">
        <f>_xlfn.XLOOKUP(E773,tPacotes[ID_Pacote],tPacotes[Pacote])</f>
        <v>Fernando de Noronha</v>
      </c>
      <c r="N773" t="str">
        <f>_xlfn.XLOOKUP(E773,tPacotes[ID_Pacote],tPacotes[Categoria])</f>
        <v>Praia</v>
      </c>
      <c r="O773" t="str">
        <f>_xlfn.XLOOKUP(D773,tClientes[ID_Cliente],tClientes[UF])</f>
        <v>SP</v>
      </c>
    </row>
    <row r="774" spans="1:15" x14ac:dyDescent="0.3">
      <c r="A774">
        <v>773</v>
      </c>
      <c r="B774" s="3">
        <v>46018</v>
      </c>
      <c r="C774" s="3">
        <v>46072</v>
      </c>
      <c r="D774">
        <v>54</v>
      </c>
      <c r="E774">
        <v>1</v>
      </c>
      <c r="F774">
        <v>2</v>
      </c>
      <c r="G774" s="2">
        <v>6400</v>
      </c>
      <c r="H774" s="4">
        <v>0.1</v>
      </c>
      <c r="I774" s="2">
        <v>5760</v>
      </c>
      <c r="J774" t="s">
        <v>253</v>
      </c>
      <c r="K774" t="s">
        <v>258</v>
      </c>
      <c r="M774" t="str">
        <f>_xlfn.XLOOKUP(E774,tPacotes[ID_Pacote],tPacotes[Pacote])</f>
        <v>Nordeste Encantado</v>
      </c>
      <c r="N774" t="str">
        <f>_xlfn.XLOOKUP(E774,tPacotes[ID_Pacote],tPacotes[Categoria])</f>
        <v>Praia</v>
      </c>
      <c r="O774" t="str">
        <f>_xlfn.XLOOKUP(D774,tClientes[ID_Cliente],tClientes[UF])</f>
        <v>RJ</v>
      </c>
    </row>
    <row r="775" spans="1:15" x14ac:dyDescent="0.3">
      <c r="A775">
        <v>774</v>
      </c>
      <c r="B775" s="3">
        <v>46018</v>
      </c>
      <c r="C775" s="3">
        <v>46028</v>
      </c>
      <c r="D775">
        <v>173</v>
      </c>
      <c r="E775">
        <v>3</v>
      </c>
      <c r="F775">
        <v>1</v>
      </c>
      <c r="G775" s="2">
        <v>2600</v>
      </c>
      <c r="H775" s="4">
        <v>0</v>
      </c>
      <c r="I775" s="2">
        <v>2600</v>
      </c>
      <c r="J775" t="s">
        <v>253</v>
      </c>
      <c r="K775" t="s">
        <v>254</v>
      </c>
      <c r="L775">
        <v>4</v>
      </c>
      <c r="M775" t="str">
        <f>_xlfn.XLOOKUP(E775,tPacotes[ID_Pacote],tPacotes[Pacote])</f>
        <v>Serra Gaúcha</v>
      </c>
      <c r="N775" t="str">
        <f>_xlfn.XLOOKUP(E775,tPacotes[ID_Pacote],tPacotes[Categoria])</f>
        <v>Inverno</v>
      </c>
      <c r="O775" t="str">
        <f>_xlfn.XLOOKUP(D775,tClientes[ID_Cliente],tClientes[UF])</f>
        <v>BA</v>
      </c>
    </row>
    <row r="776" spans="1:15" x14ac:dyDescent="0.3">
      <c r="A776">
        <v>775</v>
      </c>
      <c r="B776" s="3">
        <v>46018</v>
      </c>
      <c r="C776" s="3">
        <v>46102</v>
      </c>
      <c r="D776">
        <v>198</v>
      </c>
      <c r="E776">
        <v>3</v>
      </c>
      <c r="F776">
        <v>1</v>
      </c>
      <c r="G776" s="2">
        <v>2600</v>
      </c>
      <c r="H776" s="4">
        <v>0</v>
      </c>
      <c r="I776" s="2">
        <v>2600</v>
      </c>
      <c r="J776" t="s">
        <v>257</v>
      </c>
      <c r="K776" t="s">
        <v>254</v>
      </c>
      <c r="L776">
        <v>4</v>
      </c>
      <c r="M776" t="str">
        <f>_xlfn.XLOOKUP(E776,tPacotes[ID_Pacote],tPacotes[Pacote])</f>
        <v>Serra Gaúcha</v>
      </c>
      <c r="N776" t="str">
        <f>_xlfn.XLOOKUP(E776,tPacotes[ID_Pacote],tPacotes[Categoria])</f>
        <v>Inverno</v>
      </c>
      <c r="O776" t="str">
        <f>_xlfn.XLOOKUP(D776,tClientes[ID_Cliente],tClientes[UF])</f>
        <v>SP</v>
      </c>
    </row>
    <row r="777" spans="1:15" x14ac:dyDescent="0.3">
      <c r="A777">
        <v>776</v>
      </c>
      <c r="B777" s="3">
        <v>46018</v>
      </c>
      <c r="C777" s="3">
        <v>46028</v>
      </c>
      <c r="D777">
        <v>95</v>
      </c>
      <c r="E777">
        <v>9</v>
      </c>
      <c r="F777">
        <v>1</v>
      </c>
      <c r="G777" s="2">
        <v>8900</v>
      </c>
      <c r="H777" s="4">
        <v>0.05</v>
      </c>
      <c r="I777" s="2">
        <v>8455</v>
      </c>
      <c r="J777" t="s">
        <v>255</v>
      </c>
      <c r="K777" t="s">
        <v>254</v>
      </c>
      <c r="L777">
        <v>4</v>
      </c>
      <c r="M777" t="str">
        <f>_xlfn.XLOOKUP(E777,tPacotes[ID_Pacote],tPacotes[Pacote])</f>
        <v>Cancún All Inclusive</v>
      </c>
      <c r="N777" t="str">
        <f>_xlfn.XLOOKUP(E777,tPacotes[ID_Pacote],tPacotes[Categoria])</f>
        <v>Praia</v>
      </c>
      <c r="O777" t="str">
        <f>_xlfn.XLOOKUP(D777,tClientes[ID_Cliente],tClientes[UF])</f>
        <v>PR</v>
      </c>
    </row>
    <row r="778" spans="1:15" x14ac:dyDescent="0.3">
      <c r="A778">
        <v>777</v>
      </c>
      <c r="B778" s="3">
        <v>46018</v>
      </c>
      <c r="C778" s="3">
        <v>46054</v>
      </c>
      <c r="D778">
        <v>2</v>
      </c>
      <c r="E778">
        <v>15</v>
      </c>
      <c r="F778">
        <v>4</v>
      </c>
      <c r="G778" s="2">
        <v>12400</v>
      </c>
      <c r="H778" s="4">
        <v>0.05</v>
      </c>
      <c r="I778" s="2">
        <v>11780</v>
      </c>
      <c r="J778" t="s">
        <v>253</v>
      </c>
      <c r="K778" t="s">
        <v>254</v>
      </c>
      <c r="L778">
        <v>5</v>
      </c>
      <c r="M778" t="str">
        <f>_xlfn.XLOOKUP(E778,tPacotes[ID_Pacote],tPacotes[Pacote])</f>
        <v>Jericoacoara</v>
      </c>
      <c r="N778" t="str">
        <f>_xlfn.XLOOKUP(E778,tPacotes[ID_Pacote],tPacotes[Categoria])</f>
        <v>Praia</v>
      </c>
      <c r="O778" t="str">
        <f>_xlfn.XLOOKUP(D778,tClientes[ID_Cliente],tClientes[UF])</f>
        <v>RJ</v>
      </c>
    </row>
    <row r="779" spans="1:15" x14ac:dyDescent="0.3">
      <c r="A779">
        <v>778</v>
      </c>
      <c r="B779" s="3">
        <v>46018</v>
      </c>
      <c r="C779" s="3">
        <v>46071</v>
      </c>
      <c r="D779">
        <v>47</v>
      </c>
      <c r="E779">
        <v>6</v>
      </c>
      <c r="F779">
        <v>2</v>
      </c>
      <c r="G779" s="2">
        <v>4200</v>
      </c>
      <c r="H779" s="4">
        <v>0.05</v>
      </c>
      <c r="I779" s="2">
        <v>3990</v>
      </c>
      <c r="J779" t="s">
        <v>256</v>
      </c>
      <c r="K779" t="s">
        <v>254</v>
      </c>
      <c r="L779">
        <v>5</v>
      </c>
      <c r="M779" t="str">
        <f>_xlfn.XLOOKUP(E779,tPacotes[ID_Pacote],tPacotes[Pacote])</f>
        <v>Foz do Iguaçu</v>
      </c>
      <c r="N779" t="str">
        <f>_xlfn.XLOOKUP(E779,tPacotes[ID_Pacote],tPacotes[Categoria])</f>
        <v>Natureza</v>
      </c>
      <c r="O779" t="str">
        <f>_xlfn.XLOOKUP(D779,tClientes[ID_Cliente],tClientes[UF])</f>
        <v>BA</v>
      </c>
    </row>
    <row r="780" spans="1:15" x14ac:dyDescent="0.3">
      <c r="A780">
        <v>779</v>
      </c>
      <c r="B780" s="3">
        <v>46019</v>
      </c>
      <c r="C780" s="3">
        <v>46101</v>
      </c>
      <c r="D780">
        <v>187</v>
      </c>
      <c r="E780">
        <v>1</v>
      </c>
      <c r="F780">
        <v>4</v>
      </c>
      <c r="G780" s="2">
        <v>12800</v>
      </c>
      <c r="H780" s="4">
        <v>0.1</v>
      </c>
      <c r="I780" s="2">
        <v>11520</v>
      </c>
      <c r="J780" t="s">
        <v>253</v>
      </c>
      <c r="K780" t="s">
        <v>254</v>
      </c>
      <c r="L780">
        <v>4</v>
      </c>
      <c r="M780" t="str">
        <f>_xlfn.XLOOKUP(E780,tPacotes[ID_Pacote],tPacotes[Pacote])</f>
        <v>Nordeste Encantado</v>
      </c>
      <c r="N780" t="str">
        <f>_xlfn.XLOOKUP(E780,tPacotes[ID_Pacote],tPacotes[Categoria])</f>
        <v>Praia</v>
      </c>
      <c r="O780" t="str">
        <f>_xlfn.XLOOKUP(D780,tClientes[ID_Cliente],tClientes[UF])</f>
        <v>BA</v>
      </c>
    </row>
    <row r="781" spans="1:15" x14ac:dyDescent="0.3">
      <c r="A781">
        <v>780</v>
      </c>
      <c r="B781" s="3">
        <v>46019</v>
      </c>
      <c r="C781" s="3">
        <v>46124</v>
      </c>
      <c r="D781">
        <v>25</v>
      </c>
      <c r="E781">
        <v>7</v>
      </c>
      <c r="F781">
        <v>1</v>
      </c>
      <c r="G781" s="2">
        <v>4200</v>
      </c>
      <c r="H781" s="4">
        <v>0.05</v>
      </c>
      <c r="I781" s="2">
        <v>3990</v>
      </c>
      <c r="J781" t="s">
        <v>253</v>
      </c>
      <c r="K781" t="s">
        <v>254</v>
      </c>
      <c r="L781">
        <v>4</v>
      </c>
      <c r="M781" t="str">
        <f>_xlfn.XLOOKUP(E781,tPacotes[ID_Pacote],tPacotes[Pacote])</f>
        <v>Buenos Aires Clássica</v>
      </c>
      <c r="N781" t="str">
        <f>_xlfn.XLOOKUP(E781,tPacotes[ID_Pacote],tPacotes[Categoria])</f>
        <v>Cultural</v>
      </c>
      <c r="O781" t="str">
        <f>_xlfn.XLOOKUP(D781,tClientes[ID_Cliente],tClientes[UF])</f>
        <v>PE</v>
      </c>
    </row>
    <row r="782" spans="1:15" x14ac:dyDescent="0.3">
      <c r="A782">
        <v>781</v>
      </c>
      <c r="B782" s="3">
        <v>46019</v>
      </c>
      <c r="C782" s="3">
        <v>46177</v>
      </c>
      <c r="D782">
        <v>136</v>
      </c>
      <c r="E782">
        <v>9</v>
      </c>
      <c r="F782">
        <v>2</v>
      </c>
      <c r="G782" s="2">
        <v>17800</v>
      </c>
      <c r="H782" s="4">
        <v>0</v>
      </c>
      <c r="I782" s="2">
        <v>17800</v>
      </c>
      <c r="J782" t="s">
        <v>253</v>
      </c>
      <c r="K782" t="s">
        <v>258</v>
      </c>
      <c r="M782" t="str">
        <f>_xlfn.XLOOKUP(E782,tPacotes[ID_Pacote],tPacotes[Pacote])</f>
        <v>Cancún All Inclusive</v>
      </c>
      <c r="N782" t="str">
        <f>_xlfn.XLOOKUP(E782,tPacotes[ID_Pacote],tPacotes[Categoria])</f>
        <v>Praia</v>
      </c>
      <c r="O782" t="str">
        <f>_xlfn.XLOOKUP(D782,tClientes[ID_Cliente],tClientes[UF])</f>
        <v>MG</v>
      </c>
    </row>
    <row r="783" spans="1:15" x14ac:dyDescent="0.3">
      <c r="A783">
        <v>782</v>
      </c>
      <c r="B783" s="3">
        <v>46019</v>
      </c>
      <c r="C783" s="3">
        <v>46065</v>
      </c>
      <c r="D783">
        <v>93</v>
      </c>
      <c r="E783">
        <v>14</v>
      </c>
      <c r="F783">
        <v>4</v>
      </c>
      <c r="G783" s="2">
        <v>11600</v>
      </c>
      <c r="H783" s="4">
        <v>0</v>
      </c>
      <c r="I783" s="2">
        <v>11600</v>
      </c>
      <c r="J783" t="s">
        <v>253</v>
      </c>
      <c r="K783" t="s">
        <v>254</v>
      </c>
      <c r="L783">
        <v>5</v>
      </c>
      <c r="M783" t="str">
        <f>_xlfn.XLOOKUP(E783,tPacotes[ID_Pacote],tPacotes[Pacote])</f>
        <v>Lençóis Maranhenses</v>
      </c>
      <c r="N783" t="str">
        <f>_xlfn.XLOOKUP(E783,tPacotes[ID_Pacote],tPacotes[Categoria])</f>
        <v>Natureza</v>
      </c>
      <c r="O783" t="str">
        <f>_xlfn.XLOOKUP(D783,tClientes[ID_Cliente],tClientes[UF])</f>
        <v>DF</v>
      </c>
    </row>
    <row r="784" spans="1:15" x14ac:dyDescent="0.3">
      <c r="A784">
        <v>783</v>
      </c>
      <c r="B784" s="3">
        <v>46019</v>
      </c>
      <c r="C784" s="3">
        <v>46090</v>
      </c>
      <c r="D784">
        <v>155</v>
      </c>
      <c r="E784">
        <v>6</v>
      </c>
      <c r="F784">
        <v>3</v>
      </c>
      <c r="G784" s="2">
        <v>6300</v>
      </c>
      <c r="H784" s="4">
        <v>0</v>
      </c>
      <c r="I784" s="2">
        <v>6300</v>
      </c>
      <c r="J784" t="s">
        <v>256</v>
      </c>
      <c r="K784" t="s">
        <v>254</v>
      </c>
      <c r="L784">
        <v>4</v>
      </c>
      <c r="M784" t="str">
        <f>_xlfn.XLOOKUP(E784,tPacotes[ID_Pacote],tPacotes[Pacote])</f>
        <v>Foz do Iguaçu</v>
      </c>
      <c r="N784" t="str">
        <f>_xlfn.XLOOKUP(E784,tPacotes[ID_Pacote],tPacotes[Categoria])</f>
        <v>Natureza</v>
      </c>
      <c r="O784" t="str">
        <f>_xlfn.XLOOKUP(D784,tClientes[ID_Cliente],tClientes[UF])</f>
        <v>SP</v>
      </c>
    </row>
    <row r="785" spans="1:15" x14ac:dyDescent="0.3">
      <c r="A785">
        <v>784</v>
      </c>
      <c r="B785" s="3">
        <v>46021</v>
      </c>
      <c r="C785" s="3">
        <v>46116</v>
      </c>
      <c r="D785">
        <v>104</v>
      </c>
      <c r="E785">
        <v>12</v>
      </c>
      <c r="F785">
        <v>2</v>
      </c>
      <c r="G785" s="2">
        <v>24800</v>
      </c>
      <c r="H785" s="4">
        <v>0</v>
      </c>
      <c r="I785" s="2">
        <v>24800</v>
      </c>
      <c r="J785" t="s">
        <v>253</v>
      </c>
      <c r="K785" t="s">
        <v>254</v>
      </c>
      <c r="L785">
        <v>3</v>
      </c>
      <c r="M785" t="str">
        <f>_xlfn.XLOOKUP(E785,tPacotes[ID_Pacote],tPacotes[Pacote])</f>
        <v>Lisboa e Porto</v>
      </c>
      <c r="N785" t="str">
        <f>_xlfn.XLOOKUP(E785,tPacotes[ID_Pacote],tPacotes[Categoria])</f>
        <v>Cultural</v>
      </c>
      <c r="O785" t="str">
        <f>_xlfn.XLOOKUP(D785,tClientes[ID_Cliente],tClientes[UF])</f>
        <v>RJ</v>
      </c>
    </row>
    <row r="786" spans="1:15" x14ac:dyDescent="0.3">
      <c r="A786">
        <v>785</v>
      </c>
      <c r="B786" s="3">
        <v>46021</v>
      </c>
      <c r="C786" s="3">
        <v>46160</v>
      </c>
      <c r="D786">
        <v>101</v>
      </c>
      <c r="E786">
        <v>9</v>
      </c>
      <c r="F786">
        <v>3</v>
      </c>
      <c r="G786" s="2">
        <v>26700</v>
      </c>
      <c r="H786" s="4">
        <v>0.05</v>
      </c>
      <c r="I786" s="2">
        <v>25365</v>
      </c>
      <c r="J786" t="s">
        <v>253</v>
      </c>
      <c r="K786" t="s">
        <v>254</v>
      </c>
      <c r="L786">
        <v>3</v>
      </c>
      <c r="M786" t="str">
        <f>_xlfn.XLOOKUP(E786,tPacotes[ID_Pacote],tPacotes[Pacote])</f>
        <v>Cancún All Inclusive</v>
      </c>
      <c r="N786" t="str">
        <f>_xlfn.XLOOKUP(E786,tPacotes[ID_Pacote],tPacotes[Categoria])</f>
        <v>Praia</v>
      </c>
      <c r="O786" t="str">
        <f>_xlfn.XLOOKUP(D786,tClientes[ID_Cliente],tClientes[UF])</f>
        <v>SP</v>
      </c>
    </row>
    <row r="787" spans="1:15" x14ac:dyDescent="0.3">
      <c r="A787">
        <v>786</v>
      </c>
      <c r="B787" s="3">
        <v>46022</v>
      </c>
      <c r="C787" s="3">
        <v>46029</v>
      </c>
      <c r="D787">
        <v>119</v>
      </c>
      <c r="E787">
        <v>5</v>
      </c>
      <c r="F787">
        <v>2</v>
      </c>
      <c r="G787" s="2">
        <v>6800</v>
      </c>
      <c r="H787" s="4">
        <v>0.1</v>
      </c>
      <c r="I787" s="2">
        <v>6120</v>
      </c>
      <c r="J787" t="s">
        <v>253</v>
      </c>
      <c r="K787" t="s">
        <v>254</v>
      </c>
      <c r="L787">
        <v>5</v>
      </c>
      <c r="M787" t="str">
        <f>_xlfn.XLOOKUP(E787,tPacotes[ID_Pacote],tPacotes[Pacote])</f>
        <v>Bonito Aventura</v>
      </c>
      <c r="N787" t="str">
        <f>_xlfn.XLOOKUP(E787,tPacotes[ID_Pacote],tPacotes[Categoria])</f>
        <v>Aventura</v>
      </c>
      <c r="O787" t="str">
        <f>_xlfn.XLOOKUP(D787,tClientes[ID_Cliente],tClientes[UF])</f>
        <v>SP</v>
      </c>
    </row>
    <row r="788" spans="1:15" x14ac:dyDescent="0.3">
      <c r="A788">
        <v>787</v>
      </c>
      <c r="B788" s="3">
        <v>46022</v>
      </c>
      <c r="C788" s="3">
        <v>46066</v>
      </c>
      <c r="D788">
        <v>35</v>
      </c>
      <c r="E788">
        <v>3</v>
      </c>
      <c r="F788">
        <v>1</v>
      </c>
      <c r="G788" s="2">
        <v>2600</v>
      </c>
      <c r="H788" s="4">
        <v>0</v>
      </c>
      <c r="I788" s="2">
        <v>2600</v>
      </c>
      <c r="J788" t="s">
        <v>257</v>
      </c>
      <c r="K788" t="s">
        <v>254</v>
      </c>
      <c r="L788">
        <v>5</v>
      </c>
      <c r="M788" t="str">
        <f>_xlfn.XLOOKUP(E788,tPacotes[ID_Pacote],tPacotes[Pacote])</f>
        <v>Serra Gaúcha</v>
      </c>
      <c r="N788" t="str">
        <f>_xlfn.XLOOKUP(E788,tPacotes[ID_Pacote],tPacotes[Categoria])</f>
        <v>Inverno</v>
      </c>
      <c r="O788" t="str">
        <f>_xlfn.XLOOKUP(D788,tClientes[ID_Cliente],tClientes[UF])</f>
        <v>DF</v>
      </c>
    </row>
    <row r="789" spans="1:15" x14ac:dyDescent="0.3">
      <c r="A789">
        <v>788</v>
      </c>
      <c r="B789" s="3">
        <v>46023</v>
      </c>
      <c r="C789" s="3">
        <v>46081</v>
      </c>
      <c r="D789">
        <v>24</v>
      </c>
      <c r="E789">
        <v>3</v>
      </c>
      <c r="F789">
        <v>2</v>
      </c>
      <c r="G789" s="2">
        <v>5200</v>
      </c>
      <c r="H789" s="4">
        <v>0</v>
      </c>
      <c r="I789" s="2">
        <v>5200</v>
      </c>
      <c r="J789" t="s">
        <v>255</v>
      </c>
      <c r="K789" t="s">
        <v>254</v>
      </c>
      <c r="L789">
        <v>5</v>
      </c>
      <c r="M789" t="str">
        <f>_xlfn.XLOOKUP(E789,tPacotes[ID_Pacote],tPacotes[Pacote])</f>
        <v>Serra Gaúcha</v>
      </c>
      <c r="N789" t="str">
        <f>_xlfn.XLOOKUP(E789,tPacotes[ID_Pacote],tPacotes[Categoria])</f>
        <v>Inverno</v>
      </c>
      <c r="O789" t="str">
        <f>_xlfn.XLOOKUP(D789,tClientes[ID_Cliente],tClientes[UF])</f>
        <v>SP</v>
      </c>
    </row>
    <row r="790" spans="1:15" x14ac:dyDescent="0.3">
      <c r="A790">
        <v>789</v>
      </c>
      <c r="B790" s="3">
        <v>46024</v>
      </c>
      <c r="C790" s="3">
        <v>46148</v>
      </c>
      <c r="D790">
        <v>38</v>
      </c>
      <c r="E790">
        <v>1</v>
      </c>
      <c r="F790">
        <v>2</v>
      </c>
      <c r="G790" s="2">
        <v>6400</v>
      </c>
      <c r="H790" s="4">
        <v>0.05</v>
      </c>
      <c r="I790" s="2">
        <v>6080</v>
      </c>
      <c r="J790" t="s">
        <v>253</v>
      </c>
      <c r="K790" t="s">
        <v>254</v>
      </c>
      <c r="L790">
        <v>5</v>
      </c>
      <c r="M790" t="str">
        <f>_xlfn.XLOOKUP(E790,tPacotes[ID_Pacote],tPacotes[Pacote])</f>
        <v>Nordeste Encantado</v>
      </c>
      <c r="N790" t="str">
        <f>_xlfn.XLOOKUP(E790,tPacotes[ID_Pacote],tPacotes[Categoria])</f>
        <v>Praia</v>
      </c>
      <c r="O790" t="str">
        <f>_xlfn.XLOOKUP(D790,tClientes[ID_Cliente],tClientes[UF])</f>
        <v>SP</v>
      </c>
    </row>
    <row r="791" spans="1:15" x14ac:dyDescent="0.3">
      <c r="A791">
        <v>790</v>
      </c>
      <c r="B791" s="3">
        <v>46024</v>
      </c>
      <c r="C791" s="3">
        <v>46063</v>
      </c>
      <c r="D791">
        <v>178</v>
      </c>
      <c r="E791">
        <v>3</v>
      </c>
      <c r="F791">
        <v>1</v>
      </c>
      <c r="G791" s="2">
        <v>2600</v>
      </c>
      <c r="H791" s="4">
        <v>0</v>
      </c>
      <c r="I791" s="2">
        <v>2600</v>
      </c>
      <c r="J791" t="s">
        <v>256</v>
      </c>
      <c r="K791" t="s">
        <v>254</v>
      </c>
      <c r="L791">
        <v>5</v>
      </c>
      <c r="M791" t="str">
        <f>_xlfn.XLOOKUP(E791,tPacotes[ID_Pacote],tPacotes[Pacote])</f>
        <v>Serra Gaúcha</v>
      </c>
      <c r="N791" t="str">
        <f>_xlfn.XLOOKUP(E791,tPacotes[ID_Pacote],tPacotes[Categoria])</f>
        <v>Inverno</v>
      </c>
      <c r="O791" t="str">
        <f>_xlfn.XLOOKUP(D791,tClientes[ID_Cliente],tClientes[UF])</f>
        <v>PE</v>
      </c>
    </row>
    <row r="792" spans="1:15" x14ac:dyDescent="0.3">
      <c r="A792">
        <v>791</v>
      </c>
      <c r="B792" s="3">
        <v>46024</v>
      </c>
      <c r="C792" s="3">
        <v>46032</v>
      </c>
      <c r="D792">
        <v>190</v>
      </c>
      <c r="E792">
        <v>3</v>
      </c>
      <c r="F792">
        <v>3</v>
      </c>
      <c r="G792" s="2">
        <v>7800</v>
      </c>
      <c r="H792" s="4">
        <v>0.15</v>
      </c>
      <c r="I792" s="2">
        <v>6630</v>
      </c>
      <c r="J792" t="s">
        <v>257</v>
      </c>
      <c r="K792" t="s">
        <v>254</v>
      </c>
      <c r="L792">
        <v>4</v>
      </c>
      <c r="M792" t="str">
        <f>_xlfn.XLOOKUP(E792,tPacotes[ID_Pacote],tPacotes[Pacote])</f>
        <v>Serra Gaúcha</v>
      </c>
      <c r="N792" t="str">
        <f>_xlfn.XLOOKUP(E792,tPacotes[ID_Pacote],tPacotes[Categoria])</f>
        <v>Inverno</v>
      </c>
      <c r="O792" t="str">
        <f>_xlfn.XLOOKUP(D792,tClientes[ID_Cliente],tClientes[UF])</f>
        <v>SP</v>
      </c>
    </row>
    <row r="793" spans="1:15" x14ac:dyDescent="0.3">
      <c r="A793">
        <v>792</v>
      </c>
      <c r="B793" s="3">
        <v>46025</v>
      </c>
      <c r="C793" s="3">
        <v>46112</v>
      </c>
      <c r="D793">
        <v>94</v>
      </c>
      <c r="E793">
        <v>15</v>
      </c>
      <c r="F793">
        <v>4</v>
      </c>
      <c r="G793" s="2">
        <v>12400</v>
      </c>
      <c r="H793" s="4">
        <v>0.1</v>
      </c>
      <c r="I793" s="2">
        <v>11160</v>
      </c>
      <c r="J793" t="s">
        <v>257</v>
      </c>
      <c r="K793" t="s">
        <v>254</v>
      </c>
      <c r="L793">
        <v>5</v>
      </c>
      <c r="M793" t="str">
        <f>_xlfn.XLOOKUP(E793,tPacotes[ID_Pacote],tPacotes[Pacote])</f>
        <v>Jericoacoara</v>
      </c>
      <c r="N793" t="str">
        <f>_xlfn.XLOOKUP(E793,tPacotes[ID_Pacote],tPacotes[Categoria])</f>
        <v>Praia</v>
      </c>
      <c r="O793" t="str">
        <f>_xlfn.XLOOKUP(D793,tClientes[ID_Cliente],tClientes[UF])</f>
        <v>RJ</v>
      </c>
    </row>
    <row r="794" spans="1:15" x14ac:dyDescent="0.3">
      <c r="A794">
        <v>793</v>
      </c>
      <c r="B794" s="3">
        <v>46026</v>
      </c>
      <c r="C794" s="3">
        <v>46115</v>
      </c>
      <c r="D794">
        <v>127</v>
      </c>
      <c r="E794">
        <v>5</v>
      </c>
      <c r="F794">
        <v>2</v>
      </c>
      <c r="G794" s="2">
        <v>6800</v>
      </c>
      <c r="H794" s="4">
        <v>0</v>
      </c>
      <c r="I794" s="2">
        <v>6800</v>
      </c>
      <c r="J794" t="s">
        <v>253</v>
      </c>
      <c r="K794" t="s">
        <v>254</v>
      </c>
      <c r="L794">
        <v>4</v>
      </c>
      <c r="M794" t="str">
        <f>_xlfn.XLOOKUP(E794,tPacotes[ID_Pacote],tPacotes[Pacote])</f>
        <v>Bonito Aventura</v>
      </c>
      <c r="N794" t="str">
        <f>_xlfn.XLOOKUP(E794,tPacotes[ID_Pacote],tPacotes[Categoria])</f>
        <v>Aventura</v>
      </c>
      <c r="O794" t="str">
        <f>_xlfn.XLOOKUP(D794,tClientes[ID_Cliente],tClientes[UF])</f>
        <v>SP</v>
      </c>
    </row>
    <row r="795" spans="1:15" x14ac:dyDescent="0.3">
      <c r="A795">
        <v>794</v>
      </c>
      <c r="B795" s="3">
        <v>46026</v>
      </c>
      <c r="C795" s="3">
        <v>46033</v>
      </c>
      <c r="D795">
        <v>181</v>
      </c>
      <c r="E795">
        <v>10</v>
      </c>
      <c r="F795">
        <v>1</v>
      </c>
      <c r="G795" s="2">
        <v>11500</v>
      </c>
      <c r="H795" s="4">
        <v>0</v>
      </c>
      <c r="I795" s="2">
        <v>11500</v>
      </c>
      <c r="J795" t="s">
        <v>257</v>
      </c>
      <c r="K795" t="s">
        <v>254</v>
      </c>
      <c r="L795">
        <v>5</v>
      </c>
      <c r="M795" t="str">
        <f>_xlfn.XLOOKUP(E795,tPacotes[ID_Pacote],tPacotes[Pacote])</f>
        <v>Orlando Parques</v>
      </c>
      <c r="N795" t="str">
        <f>_xlfn.XLOOKUP(E795,tPacotes[ID_Pacote],tPacotes[Categoria])</f>
        <v>Parques</v>
      </c>
      <c r="O795" t="str">
        <f>_xlfn.XLOOKUP(D795,tClientes[ID_Cliente],tClientes[UF])</f>
        <v>RJ</v>
      </c>
    </row>
    <row r="796" spans="1:15" x14ac:dyDescent="0.3">
      <c r="A796">
        <v>795</v>
      </c>
      <c r="B796" s="3">
        <v>46028</v>
      </c>
      <c r="C796" s="3">
        <v>46083</v>
      </c>
      <c r="D796">
        <v>106</v>
      </c>
      <c r="E796">
        <v>9</v>
      </c>
      <c r="F796">
        <v>1</v>
      </c>
      <c r="G796" s="2">
        <v>8900</v>
      </c>
      <c r="H796" s="4">
        <v>0</v>
      </c>
      <c r="I796" s="2">
        <v>8900</v>
      </c>
      <c r="J796" t="s">
        <v>253</v>
      </c>
      <c r="K796" t="s">
        <v>254</v>
      </c>
      <c r="L796">
        <v>4</v>
      </c>
      <c r="M796" t="str">
        <f>_xlfn.XLOOKUP(E796,tPacotes[ID_Pacote],tPacotes[Pacote])</f>
        <v>Cancún All Inclusive</v>
      </c>
      <c r="N796" t="str">
        <f>_xlfn.XLOOKUP(E796,tPacotes[ID_Pacote],tPacotes[Categoria])</f>
        <v>Praia</v>
      </c>
      <c r="O796" t="str">
        <f>_xlfn.XLOOKUP(D796,tClientes[ID_Cliente],tClientes[UF])</f>
        <v>PE</v>
      </c>
    </row>
    <row r="797" spans="1:15" x14ac:dyDescent="0.3">
      <c r="A797">
        <v>796</v>
      </c>
      <c r="B797" s="3">
        <v>46029</v>
      </c>
      <c r="C797" s="3">
        <v>46039</v>
      </c>
      <c r="D797">
        <v>161</v>
      </c>
      <c r="E797">
        <v>2</v>
      </c>
      <c r="F797">
        <v>2</v>
      </c>
      <c r="G797" s="2">
        <v>3600</v>
      </c>
      <c r="H797" s="4">
        <v>0</v>
      </c>
      <c r="I797" s="2">
        <v>3600</v>
      </c>
      <c r="J797" t="s">
        <v>256</v>
      </c>
      <c r="K797" t="s">
        <v>254</v>
      </c>
      <c r="L797">
        <v>3</v>
      </c>
      <c r="M797" t="str">
        <f>_xlfn.XLOOKUP(E797,tPacotes[ID_Pacote],tPacotes[Pacote])</f>
        <v>Rio Cidade Maravilhosa</v>
      </c>
      <c r="N797" t="str">
        <f>_xlfn.XLOOKUP(E797,tPacotes[ID_Pacote],tPacotes[Categoria])</f>
        <v>Cultural</v>
      </c>
      <c r="O797" t="str">
        <f>_xlfn.XLOOKUP(D797,tClientes[ID_Cliente],tClientes[UF])</f>
        <v>SP</v>
      </c>
    </row>
    <row r="798" spans="1:15" x14ac:dyDescent="0.3">
      <c r="A798">
        <v>797</v>
      </c>
      <c r="B798" s="3">
        <v>46029</v>
      </c>
      <c r="C798" s="3">
        <v>46200</v>
      </c>
      <c r="D798">
        <v>163</v>
      </c>
      <c r="E798">
        <v>6</v>
      </c>
      <c r="F798">
        <v>3</v>
      </c>
      <c r="G798" s="2">
        <v>6300</v>
      </c>
      <c r="H798" s="4">
        <v>0.05</v>
      </c>
      <c r="I798" s="2">
        <v>5985</v>
      </c>
      <c r="J798" t="s">
        <v>253</v>
      </c>
      <c r="K798" t="s">
        <v>254</v>
      </c>
      <c r="L798">
        <v>5</v>
      </c>
      <c r="M798" t="str">
        <f>_xlfn.XLOOKUP(E798,tPacotes[ID_Pacote],tPacotes[Pacote])</f>
        <v>Foz do Iguaçu</v>
      </c>
      <c r="N798" t="str">
        <f>_xlfn.XLOOKUP(E798,tPacotes[ID_Pacote],tPacotes[Categoria])</f>
        <v>Natureza</v>
      </c>
      <c r="O798" t="str">
        <f>_xlfn.XLOOKUP(D798,tClientes[ID_Cliente],tClientes[UF])</f>
        <v>DF</v>
      </c>
    </row>
    <row r="799" spans="1:15" x14ac:dyDescent="0.3">
      <c r="A799">
        <v>798</v>
      </c>
      <c r="B799" s="3">
        <v>46030</v>
      </c>
      <c r="C799" s="3">
        <v>46121</v>
      </c>
      <c r="D799">
        <v>136</v>
      </c>
      <c r="E799">
        <v>7</v>
      </c>
      <c r="F799">
        <v>1</v>
      </c>
      <c r="G799" s="2">
        <v>4200</v>
      </c>
      <c r="H799" s="4">
        <v>0</v>
      </c>
      <c r="I799" s="2">
        <v>4200</v>
      </c>
      <c r="J799" t="s">
        <v>255</v>
      </c>
      <c r="K799" t="s">
        <v>254</v>
      </c>
      <c r="L799">
        <v>5</v>
      </c>
      <c r="M799" t="str">
        <f>_xlfn.XLOOKUP(E799,tPacotes[ID_Pacote],tPacotes[Pacote])</f>
        <v>Buenos Aires Clássica</v>
      </c>
      <c r="N799" t="str">
        <f>_xlfn.XLOOKUP(E799,tPacotes[ID_Pacote],tPacotes[Categoria])</f>
        <v>Cultural</v>
      </c>
      <c r="O799" t="str">
        <f>_xlfn.XLOOKUP(D799,tClientes[ID_Cliente],tClientes[UF])</f>
        <v>MG</v>
      </c>
    </row>
    <row r="800" spans="1:15" x14ac:dyDescent="0.3">
      <c r="A800">
        <v>799</v>
      </c>
      <c r="B800" s="3">
        <v>46030</v>
      </c>
      <c r="C800" s="3">
        <v>46163</v>
      </c>
      <c r="D800">
        <v>33</v>
      </c>
      <c r="E800">
        <v>6</v>
      </c>
      <c r="F800">
        <v>4</v>
      </c>
      <c r="G800" s="2">
        <v>8400</v>
      </c>
      <c r="H800" s="4">
        <v>0.15</v>
      </c>
      <c r="I800" s="2">
        <v>7140</v>
      </c>
      <c r="J800" t="s">
        <v>257</v>
      </c>
      <c r="K800" t="s">
        <v>254</v>
      </c>
      <c r="L800">
        <v>5</v>
      </c>
      <c r="M800" t="str">
        <f>_xlfn.XLOOKUP(E800,tPacotes[ID_Pacote],tPacotes[Pacote])</f>
        <v>Foz do Iguaçu</v>
      </c>
      <c r="N800" t="str">
        <f>_xlfn.XLOOKUP(E800,tPacotes[ID_Pacote],tPacotes[Categoria])</f>
        <v>Natureza</v>
      </c>
      <c r="O800" t="str">
        <f>_xlfn.XLOOKUP(D800,tClientes[ID_Cliente],tClientes[UF])</f>
        <v>PR</v>
      </c>
    </row>
    <row r="801" spans="1:15" x14ac:dyDescent="0.3">
      <c r="A801">
        <v>800</v>
      </c>
      <c r="B801" s="3">
        <v>46030</v>
      </c>
      <c r="C801" s="3">
        <v>46039</v>
      </c>
      <c r="D801">
        <v>4</v>
      </c>
      <c r="E801">
        <v>6</v>
      </c>
      <c r="F801">
        <v>1</v>
      </c>
      <c r="G801" s="2">
        <v>2100</v>
      </c>
      <c r="H801" s="4">
        <v>0.05</v>
      </c>
      <c r="I801" s="2">
        <v>1995</v>
      </c>
      <c r="J801" t="s">
        <v>257</v>
      </c>
      <c r="K801" t="s">
        <v>254</v>
      </c>
      <c r="L801">
        <v>5</v>
      </c>
      <c r="M801" t="str">
        <f>_xlfn.XLOOKUP(E801,tPacotes[ID_Pacote],tPacotes[Pacote])</f>
        <v>Foz do Iguaçu</v>
      </c>
      <c r="N801" t="str">
        <f>_xlfn.XLOOKUP(E801,tPacotes[ID_Pacote],tPacotes[Categoria])</f>
        <v>Natureza</v>
      </c>
      <c r="O801" t="str">
        <f>_xlfn.XLOOKUP(D801,tClientes[ID_Cliente],tClientes[UF])</f>
        <v>RJ</v>
      </c>
    </row>
    <row r="802" spans="1:15" x14ac:dyDescent="0.3">
      <c r="A802">
        <v>801</v>
      </c>
      <c r="B802" s="3">
        <v>46031</v>
      </c>
      <c r="C802" s="3">
        <v>46192</v>
      </c>
      <c r="D802">
        <v>84</v>
      </c>
      <c r="E802">
        <v>14</v>
      </c>
      <c r="F802">
        <v>2</v>
      </c>
      <c r="G802" s="2">
        <v>5800</v>
      </c>
      <c r="H802" s="4">
        <v>0</v>
      </c>
      <c r="I802" s="2">
        <v>5800</v>
      </c>
      <c r="J802" t="s">
        <v>257</v>
      </c>
      <c r="K802" t="s">
        <v>254</v>
      </c>
      <c r="L802">
        <v>5</v>
      </c>
      <c r="M802" t="str">
        <f>_xlfn.XLOOKUP(E802,tPacotes[ID_Pacote],tPacotes[Pacote])</f>
        <v>Lençóis Maranhenses</v>
      </c>
      <c r="N802" t="str">
        <f>_xlfn.XLOOKUP(E802,tPacotes[ID_Pacote],tPacotes[Categoria])</f>
        <v>Natureza</v>
      </c>
      <c r="O802" t="str">
        <f>_xlfn.XLOOKUP(D802,tClientes[ID_Cliente],tClientes[UF])</f>
        <v>RS</v>
      </c>
    </row>
    <row r="803" spans="1:15" x14ac:dyDescent="0.3">
      <c r="A803">
        <v>802</v>
      </c>
      <c r="B803" s="3">
        <v>46031</v>
      </c>
      <c r="C803" s="3">
        <v>46132</v>
      </c>
      <c r="D803">
        <v>77</v>
      </c>
      <c r="E803">
        <v>2</v>
      </c>
      <c r="F803">
        <v>2</v>
      </c>
      <c r="G803" s="2">
        <v>3600</v>
      </c>
      <c r="H803" s="4">
        <v>0.05</v>
      </c>
      <c r="I803" s="2">
        <v>3420</v>
      </c>
      <c r="J803" t="s">
        <v>253</v>
      </c>
      <c r="K803" t="s">
        <v>254</v>
      </c>
      <c r="L803">
        <v>5</v>
      </c>
      <c r="M803" t="str">
        <f>_xlfn.XLOOKUP(E803,tPacotes[ID_Pacote],tPacotes[Pacote])</f>
        <v>Rio Cidade Maravilhosa</v>
      </c>
      <c r="N803" t="str">
        <f>_xlfn.XLOOKUP(E803,tPacotes[ID_Pacote],tPacotes[Categoria])</f>
        <v>Cultural</v>
      </c>
      <c r="O803" t="str">
        <f>_xlfn.XLOOKUP(D803,tClientes[ID_Cliente],tClientes[UF])</f>
        <v>RJ</v>
      </c>
    </row>
    <row r="804" spans="1:15" x14ac:dyDescent="0.3">
      <c r="A804">
        <v>803</v>
      </c>
      <c r="B804" s="3">
        <v>46031</v>
      </c>
      <c r="C804" s="3">
        <v>46185</v>
      </c>
      <c r="D804">
        <v>24</v>
      </c>
      <c r="E804">
        <v>8</v>
      </c>
      <c r="F804">
        <v>1</v>
      </c>
      <c r="G804" s="2">
        <v>5900</v>
      </c>
      <c r="H804" s="4">
        <v>0</v>
      </c>
      <c r="I804" s="2">
        <v>5900</v>
      </c>
      <c r="J804" t="s">
        <v>255</v>
      </c>
      <c r="K804" t="s">
        <v>254</v>
      </c>
      <c r="L804">
        <v>4</v>
      </c>
      <c r="M804" t="str">
        <f>_xlfn.XLOOKUP(E804,tPacotes[ID_Pacote],tPacotes[Pacote])</f>
        <v>Santiago e Neve</v>
      </c>
      <c r="N804" t="str">
        <f>_xlfn.XLOOKUP(E804,tPacotes[ID_Pacote],tPacotes[Categoria])</f>
        <v>Inverno</v>
      </c>
      <c r="O804" t="str">
        <f>_xlfn.XLOOKUP(D804,tClientes[ID_Cliente],tClientes[UF])</f>
        <v>SP</v>
      </c>
    </row>
    <row r="805" spans="1:15" x14ac:dyDescent="0.3">
      <c r="A805">
        <v>804</v>
      </c>
      <c r="B805" s="3">
        <v>46032</v>
      </c>
      <c r="C805" s="3">
        <v>46051</v>
      </c>
      <c r="D805">
        <v>200</v>
      </c>
      <c r="E805">
        <v>4</v>
      </c>
      <c r="F805">
        <v>2</v>
      </c>
      <c r="G805" s="2">
        <v>13800</v>
      </c>
      <c r="H805" s="4">
        <v>0</v>
      </c>
      <c r="I805" s="2">
        <v>13800</v>
      </c>
      <c r="J805" t="s">
        <v>253</v>
      </c>
      <c r="K805" t="s">
        <v>254</v>
      </c>
      <c r="L805">
        <v>4</v>
      </c>
      <c r="M805" t="str">
        <f>_xlfn.XLOOKUP(E805,tPacotes[ID_Pacote],tPacotes[Pacote])</f>
        <v>Fernando de Noronha</v>
      </c>
      <c r="N805" t="str">
        <f>_xlfn.XLOOKUP(E805,tPacotes[ID_Pacote],tPacotes[Categoria])</f>
        <v>Praia</v>
      </c>
      <c r="O805" t="str">
        <f>_xlfn.XLOOKUP(D805,tClientes[ID_Cliente],tClientes[UF])</f>
        <v>PR</v>
      </c>
    </row>
    <row r="806" spans="1:15" x14ac:dyDescent="0.3">
      <c r="A806">
        <v>805</v>
      </c>
      <c r="B806" s="3">
        <v>46033</v>
      </c>
      <c r="C806" s="3">
        <v>46093</v>
      </c>
      <c r="D806">
        <v>141</v>
      </c>
      <c r="E806">
        <v>6</v>
      </c>
      <c r="F806">
        <v>4</v>
      </c>
      <c r="G806" s="2">
        <v>8400</v>
      </c>
      <c r="H806" s="4">
        <v>0</v>
      </c>
      <c r="I806" s="2">
        <v>8400</v>
      </c>
      <c r="J806" t="s">
        <v>253</v>
      </c>
      <c r="K806" t="s">
        <v>254</v>
      </c>
      <c r="L806">
        <v>4</v>
      </c>
      <c r="M806" t="str">
        <f>_xlfn.XLOOKUP(E806,tPacotes[ID_Pacote],tPacotes[Pacote])</f>
        <v>Foz do Iguaçu</v>
      </c>
      <c r="N806" t="str">
        <f>_xlfn.XLOOKUP(E806,tPacotes[ID_Pacote],tPacotes[Categoria])</f>
        <v>Natureza</v>
      </c>
      <c r="O806" t="str">
        <f>_xlfn.XLOOKUP(D806,tClientes[ID_Cliente],tClientes[UF])</f>
        <v>DF</v>
      </c>
    </row>
    <row r="807" spans="1:15" x14ac:dyDescent="0.3">
      <c r="A807">
        <v>806</v>
      </c>
      <c r="B807" s="3">
        <v>46033</v>
      </c>
      <c r="C807" s="3">
        <v>46093</v>
      </c>
      <c r="D807">
        <v>119</v>
      </c>
      <c r="E807">
        <v>15</v>
      </c>
      <c r="F807">
        <v>1</v>
      </c>
      <c r="G807" s="2">
        <v>3100</v>
      </c>
      <c r="H807" s="4">
        <v>0</v>
      </c>
      <c r="I807" s="2">
        <v>3100</v>
      </c>
      <c r="J807" t="s">
        <v>256</v>
      </c>
      <c r="K807" t="s">
        <v>254</v>
      </c>
      <c r="L807">
        <v>3</v>
      </c>
      <c r="M807" t="str">
        <f>_xlfn.XLOOKUP(E807,tPacotes[ID_Pacote],tPacotes[Pacote])</f>
        <v>Jericoacoara</v>
      </c>
      <c r="N807" t="str">
        <f>_xlfn.XLOOKUP(E807,tPacotes[ID_Pacote],tPacotes[Categoria])</f>
        <v>Praia</v>
      </c>
      <c r="O807" t="str">
        <f>_xlfn.XLOOKUP(D807,tClientes[ID_Cliente],tClientes[UF])</f>
        <v>SP</v>
      </c>
    </row>
    <row r="808" spans="1:15" x14ac:dyDescent="0.3">
      <c r="A808">
        <v>807</v>
      </c>
      <c r="B808" s="3">
        <v>46034</v>
      </c>
      <c r="C808" s="3">
        <v>46053</v>
      </c>
      <c r="D808">
        <v>104</v>
      </c>
      <c r="E808">
        <v>7</v>
      </c>
      <c r="F808">
        <v>3</v>
      </c>
      <c r="G808" s="2">
        <v>12600</v>
      </c>
      <c r="H808" s="4">
        <v>0.1</v>
      </c>
      <c r="I808" s="2">
        <v>11340</v>
      </c>
      <c r="J808" t="s">
        <v>253</v>
      </c>
      <c r="K808" t="s">
        <v>254</v>
      </c>
      <c r="L808">
        <v>5</v>
      </c>
      <c r="M808" t="str">
        <f>_xlfn.XLOOKUP(E808,tPacotes[ID_Pacote],tPacotes[Pacote])</f>
        <v>Buenos Aires Clássica</v>
      </c>
      <c r="N808" t="str">
        <f>_xlfn.XLOOKUP(E808,tPacotes[ID_Pacote],tPacotes[Categoria])</f>
        <v>Cultural</v>
      </c>
      <c r="O808" t="str">
        <f>_xlfn.XLOOKUP(D808,tClientes[ID_Cliente],tClientes[UF])</f>
        <v>RJ</v>
      </c>
    </row>
    <row r="809" spans="1:15" x14ac:dyDescent="0.3">
      <c r="A809">
        <v>808</v>
      </c>
      <c r="B809" s="3">
        <v>46034</v>
      </c>
      <c r="C809" s="3">
        <v>46041</v>
      </c>
      <c r="D809">
        <v>48</v>
      </c>
      <c r="E809">
        <v>9</v>
      </c>
      <c r="F809">
        <v>2</v>
      </c>
      <c r="G809" s="2">
        <v>17800</v>
      </c>
      <c r="H809" s="4">
        <v>0.05</v>
      </c>
      <c r="I809" s="2">
        <v>16910</v>
      </c>
      <c r="J809" t="s">
        <v>253</v>
      </c>
      <c r="K809" t="s">
        <v>254</v>
      </c>
      <c r="L809">
        <v>5</v>
      </c>
      <c r="M809" t="str">
        <f>_xlfn.XLOOKUP(E809,tPacotes[ID_Pacote],tPacotes[Pacote])</f>
        <v>Cancún All Inclusive</v>
      </c>
      <c r="N809" t="str">
        <f>_xlfn.XLOOKUP(E809,tPacotes[ID_Pacote],tPacotes[Categoria])</f>
        <v>Praia</v>
      </c>
      <c r="O809" t="str">
        <f>_xlfn.XLOOKUP(D809,tClientes[ID_Cliente],tClientes[UF])</f>
        <v>SP</v>
      </c>
    </row>
    <row r="810" spans="1:15" x14ac:dyDescent="0.3">
      <c r="A810">
        <v>809</v>
      </c>
      <c r="B810" s="3">
        <v>46034</v>
      </c>
      <c r="C810" s="3">
        <v>46116</v>
      </c>
      <c r="D810">
        <v>57</v>
      </c>
      <c r="E810">
        <v>1</v>
      </c>
      <c r="F810">
        <v>2</v>
      </c>
      <c r="G810" s="2">
        <v>6400</v>
      </c>
      <c r="H810" s="4">
        <v>0</v>
      </c>
      <c r="I810" s="2">
        <v>6400</v>
      </c>
      <c r="J810" t="s">
        <v>257</v>
      </c>
      <c r="K810" t="s">
        <v>258</v>
      </c>
      <c r="M810" t="str">
        <f>_xlfn.XLOOKUP(E810,tPacotes[ID_Pacote],tPacotes[Pacote])</f>
        <v>Nordeste Encantado</v>
      </c>
      <c r="N810" t="str">
        <f>_xlfn.XLOOKUP(E810,tPacotes[ID_Pacote],tPacotes[Categoria])</f>
        <v>Praia</v>
      </c>
      <c r="O810" t="str">
        <f>_xlfn.XLOOKUP(D810,tClientes[ID_Cliente],tClientes[UF])</f>
        <v>MG</v>
      </c>
    </row>
    <row r="811" spans="1:15" x14ac:dyDescent="0.3">
      <c r="A811">
        <v>810</v>
      </c>
      <c r="B811" s="3">
        <v>46036</v>
      </c>
      <c r="C811" s="3">
        <v>46046</v>
      </c>
      <c r="D811">
        <v>65</v>
      </c>
      <c r="E811">
        <v>13</v>
      </c>
      <c r="F811">
        <v>2</v>
      </c>
      <c r="G811" s="2">
        <v>14600</v>
      </c>
      <c r="H811" s="4">
        <v>0.1</v>
      </c>
      <c r="I811" s="2">
        <v>13140</v>
      </c>
      <c r="J811" t="s">
        <v>257</v>
      </c>
      <c r="K811" t="s">
        <v>254</v>
      </c>
      <c r="L811">
        <v>5</v>
      </c>
      <c r="M811" t="str">
        <f>_xlfn.XLOOKUP(E811,tPacotes[ID_Pacote],tPacotes[Pacote])</f>
        <v>Machu Picchu</v>
      </c>
      <c r="N811" t="str">
        <f>_xlfn.XLOOKUP(E811,tPacotes[ID_Pacote],tPacotes[Categoria])</f>
        <v>Aventura</v>
      </c>
      <c r="O811" t="str">
        <f>_xlfn.XLOOKUP(D811,tClientes[ID_Cliente],tClientes[UF])</f>
        <v>SP</v>
      </c>
    </row>
    <row r="812" spans="1:15" x14ac:dyDescent="0.3">
      <c r="A812">
        <v>811</v>
      </c>
      <c r="B812" s="3">
        <v>46036</v>
      </c>
      <c r="C812" s="3">
        <v>46069</v>
      </c>
      <c r="D812">
        <v>35</v>
      </c>
      <c r="E812">
        <v>12</v>
      </c>
      <c r="F812">
        <v>4</v>
      </c>
      <c r="G812" s="2">
        <v>49600</v>
      </c>
      <c r="H812" s="4">
        <v>0.05</v>
      </c>
      <c r="I812" s="2">
        <v>47120</v>
      </c>
      <c r="J812" t="s">
        <v>255</v>
      </c>
      <c r="K812" t="s">
        <v>254</v>
      </c>
      <c r="L812">
        <v>3</v>
      </c>
      <c r="M812" t="str">
        <f>_xlfn.XLOOKUP(E812,tPacotes[ID_Pacote],tPacotes[Pacote])</f>
        <v>Lisboa e Porto</v>
      </c>
      <c r="N812" t="str">
        <f>_xlfn.XLOOKUP(E812,tPacotes[ID_Pacote],tPacotes[Categoria])</f>
        <v>Cultural</v>
      </c>
      <c r="O812" t="str">
        <f>_xlfn.XLOOKUP(D812,tClientes[ID_Cliente],tClientes[UF])</f>
        <v>DF</v>
      </c>
    </row>
    <row r="813" spans="1:15" x14ac:dyDescent="0.3">
      <c r="A813">
        <v>812</v>
      </c>
      <c r="B813" s="3">
        <v>46038</v>
      </c>
      <c r="C813" s="3">
        <v>46051</v>
      </c>
      <c r="D813">
        <v>83</v>
      </c>
      <c r="E813">
        <v>1</v>
      </c>
      <c r="F813">
        <v>2</v>
      </c>
      <c r="G813" s="2">
        <v>6400</v>
      </c>
      <c r="H813" s="4">
        <v>0</v>
      </c>
      <c r="I813" s="2">
        <v>6400</v>
      </c>
      <c r="J813" t="s">
        <v>253</v>
      </c>
      <c r="K813" t="s">
        <v>254</v>
      </c>
      <c r="L813">
        <v>5</v>
      </c>
      <c r="M813" t="str">
        <f>_xlfn.XLOOKUP(E813,tPacotes[ID_Pacote],tPacotes[Pacote])</f>
        <v>Nordeste Encantado</v>
      </c>
      <c r="N813" t="str">
        <f>_xlfn.XLOOKUP(E813,tPacotes[ID_Pacote],tPacotes[Categoria])</f>
        <v>Praia</v>
      </c>
      <c r="O813" t="str">
        <f>_xlfn.XLOOKUP(D813,tClientes[ID_Cliente],tClientes[UF])</f>
        <v>SP</v>
      </c>
    </row>
    <row r="814" spans="1:15" x14ac:dyDescent="0.3">
      <c r="A814">
        <v>813</v>
      </c>
      <c r="B814" s="3">
        <v>46040</v>
      </c>
      <c r="C814" s="3">
        <v>46045</v>
      </c>
      <c r="D814">
        <v>19</v>
      </c>
      <c r="E814">
        <v>1</v>
      </c>
      <c r="F814">
        <v>4</v>
      </c>
      <c r="G814" s="2">
        <v>12800</v>
      </c>
      <c r="H814" s="4">
        <v>0</v>
      </c>
      <c r="I814" s="2">
        <v>12800</v>
      </c>
      <c r="J814" t="s">
        <v>253</v>
      </c>
      <c r="K814" t="s">
        <v>254</v>
      </c>
      <c r="L814">
        <v>4</v>
      </c>
      <c r="M814" t="str">
        <f>_xlfn.XLOOKUP(E814,tPacotes[ID_Pacote],tPacotes[Pacote])</f>
        <v>Nordeste Encantado</v>
      </c>
      <c r="N814" t="str">
        <f>_xlfn.XLOOKUP(E814,tPacotes[ID_Pacote],tPacotes[Categoria])</f>
        <v>Praia</v>
      </c>
      <c r="O814" t="str">
        <f>_xlfn.XLOOKUP(D814,tClientes[ID_Cliente],tClientes[UF])</f>
        <v>SP</v>
      </c>
    </row>
    <row r="815" spans="1:15" x14ac:dyDescent="0.3">
      <c r="A815">
        <v>814</v>
      </c>
      <c r="B815" s="3">
        <v>46042</v>
      </c>
      <c r="C815" s="3">
        <v>46094</v>
      </c>
      <c r="D815">
        <v>174</v>
      </c>
      <c r="E815">
        <v>15</v>
      </c>
      <c r="F815">
        <v>3</v>
      </c>
      <c r="G815" s="2">
        <v>9300</v>
      </c>
      <c r="H815" s="4">
        <v>0.1</v>
      </c>
      <c r="I815" s="2">
        <v>8370</v>
      </c>
      <c r="J815" t="s">
        <v>253</v>
      </c>
      <c r="K815" t="s">
        <v>258</v>
      </c>
      <c r="M815" t="str">
        <f>_xlfn.XLOOKUP(E815,tPacotes[ID_Pacote],tPacotes[Pacote])</f>
        <v>Jericoacoara</v>
      </c>
      <c r="N815" t="str">
        <f>_xlfn.XLOOKUP(E815,tPacotes[ID_Pacote],tPacotes[Categoria])</f>
        <v>Praia</v>
      </c>
      <c r="O815" t="str">
        <f>_xlfn.XLOOKUP(D815,tClientes[ID_Cliente],tClientes[UF])</f>
        <v>SP</v>
      </c>
    </row>
    <row r="816" spans="1:15" x14ac:dyDescent="0.3">
      <c r="A816">
        <v>815</v>
      </c>
      <c r="B816" s="3">
        <v>46042</v>
      </c>
      <c r="C816" s="3">
        <v>46052</v>
      </c>
      <c r="D816">
        <v>25</v>
      </c>
      <c r="E816">
        <v>11</v>
      </c>
      <c r="F816">
        <v>1</v>
      </c>
      <c r="G816" s="2">
        <v>15800</v>
      </c>
      <c r="H816" s="4">
        <v>0.05</v>
      </c>
      <c r="I816" s="2">
        <v>15010</v>
      </c>
      <c r="J816" t="s">
        <v>253</v>
      </c>
      <c r="K816" t="s">
        <v>254</v>
      </c>
      <c r="L816">
        <v>4</v>
      </c>
      <c r="M816" t="str">
        <f>_xlfn.XLOOKUP(E816,tPacotes[ID_Pacote],tPacotes[Pacote])</f>
        <v>Paris e Londres</v>
      </c>
      <c r="N816" t="str">
        <f>_xlfn.XLOOKUP(E816,tPacotes[ID_Pacote],tPacotes[Categoria])</f>
        <v>Cultural</v>
      </c>
      <c r="O816" t="str">
        <f>_xlfn.XLOOKUP(D816,tClientes[ID_Cliente],tClientes[UF])</f>
        <v>PE</v>
      </c>
    </row>
    <row r="817" spans="1:15" x14ac:dyDescent="0.3">
      <c r="A817">
        <v>816</v>
      </c>
      <c r="B817" s="3">
        <v>46043</v>
      </c>
      <c r="C817" s="3">
        <v>46134</v>
      </c>
      <c r="D817">
        <v>111</v>
      </c>
      <c r="E817">
        <v>1</v>
      </c>
      <c r="F817">
        <v>1</v>
      </c>
      <c r="G817" s="2">
        <v>3200</v>
      </c>
      <c r="H817" s="4">
        <v>0</v>
      </c>
      <c r="I817" s="2">
        <v>3200</v>
      </c>
      <c r="J817" t="s">
        <v>256</v>
      </c>
      <c r="K817" t="s">
        <v>254</v>
      </c>
      <c r="L817">
        <v>4</v>
      </c>
      <c r="M817" t="str">
        <f>_xlfn.XLOOKUP(E817,tPacotes[ID_Pacote],tPacotes[Pacote])</f>
        <v>Nordeste Encantado</v>
      </c>
      <c r="N817" t="str">
        <f>_xlfn.XLOOKUP(E817,tPacotes[ID_Pacote],tPacotes[Categoria])</f>
        <v>Praia</v>
      </c>
      <c r="O817" t="str">
        <f>_xlfn.XLOOKUP(D817,tClientes[ID_Cliente],tClientes[UF])</f>
        <v>RJ</v>
      </c>
    </row>
    <row r="818" spans="1:15" x14ac:dyDescent="0.3">
      <c r="A818">
        <v>817</v>
      </c>
      <c r="B818" s="3">
        <v>46043</v>
      </c>
      <c r="C818" s="3">
        <v>46066</v>
      </c>
      <c r="D818">
        <v>67</v>
      </c>
      <c r="E818">
        <v>13</v>
      </c>
      <c r="F818">
        <v>1</v>
      </c>
      <c r="G818" s="2">
        <v>7300</v>
      </c>
      <c r="H818" s="4">
        <v>0.1</v>
      </c>
      <c r="I818" s="2">
        <v>6570</v>
      </c>
      <c r="J818" t="s">
        <v>253</v>
      </c>
      <c r="K818" t="s">
        <v>258</v>
      </c>
      <c r="M818" t="str">
        <f>_xlfn.XLOOKUP(E818,tPacotes[ID_Pacote],tPacotes[Pacote])</f>
        <v>Machu Picchu</v>
      </c>
      <c r="N818" t="str">
        <f>_xlfn.XLOOKUP(E818,tPacotes[ID_Pacote],tPacotes[Categoria])</f>
        <v>Aventura</v>
      </c>
      <c r="O818" t="str">
        <f>_xlfn.XLOOKUP(D818,tClientes[ID_Cliente],tClientes[UF])</f>
        <v>RJ</v>
      </c>
    </row>
    <row r="819" spans="1:15" x14ac:dyDescent="0.3">
      <c r="A819">
        <v>818</v>
      </c>
      <c r="B819" s="3">
        <v>46043</v>
      </c>
      <c r="C819" s="3">
        <v>46048</v>
      </c>
      <c r="D819">
        <v>143</v>
      </c>
      <c r="E819">
        <v>8</v>
      </c>
      <c r="F819">
        <v>2</v>
      </c>
      <c r="G819" s="2">
        <v>11800</v>
      </c>
      <c r="H819" s="4">
        <v>0</v>
      </c>
      <c r="I819" s="2">
        <v>11800</v>
      </c>
      <c r="J819" t="s">
        <v>257</v>
      </c>
      <c r="K819" t="s">
        <v>254</v>
      </c>
      <c r="L819">
        <v>4</v>
      </c>
      <c r="M819" t="str">
        <f>_xlfn.XLOOKUP(E819,tPacotes[ID_Pacote],tPacotes[Pacote])</f>
        <v>Santiago e Neve</v>
      </c>
      <c r="N819" t="str">
        <f>_xlfn.XLOOKUP(E819,tPacotes[ID_Pacote],tPacotes[Categoria])</f>
        <v>Inverno</v>
      </c>
      <c r="O819" t="str">
        <f>_xlfn.XLOOKUP(D819,tClientes[ID_Cliente],tClientes[UF])</f>
        <v>DF</v>
      </c>
    </row>
    <row r="820" spans="1:15" x14ac:dyDescent="0.3">
      <c r="A820">
        <v>819</v>
      </c>
      <c r="B820" s="3">
        <v>46044</v>
      </c>
      <c r="C820" s="3">
        <v>46089</v>
      </c>
      <c r="D820">
        <v>178</v>
      </c>
      <c r="E820">
        <v>1</v>
      </c>
      <c r="F820">
        <v>2</v>
      </c>
      <c r="G820" s="2">
        <v>6400</v>
      </c>
      <c r="H820" s="4">
        <v>0.1</v>
      </c>
      <c r="I820" s="2">
        <v>5760</v>
      </c>
      <c r="J820" t="s">
        <v>256</v>
      </c>
      <c r="K820" t="s">
        <v>254</v>
      </c>
      <c r="L820">
        <v>4</v>
      </c>
      <c r="M820" t="str">
        <f>_xlfn.XLOOKUP(E820,tPacotes[ID_Pacote],tPacotes[Pacote])</f>
        <v>Nordeste Encantado</v>
      </c>
      <c r="N820" t="str">
        <f>_xlfn.XLOOKUP(E820,tPacotes[ID_Pacote],tPacotes[Categoria])</f>
        <v>Praia</v>
      </c>
      <c r="O820" t="str">
        <f>_xlfn.XLOOKUP(D820,tClientes[ID_Cliente],tClientes[UF])</f>
        <v>PE</v>
      </c>
    </row>
    <row r="821" spans="1:15" x14ac:dyDescent="0.3">
      <c r="A821">
        <v>820</v>
      </c>
      <c r="B821" s="3">
        <v>46044</v>
      </c>
      <c r="C821" s="3">
        <v>46095</v>
      </c>
      <c r="D821">
        <v>15</v>
      </c>
      <c r="E821">
        <v>3</v>
      </c>
      <c r="F821">
        <v>3</v>
      </c>
      <c r="G821" s="2">
        <v>7800</v>
      </c>
      <c r="H821" s="4">
        <v>0.1</v>
      </c>
      <c r="I821" s="2">
        <v>7020</v>
      </c>
      <c r="J821" t="s">
        <v>253</v>
      </c>
      <c r="K821" t="s">
        <v>254</v>
      </c>
      <c r="L821">
        <v>5</v>
      </c>
      <c r="M821" t="str">
        <f>_xlfn.XLOOKUP(E821,tPacotes[ID_Pacote],tPacotes[Pacote])</f>
        <v>Serra Gaúcha</v>
      </c>
      <c r="N821" t="str">
        <f>_xlfn.XLOOKUP(E821,tPacotes[ID_Pacote],tPacotes[Categoria])</f>
        <v>Inverno</v>
      </c>
      <c r="O821" t="str">
        <f>_xlfn.XLOOKUP(D821,tClientes[ID_Cliente],tClientes[UF])</f>
        <v>SP</v>
      </c>
    </row>
    <row r="822" spans="1:15" x14ac:dyDescent="0.3">
      <c r="A822">
        <v>821</v>
      </c>
      <c r="B822" s="3">
        <v>46045</v>
      </c>
      <c r="C822" s="3">
        <v>46192</v>
      </c>
      <c r="D822">
        <v>114</v>
      </c>
      <c r="E822">
        <v>2</v>
      </c>
      <c r="F822">
        <v>1</v>
      </c>
      <c r="G822" s="2">
        <v>1800</v>
      </c>
      <c r="H822" s="4">
        <v>0</v>
      </c>
      <c r="I822" s="2">
        <v>1800</v>
      </c>
      <c r="J822" t="s">
        <v>256</v>
      </c>
      <c r="K822" t="s">
        <v>254</v>
      </c>
      <c r="L822">
        <v>4</v>
      </c>
      <c r="M822" t="str">
        <f>_xlfn.XLOOKUP(E822,tPacotes[ID_Pacote],tPacotes[Pacote])</f>
        <v>Rio Cidade Maravilhosa</v>
      </c>
      <c r="N822" t="str">
        <f>_xlfn.XLOOKUP(E822,tPacotes[ID_Pacote],tPacotes[Categoria])</f>
        <v>Cultural</v>
      </c>
      <c r="O822" t="str">
        <f>_xlfn.XLOOKUP(D822,tClientes[ID_Cliente],tClientes[UF])</f>
        <v>SP</v>
      </c>
    </row>
    <row r="823" spans="1:15" x14ac:dyDescent="0.3">
      <c r="A823">
        <v>822</v>
      </c>
      <c r="B823" s="3">
        <v>46045</v>
      </c>
      <c r="C823" s="3">
        <v>46056</v>
      </c>
      <c r="D823">
        <v>57</v>
      </c>
      <c r="E823">
        <v>6</v>
      </c>
      <c r="F823">
        <v>4</v>
      </c>
      <c r="G823" s="2">
        <v>8400</v>
      </c>
      <c r="H823" s="4">
        <v>0.05</v>
      </c>
      <c r="I823" s="2">
        <v>7980</v>
      </c>
      <c r="J823" t="s">
        <v>255</v>
      </c>
      <c r="K823" t="s">
        <v>254</v>
      </c>
      <c r="L823">
        <v>5</v>
      </c>
      <c r="M823" t="str">
        <f>_xlfn.XLOOKUP(E823,tPacotes[ID_Pacote],tPacotes[Pacote])</f>
        <v>Foz do Iguaçu</v>
      </c>
      <c r="N823" t="str">
        <f>_xlfn.XLOOKUP(E823,tPacotes[ID_Pacote],tPacotes[Categoria])</f>
        <v>Natureza</v>
      </c>
      <c r="O823" t="str">
        <f>_xlfn.XLOOKUP(D823,tClientes[ID_Cliente],tClientes[UF])</f>
        <v>MG</v>
      </c>
    </row>
    <row r="824" spans="1:15" x14ac:dyDescent="0.3">
      <c r="A824">
        <v>823</v>
      </c>
      <c r="B824" s="3">
        <v>46045</v>
      </c>
      <c r="C824" s="3">
        <v>46068</v>
      </c>
      <c r="D824">
        <v>183</v>
      </c>
      <c r="E824">
        <v>8</v>
      </c>
      <c r="F824">
        <v>2</v>
      </c>
      <c r="G824" s="2">
        <v>11800</v>
      </c>
      <c r="H824" s="4">
        <v>0.1</v>
      </c>
      <c r="I824" s="2">
        <v>10620</v>
      </c>
      <c r="J824" t="s">
        <v>253</v>
      </c>
      <c r="K824" t="s">
        <v>254</v>
      </c>
      <c r="L824">
        <v>3</v>
      </c>
      <c r="M824" t="str">
        <f>_xlfn.XLOOKUP(E824,tPacotes[ID_Pacote],tPacotes[Pacote])</f>
        <v>Santiago e Neve</v>
      </c>
      <c r="N824" t="str">
        <f>_xlfn.XLOOKUP(E824,tPacotes[ID_Pacote],tPacotes[Categoria])</f>
        <v>Inverno</v>
      </c>
      <c r="O824" t="str">
        <f>_xlfn.XLOOKUP(D824,tClientes[ID_Cliente],tClientes[UF])</f>
        <v>MG</v>
      </c>
    </row>
    <row r="825" spans="1:15" x14ac:dyDescent="0.3">
      <c r="A825">
        <v>824</v>
      </c>
      <c r="B825" s="3">
        <v>46047</v>
      </c>
      <c r="C825" s="3">
        <v>46057</v>
      </c>
      <c r="D825">
        <v>75</v>
      </c>
      <c r="E825">
        <v>2</v>
      </c>
      <c r="F825">
        <v>1</v>
      </c>
      <c r="G825" s="2">
        <v>1800</v>
      </c>
      <c r="H825" s="4">
        <v>0</v>
      </c>
      <c r="I825" s="2">
        <v>1800</v>
      </c>
      <c r="J825" t="s">
        <v>256</v>
      </c>
      <c r="K825" t="s">
        <v>254</v>
      </c>
      <c r="L825">
        <v>3</v>
      </c>
      <c r="M825" t="str">
        <f>_xlfn.XLOOKUP(E825,tPacotes[ID_Pacote],tPacotes[Pacote])</f>
        <v>Rio Cidade Maravilhosa</v>
      </c>
      <c r="N825" t="str">
        <f>_xlfn.XLOOKUP(E825,tPacotes[ID_Pacote],tPacotes[Categoria])</f>
        <v>Cultural</v>
      </c>
      <c r="O825" t="str">
        <f>_xlfn.XLOOKUP(D825,tClientes[ID_Cliente],tClientes[UF])</f>
        <v>RS</v>
      </c>
    </row>
    <row r="826" spans="1:15" x14ac:dyDescent="0.3">
      <c r="A826">
        <v>825</v>
      </c>
      <c r="B826" s="3">
        <v>46048</v>
      </c>
      <c r="C826" s="3">
        <v>46058</v>
      </c>
      <c r="D826">
        <v>193</v>
      </c>
      <c r="E826">
        <v>2</v>
      </c>
      <c r="F826">
        <v>1</v>
      </c>
      <c r="G826" s="2">
        <v>1800</v>
      </c>
      <c r="H826" s="4">
        <v>0.1</v>
      </c>
      <c r="I826" s="2">
        <v>1620</v>
      </c>
      <c r="J826" t="s">
        <v>256</v>
      </c>
      <c r="K826" t="s">
        <v>254</v>
      </c>
      <c r="L826">
        <v>1</v>
      </c>
      <c r="M826" t="str">
        <f>_xlfn.XLOOKUP(E826,tPacotes[ID_Pacote],tPacotes[Pacote])</f>
        <v>Rio Cidade Maravilhosa</v>
      </c>
      <c r="N826" t="str">
        <f>_xlfn.XLOOKUP(E826,tPacotes[ID_Pacote],tPacotes[Categoria])</f>
        <v>Cultural</v>
      </c>
      <c r="O826" t="str">
        <f>_xlfn.XLOOKUP(D826,tClientes[ID_Cliente],tClientes[UF])</f>
        <v>SP</v>
      </c>
    </row>
    <row r="827" spans="1:15" x14ac:dyDescent="0.3">
      <c r="A827">
        <v>826</v>
      </c>
      <c r="B827" s="3">
        <v>46048</v>
      </c>
      <c r="C827" s="3">
        <v>46129</v>
      </c>
      <c r="D827">
        <v>177</v>
      </c>
      <c r="E827">
        <v>3</v>
      </c>
      <c r="F827">
        <v>2</v>
      </c>
      <c r="G827" s="2">
        <v>5200</v>
      </c>
      <c r="H827" s="4">
        <v>0.1</v>
      </c>
      <c r="I827" s="2">
        <v>4680</v>
      </c>
      <c r="J827" t="s">
        <v>253</v>
      </c>
      <c r="K827" t="s">
        <v>254</v>
      </c>
      <c r="L827">
        <v>4</v>
      </c>
      <c r="M827" t="str">
        <f>_xlfn.XLOOKUP(E827,tPacotes[ID_Pacote],tPacotes[Pacote])</f>
        <v>Serra Gaúcha</v>
      </c>
      <c r="N827" t="str">
        <f>_xlfn.XLOOKUP(E827,tPacotes[ID_Pacote],tPacotes[Categoria])</f>
        <v>Inverno</v>
      </c>
      <c r="O827" t="str">
        <f>_xlfn.XLOOKUP(D827,tClientes[ID_Cliente],tClientes[UF])</f>
        <v>RJ</v>
      </c>
    </row>
    <row r="828" spans="1:15" x14ac:dyDescent="0.3">
      <c r="A828">
        <v>827</v>
      </c>
      <c r="B828" s="3">
        <v>46049</v>
      </c>
      <c r="C828" s="3">
        <v>46122</v>
      </c>
      <c r="D828">
        <v>126</v>
      </c>
      <c r="E828">
        <v>6</v>
      </c>
      <c r="F828">
        <v>2</v>
      </c>
      <c r="G828" s="2">
        <v>4200</v>
      </c>
      <c r="H828" s="4">
        <v>0</v>
      </c>
      <c r="I828" s="2">
        <v>4200</v>
      </c>
      <c r="J828" t="s">
        <v>253</v>
      </c>
      <c r="K828" t="s">
        <v>258</v>
      </c>
      <c r="M828" t="str">
        <f>_xlfn.XLOOKUP(E828,tPacotes[ID_Pacote],tPacotes[Pacote])</f>
        <v>Foz do Iguaçu</v>
      </c>
      <c r="N828" t="str">
        <f>_xlfn.XLOOKUP(E828,tPacotes[ID_Pacote],tPacotes[Categoria])</f>
        <v>Natureza</v>
      </c>
      <c r="O828" t="str">
        <f>_xlfn.XLOOKUP(D828,tClientes[ID_Cliente],tClientes[UF])</f>
        <v>MG</v>
      </c>
    </row>
    <row r="829" spans="1:15" x14ac:dyDescent="0.3">
      <c r="A829">
        <v>828</v>
      </c>
      <c r="B829" s="3">
        <v>46052</v>
      </c>
      <c r="C829" s="3">
        <v>46072</v>
      </c>
      <c r="D829">
        <v>23</v>
      </c>
      <c r="E829">
        <v>6</v>
      </c>
      <c r="F829">
        <v>2</v>
      </c>
      <c r="G829" s="2">
        <v>4200</v>
      </c>
      <c r="H829" s="4">
        <v>0.1</v>
      </c>
      <c r="I829" s="2">
        <v>3780</v>
      </c>
      <c r="J829" t="s">
        <v>257</v>
      </c>
      <c r="K829" t="s">
        <v>258</v>
      </c>
      <c r="M829" t="str">
        <f>_xlfn.XLOOKUP(E829,tPacotes[ID_Pacote],tPacotes[Pacote])</f>
        <v>Foz do Iguaçu</v>
      </c>
      <c r="N829" t="str">
        <f>_xlfn.XLOOKUP(E829,tPacotes[ID_Pacote],tPacotes[Categoria])</f>
        <v>Natureza</v>
      </c>
      <c r="O829" t="str">
        <f>_xlfn.XLOOKUP(D829,tClientes[ID_Cliente],tClientes[UF])</f>
        <v>SP</v>
      </c>
    </row>
    <row r="830" spans="1:15" x14ac:dyDescent="0.3">
      <c r="A830">
        <v>829</v>
      </c>
      <c r="B830" s="3">
        <v>46052</v>
      </c>
      <c r="C830" s="3">
        <v>46065</v>
      </c>
      <c r="D830">
        <v>46</v>
      </c>
      <c r="E830">
        <v>7</v>
      </c>
      <c r="F830">
        <v>2</v>
      </c>
      <c r="G830" s="2">
        <v>8400</v>
      </c>
      <c r="H830" s="4">
        <v>0</v>
      </c>
      <c r="I830" s="2">
        <v>8400</v>
      </c>
      <c r="J830" t="s">
        <v>255</v>
      </c>
      <c r="K830" t="s">
        <v>254</v>
      </c>
      <c r="L830">
        <v>5</v>
      </c>
      <c r="M830" t="str">
        <f>_xlfn.XLOOKUP(E830,tPacotes[ID_Pacote],tPacotes[Pacote])</f>
        <v>Buenos Aires Clássica</v>
      </c>
      <c r="N830" t="str">
        <f>_xlfn.XLOOKUP(E830,tPacotes[ID_Pacote],tPacotes[Categoria])</f>
        <v>Cultural</v>
      </c>
      <c r="O830" t="str">
        <f>_xlfn.XLOOKUP(D830,tClientes[ID_Cliente],tClientes[UF])</f>
        <v>RJ</v>
      </c>
    </row>
    <row r="831" spans="1:15" x14ac:dyDescent="0.3">
      <c r="A831">
        <v>830</v>
      </c>
      <c r="B831" s="3">
        <v>46052</v>
      </c>
      <c r="C831" s="3">
        <v>46064</v>
      </c>
      <c r="D831">
        <v>108</v>
      </c>
      <c r="E831">
        <v>1</v>
      </c>
      <c r="F831">
        <v>2</v>
      </c>
      <c r="G831" s="2">
        <v>6400</v>
      </c>
      <c r="H831" s="4">
        <v>0</v>
      </c>
      <c r="I831" s="2">
        <v>6400</v>
      </c>
      <c r="J831" t="s">
        <v>253</v>
      </c>
      <c r="K831" t="s">
        <v>254</v>
      </c>
      <c r="L831">
        <v>5</v>
      </c>
      <c r="M831" t="str">
        <f>_xlfn.XLOOKUP(E831,tPacotes[ID_Pacote],tPacotes[Pacote])</f>
        <v>Nordeste Encantado</v>
      </c>
      <c r="N831" t="str">
        <f>_xlfn.XLOOKUP(E831,tPacotes[ID_Pacote],tPacotes[Categoria])</f>
        <v>Praia</v>
      </c>
      <c r="O831" t="str">
        <f>_xlfn.XLOOKUP(D831,tClientes[ID_Cliente],tClientes[UF])</f>
        <v>MG</v>
      </c>
    </row>
    <row r="832" spans="1:15" x14ac:dyDescent="0.3">
      <c r="A832">
        <v>831</v>
      </c>
      <c r="B832" s="3">
        <v>46052</v>
      </c>
      <c r="C832" s="3">
        <v>46221</v>
      </c>
      <c r="D832">
        <v>17</v>
      </c>
      <c r="E832">
        <v>5</v>
      </c>
      <c r="F832">
        <v>2</v>
      </c>
      <c r="G832" s="2">
        <v>6800</v>
      </c>
      <c r="H832" s="4">
        <v>0.05</v>
      </c>
      <c r="I832" s="2">
        <v>6460</v>
      </c>
      <c r="J832" t="s">
        <v>255</v>
      </c>
      <c r="K832" t="s">
        <v>254</v>
      </c>
      <c r="L832">
        <v>4</v>
      </c>
      <c r="M832" t="str">
        <f>_xlfn.XLOOKUP(E832,tPacotes[ID_Pacote],tPacotes[Pacote])</f>
        <v>Bonito Aventura</v>
      </c>
      <c r="N832" t="str">
        <f>_xlfn.XLOOKUP(E832,tPacotes[ID_Pacote],tPacotes[Categoria])</f>
        <v>Aventura</v>
      </c>
      <c r="O832" t="str">
        <f>_xlfn.XLOOKUP(D832,tClientes[ID_Cliente],tClientes[UF])</f>
        <v>RJ</v>
      </c>
    </row>
    <row r="833" spans="1:15" x14ac:dyDescent="0.3">
      <c r="A833">
        <v>832</v>
      </c>
      <c r="B833" s="3">
        <v>46053</v>
      </c>
      <c r="C833" s="3">
        <v>46068</v>
      </c>
      <c r="D833">
        <v>100</v>
      </c>
      <c r="E833">
        <v>6</v>
      </c>
      <c r="F833">
        <v>2</v>
      </c>
      <c r="G833" s="2">
        <v>4200</v>
      </c>
      <c r="H833" s="4">
        <v>0</v>
      </c>
      <c r="I833" s="2">
        <v>4200</v>
      </c>
      <c r="J833" t="s">
        <v>253</v>
      </c>
      <c r="K833" t="s">
        <v>254</v>
      </c>
      <c r="L833">
        <v>4</v>
      </c>
      <c r="M833" t="str">
        <f>_xlfn.XLOOKUP(E833,tPacotes[ID_Pacote],tPacotes[Pacote])</f>
        <v>Foz do Iguaçu</v>
      </c>
      <c r="N833" t="str">
        <f>_xlfn.XLOOKUP(E833,tPacotes[ID_Pacote],tPacotes[Categoria])</f>
        <v>Natureza</v>
      </c>
      <c r="O833" t="str">
        <f>_xlfn.XLOOKUP(D833,tClientes[ID_Cliente],tClientes[UF])</f>
        <v>SP</v>
      </c>
    </row>
    <row r="834" spans="1:15" x14ac:dyDescent="0.3">
      <c r="A834">
        <v>833</v>
      </c>
      <c r="B834" s="3">
        <v>46054</v>
      </c>
      <c r="C834" s="3">
        <v>46210</v>
      </c>
      <c r="D834">
        <v>153</v>
      </c>
      <c r="E834">
        <v>6</v>
      </c>
      <c r="F834">
        <v>1</v>
      </c>
      <c r="G834" s="2">
        <v>2100</v>
      </c>
      <c r="H834" s="4">
        <v>0</v>
      </c>
      <c r="I834" s="2">
        <v>2100</v>
      </c>
      <c r="J834" t="s">
        <v>253</v>
      </c>
      <c r="K834" t="s">
        <v>254</v>
      </c>
      <c r="L834">
        <v>5</v>
      </c>
      <c r="M834" t="str">
        <f>_xlfn.XLOOKUP(E834,tPacotes[ID_Pacote],tPacotes[Pacote])</f>
        <v>Foz do Iguaçu</v>
      </c>
      <c r="N834" t="str">
        <f>_xlfn.XLOOKUP(E834,tPacotes[ID_Pacote],tPacotes[Categoria])</f>
        <v>Natureza</v>
      </c>
      <c r="O834" t="str">
        <f>_xlfn.XLOOKUP(D834,tClientes[ID_Cliente],tClientes[UF])</f>
        <v>SP</v>
      </c>
    </row>
    <row r="835" spans="1:15" x14ac:dyDescent="0.3">
      <c r="A835">
        <v>834</v>
      </c>
      <c r="B835" s="3">
        <v>46056</v>
      </c>
      <c r="C835" s="3">
        <v>46075</v>
      </c>
      <c r="D835">
        <v>115</v>
      </c>
      <c r="E835">
        <v>9</v>
      </c>
      <c r="F835">
        <v>1</v>
      </c>
      <c r="G835" s="2">
        <v>8900</v>
      </c>
      <c r="H835" s="4">
        <v>0</v>
      </c>
      <c r="I835" s="2">
        <v>8900</v>
      </c>
      <c r="J835" t="s">
        <v>255</v>
      </c>
      <c r="K835" t="s">
        <v>254</v>
      </c>
      <c r="L835">
        <v>5</v>
      </c>
      <c r="M835" t="str">
        <f>_xlfn.XLOOKUP(E835,tPacotes[ID_Pacote],tPacotes[Pacote])</f>
        <v>Cancún All Inclusive</v>
      </c>
      <c r="N835" t="str">
        <f>_xlfn.XLOOKUP(E835,tPacotes[ID_Pacote],tPacotes[Categoria])</f>
        <v>Praia</v>
      </c>
      <c r="O835" t="str">
        <f>_xlfn.XLOOKUP(D835,tClientes[ID_Cliente],tClientes[UF])</f>
        <v>SP</v>
      </c>
    </row>
    <row r="836" spans="1:15" x14ac:dyDescent="0.3">
      <c r="A836">
        <v>835</v>
      </c>
      <c r="B836" s="3">
        <v>46056</v>
      </c>
      <c r="C836" s="3">
        <v>46131</v>
      </c>
      <c r="D836">
        <v>18</v>
      </c>
      <c r="E836">
        <v>1</v>
      </c>
      <c r="F836">
        <v>3</v>
      </c>
      <c r="G836" s="2">
        <v>9600</v>
      </c>
      <c r="H836" s="4">
        <v>0.15</v>
      </c>
      <c r="I836" s="2">
        <v>8160</v>
      </c>
      <c r="J836" t="s">
        <v>255</v>
      </c>
      <c r="K836" t="s">
        <v>254</v>
      </c>
      <c r="L836">
        <v>4</v>
      </c>
      <c r="M836" t="str">
        <f>_xlfn.XLOOKUP(E836,tPacotes[ID_Pacote],tPacotes[Pacote])</f>
        <v>Nordeste Encantado</v>
      </c>
      <c r="N836" t="str">
        <f>_xlfn.XLOOKUP(E836,tPacotes[ID_Pacote],tPacotes[Categoria])</f>
        <v>Praia</v>
      </c>
      <c r="O836" t="str">
        <f>_xlfn.XLOOKUP(D836,tClientes[ID_Cliente],tClientes[UF])</f>
        <v>PR</v>
      </c>
    </row>
    <row r="837" spans="1:15" x14ac:dyDescent="0.3">
      <c r="A837">
        <v>836</v>
      </c>
      <c r="B837" s="3">
        <v>46057</v>
      </c>
      <c r="C837" s="3">
        <v>46105</v>
      </c>
      <c r="D837">
        <v>159</v>
      </c>
      <c r="E837">
        <v>9</v>
      </c>
      <c r="F837">
        <v>2</v>
      </c>
      <c r="G837" s="2">
        <v>17800</v>
      </c>
      <c r="H837" s="4">
        <v>0</v>
      </c>
      <c r="I837" s="2">
        <v>17800</v>
      </c>
      <c r="J837" t="s">
        <v>253</v>
      </c>
      <c r="K837" t="s">
        <v>254</v>
      </c>
      <c r="L837">
        <v>4</v>
      </c>
      <c r="M837" t="str">
        <f>_xlfn.XLOOKUP(E837,tPacotes[ID_Pacote],tPacotes[Pacote])</f>
        <v>Cancún All Inclusive</v>
      </c>
      <c r="N837" t="str">
        <f>_xlfn.XLOOKUP(E837,tPacotes[ID_Pacote],tPacotes[Categoria])</f>
        <v>Praia</v>
      </c>
      <c r="O837" t="str">
        <f>_xlfn.XLOOKUP(D837,tClientes[ID_Cliente],tClientes[UF])</f>
        <v>SP</v>
      </c>
    </row>
    <row r="838" spans="1:15" x14ac:dyDescent="0.3">
      <c r="A838">
        <v>837</v>
      </c>
      <c r="B838" s="3">
        <v>46058</v>
      </c>
      <c r="C838" s="3">
        <v>46061</v>
      </c>
      <c r="D838">
        <v>53</v>
      </c>
      <c r="E838">
        <v>10</v>
      </c>
      <c r="F838">
        <v>1</v>
      </c>
      <c r="G838" s="2">
        <v>11500</v>
      </c>
      <c r="H838" s="4">
        <v>0.05</v>
      </c>
      <c r="I838" s="2">
        <v>10925</v>
      </c>
      <c r="J838" t="s">
        <v>253</v>
      </c>
      <c r="K838" t="s">
        <v>254</v>
      </c>
      <c r="L838">
        <v>5</v>
      </c>
      <c r="M838" t="str">
        <f>_xlfn.XLOOKUP(E838,tPacotes[ID_Pacote],tPacotes[Pacote])</f>
        <v>Orlando Parques</v>
      </c>
      <c r="N838" t="str">
        <f>_xlfn.XLOOKUP(E838,tPacotes[ID_Pacote],tPacotes[Categoria])</f>
        <v>Parques</v>
      </c>
      <c r="O838" t="str">
        <f>_xlfn.XLOOKUP(D838,tClientes[ID_Cliente],tClientes[UF])</f>
        <v>RJ</v>
      </c>
    </row>
    <row r="839" spans="1:15" x14ac:dyDescent="0.3">
      <c r="A839">
        <v>838</v>
      </c>
      <c r="B839" s="3">
        <v>46058</v>
      </c>
      <c r="C839" s="3">
        <v>46085</v>
      </c>
      <c r="D839">
        <v>1</v>
      </c>
      <c r="E839">
        <v>7</v>
      </c>
      <c r="F839">
        <v>2</v>
      </c>
      <c r="G839" s="2">
        <v>8400</v>
      </c>
      <c r="H839" s="4">
        <v>0.05</v>
      </c>
      <c r="I839" s="2">
        <v>7980</v>
      </c>
      <c r="J839" t="s">
        <v>257</v>
      </c>
      <c r="K839" t="s">
        <v>254</v>
      </c>
      <c r="L839">
        <v>5</v>
      </c>
      <c r="M839" t="str">
        <f>_xlfn.XLOOKUP(E839,tPacotes[ID_Pacote],tPacotes[Pacote])</f>
        <v>Buenos Aires Clássica</v>
      </c>
      <c r="N839" t="str">
        <f>_xlfn.XLOOKUP(E839,tPacotes[ID_Pacote],tPacotes[Categoria])</f>
        <v>Cultural</v>
      </c>
      <c r="O839" t="str">
        <f>_xlfn.XLOOKUP(D839,tClientes[ID_Cliente],tClientes[UF])</f>
        <v>DF</v>
      </c>
    </row>
    <row r="840" spans="1:15" x14ac:dyDescent="0.3">
      <c r="A840">
        <v>839</v>
      </c>
      <c r="B840" s="3">
        <v>46058</v>
      </c>
      <c r="C840" s="3">
        <v>46132</v>
      </c>
      <c r="D840">
        <v>180</v>
      </c>
      <c r="E840">
        <v>1</v>
      </c>
      <c r="F840">
        <v>2</v>
      </c>
      <c r="G840" s="2">
        <v>6400</v>
      </c>
      <c r="H840" s="4">
        <v>0</v>
      </c>
      <c r="I840" s="2">
        <v>6400</v>
      </c>
      <c r="J840" t="s">
        <v>253</v>
      </c>
      <c r="K840" t="s">
        <v>254</v>
      </c>
      <c r="L840">
        <v>1</v>
      </c>
      <c r="M840" t="str">
        <f>_xlfn.XLOOKUP(E840,tPacotes[ID_Pacote],tPacotes[Pacote])</f>
        <v>Nordeste Encantado</v>
      </c>
      <c r="N840" t="str">
        <f>_xlfn.XLOOKUP(E840,tPacotes[ID_Pacote],tPacotes[Categoria])</f>
        <v>Praia</v>
      </c>
      <c r="O840" t="str">
        <f>_xlfn.XLOOKUP(D840,tClientes[ID_Cliente],tClientes[UF])</f>
        <v>PR</v>
      </c>
    </row>
    <row r="841" spans="1:15" x14ac:dyDescent="0.3">
      <c r="A841">
        <v>840</v>
      </c>
      <c r="B841" s="3">
        <v>46058</v>
      </c>
      <c r="C841" s="3">
        <v>46090</v>
      </c>
      <c r="D841">
        <v>197</v>
      </c>
      <c r="E841">
        <v>14</v>
      </c>
      <c r="F841">
        <v>1</v>
      </c>
      <c r="G841" s="2">
        <v>2900</v>
      </c>
      <c r="H841" s="4">
        <v>0</v>
      </c>
      <c r="I841" s="2">
        <v>2900</v>
      </c>
      <c r="J841" t="s">
        <v>253</v>
      </c>
      <c r="K841" t="s">
        <v>258</v>
      </c>
      <c r="M841" t="str">
        <f>_xlfn.XLOOKUP(E841,tPacotes[ID_Pacote],tPacotes[Pacote])</f>
        <v>Lençóis Maranhenses</v>
      </c>
      <c r="N841" t="str">
        <f>_xlfn.XLOOKUP(E841,tPacotes[ID_Pacote],tPacotes[Categoria])</f>
        <v>Natureza</v>
      </c>
      <c r="O841" t="str">
        <f>_xlfn.XLOOKUP(D841,tClientes[ID_Cliente],tClientes[UF])</f>
        <v>SP</v>
      </c>
    </row>
    <row r="842" spans="1:15" x14ac:dyDescent="0.3">
      <c r="A842">
        <v>841</v>
      </c>
      <c r="B842" s="3">
        <v>46058</v>
      </c>
      <c r="C842" s="3">
        <v>46188</v>
      </c>
      <c r="D842">
        <v>57</v>
      </c>
      <c r="E842">
        <v>1</v>
      </c>
      <c r="F842">
        <v>2</v>
      </c>
      <c r="G842" s="2">
        <v>6400</v>
      </c>
      <c r="H842" s="4">
        <v>0</v>
      </c>
      <c r="I842" s="2">
        <v>6400</v>
      </c>
      <c r="J842" t="s">
        <v>255</v>
      </c>
      <c r="K842" t="s">
        <v>254</v>
      </c>
      <c r="L842">
        <v>5</v>
      </c>
      <c r="M842" t="str">
        <f>_xlfn.XLOOKUP(E842,tPacotes[ID_Pacote],tPacotes[Pacote])</f>
        <v>Nordeste Encantado</v>
      </c>
      <c r="N842" t="str">
        <f>_xlfn.XLOOKUP(E842,tPacotes[ID_Pacote],tPacotes[Categoria])</f>
        <v>Praia</v>
      </c>
      <c r="O842" t="str">
        <f>_xlfn.XLOOKUP(D842,tClientes[ID_Cliente],tClientes[UF])</f>
        <v>MG</v>
      </c>
    </row>
    <row r="843" spans="1:15" x14ac:dyDescent="0.3">
      <c r="A843">
        <v>842</v>
      </c>
      <c r="B843" s="3">
        <v>46059</v>
      </c>
      <c r="C843" s="3">
        <v>46205</v>
      </c>
      <c r="D843">
        <v>109</v>
      </c>
      <c r="E843">
        <v>5</v>
      </c>
      <c r="F843">
        <v>2</v>
      </c>
      <c r="G843" s="2">
        <v>6800</v>
      </c>
      <c r="H843" s="4">
        <v>0</v>
      </c>
      <c r="I843" s="2">
        <v>6800</v>
      </c>
      <c r="J843" t="s">
        <v>255</v>
      </c>
      <c r="K843" t="s">
        <v>254</v>
      </c>
      <c r="L843">
        <v>4</v>
      </c>
      <c r="M843" t="str">
        <f>_xlfn.XLOOKUP(E843,tPacotes[ID_Pacote],tPacotes[Pacote])</f>
        <v>Bonito Aventura</v>
      </c>
      <c r="N843" t="str">
        <f>_xlfn.XLOOKUP(E843,tPacotes[ID_Pacote],tPacotes[Categoria])</f>
        <v>Aventura</v>
      </c>
      <c r="O843" t="str">
        <f>_xlfn.XLOOKUP(D843,tClientes[ID_Cliente],tClientes[UF])</f>
        <v>SP</v>
      </c>
    </row>
    <row r="844" spans="1:15" x14ac:dyDescent="0.3">
      <c r="A844">
        <v>843</v>
      </c>
      <c r="B844" s="3">
        <v>46061</v>
      </c>
      <c r="C844" s="3">
        <v>46169</v>
      </c>
      <c r="D844">
        <v>96</v>
      </c>
      <c r="E844">
        <v>10</v>
      </c>
      <c r="F844">
        <v>1</v>
      </c>
      <c r="G844" s="2">
        <v>11500</v>
      </c>
      <c r="H844" s="4">
        <v>0</v>
      </c>
      <c r="I844" s="2">
        <v>11500</v>
      </c>
      <c r="J844" t="s">
        <v>253</v>
      </c>
      <c r="K844" t="s">
        <v>254</v>
      </c>
      <c r="L844">
        <v>5</v>
      </c>
      <c r="M844" t="str">
        <f>_xlfn.XLOOKUP(E844,tPacotes[ID_Pacote],tPacotes[Pacote])</f>
        <v>Orlando Parques</v>
      </c>
      <c r="N844" t="str">
        <f>_xlfn.XLOOKUP(E844,tPacotes[ID_Pacote],tPacotes[Categoria])</f>
        <v>Parques</v>
      </c>
      <c r="O844" t="str">
        <f>_xlfn.XLOOKUP(D844,tClientes[ID_Cliente],tClientes[UF])</f>
        <v>MG</v>
      </c>
    </row>
    <row r="845" spans="1:15" x14ac:dyDescent="0.3">
      <c r="A845">
        <v>844</v>
      </c>
      <c r="B845" s="3">
        <v>46061</v>
      </c>
      <c r="C845" s="3">
        <v>46111</v>
      </c>
      <c r="D845">
        <v>185</v>
      </c>
      <c r="E845">
        <v>15</v>
      </c>
      <c r="F845">
        <v>1</v>
      </c>
      <c r="G845" s="2">
        <v>3100</v>
      </c>
      <c r="H845" s="4">
        <v>0</v>
      </c>
      <c r="I845" s="2">
        <v>3100</v>
      </c>
      <c r="J845" t="s">
        <v>253</v>
      </c>
      <c r="K845" t="s">
        <v>254</v>
      </c>
      <c r="L845">
        <v>4</v>
      </c>
      <c r="M845" t="str">
        <f>_xlfn.XLOOKUP(E845,tPacotes[ID_Pacote],tPacotes[Pacote])</f>
        <v>Jericoacoara</v>
      </c>
      <c r="N845" t="str">
        <f>_xlfn.XLOOKUP(E845,tPacotes[ID_Pacote],tPacotes[Categoria])</f>
        <v>Praia</v>
      </c>
      <c r="O845" t="str">
        <f>_xlfn.XLOOKUP(D845,tClientes[ID_Cliente],tClientes[UF])</f>
        <v>SP</v>
      </c>
    </row>
    <row r="846" spans="1:15" x14ac:dyDescent="0.3">
      <c r="A846">
        <v>845</v>
      </c>
      <c r="B846" s="3">
        <v>46061</v>
      </c>
      <c r="C846" s="3">
        <v>46079</v>
      </c>
      <c r="D846">
        <v>136</v>
      </c>
      <c r="E846">
        <v>2</v>
      </c>
      <c r="F846">
        <v>3</v>
      </c>
      <c r="G846" s="2">
        <v>5400</v>
      </c>
      <c r="H846" s="4">
        <v>0.05</v>
      </c>
      <c r="I846" s="2">
        <v>5130</v>
      </c>
      <c r="J846" t="s">
        <v>255</v>
      </c>
      <c r="K846" t="s">
        <v>254</v>
      </c>
      <c r="L846">
        <v>4</v>
      </c>
      <c r="M846" t="str">
        <f>_xlfn.XLOOKUP(E846,tPacotes[ID_Pacote],tPacotes[Pacote])</f>
        <v>Rio Cidade Maravilhosa</v>
      </c>
      <c r="N846" t="str">
        <f>_xlfn.XLOOKUP(E846,tPacotes[ID_Pacote],tPacotes[Categoria])</f>
        <v>Cultural</v>
      </c>
      <c r="O846" t="str">
        <f>_xlfn.XLOOKUP(D846,tClientes[ID_Cliente],tClientes[UF])</f>
        <v>MG</v>
      </c>
    </row>
    <row r="847" spans="1:15" x14ac:dyDescent="0.3">
      <c r="A847">
        <v>846</v>
      </c>
      <c r="B847" s="3">
        <v>46061</v>
      </c>
      <c r="C847" s="3">
        <v>46091</v>
      </c>
      <c r="D847">
        <v>161</v>
      </c>
      <c r="E847">
        <v>14</v>
      </c>
      <c r="F847">
        <v>1</v>
      </c>
      <c r="G847" s="2">
        <v>2900</v>
      </c>
      <c r="H847" s="4">
        <v>0</v>
      </c>
      <c r="I847" s="2">
        <v>2900</v>
      </c>
      <c r="J847" t="s">
        <v>253</v>
      </c>
      <c r="K847" t="s">
        <v>254</v>
      </c>
      <c r="L847">
        <v>5</v>
      </c>
      <c r="M847" t="str">
        <f>_xlfn.XLOOKUP(E847,tPacotes[ID_Pacote],tPacotes[Pacote])</f>
        <v>Lençóis Maranhenses</v>
      </c>
      <c r="N847" t="str">
        <f>_xlfn.XLOOKUP(E847,tPacotes[ID_Pacote],tPacotes[Categoria])</f>
        <v>Natureza</v>
      </c>
      <c r="O847" t="str">
        <f>_xlfn.XLOOKUP(D847,tClientes[ID_Cliente],tClientes[UF])</f>
        <v>SP</v>
      </c>
    </row>
    <row r="848" spans="1:15" x14ac:dyDescent="0.3">
      <c r="A848">
        <v>847</v>
      </c>
      <c r="B848" s="3">
        <v>46061</v>
      </c>
      <c r="C848" s="3">
        <v>46102</v>
      </c>
      <c r="D848">
        <v>11</v>
      </c>
      <c r="E848">
        <v>11</v>
      </c>
      <c r="F848">
        <v>3</v>
      </c>
      <c r="G848" s="2">
        <v>47400</v>
      </c>
      <c r="H848" s="4">
        <v>0.15</v>
      </c>
      <c r="I848" s="2">
        <v>40290</v>
      </c>
      <c r="J848" t="s">
        <v>257</v>
      </c>
      <c r="K848" t="s">
        <v>258</v>
      </c>
      <c r="M848" t="str">
        <f>_xlfn.XLOOKUP(E848,tPacotes[ID_Pacote],tPacotes[Pacote])</f>
        <v>Paris e Londres</v>
      </c>
      <c r="N848" t="str">
        <f>_xlfn.XLOOKUP(E848,tPacotes[ID_Pacote],tPacotes[Categoria])</f>
        <v>Cultural</v>
      </c>
      <c r="O848" t="str">
        <f>_xlfn.XLOOKUP(D848,tClientes[ID_Cliente],tClientes[UF])</f>
        <v>RJ</v>
      </c>
    </row>
    <row r="849" spans="1:15" x14ac:dyDescent="0.3">
      <c r="A849">
        <v>848</v>
      </c>
      <c r="B849" s="3">
        <v>46062</v>
      </c>
      <c r="C849" s="3">
        <v>46083</v>
      </c>
      <c r="D849">
        <v>199</v>
      </c>
      <c r="E849">
        <v>11</v>
      </c>
      <c r="F849">
        <v>2</v>
      </c>
      <c r="G849" s="2">
        <v>31600</v>
      </c>
      <c r="H849" s="4">
        <v>0</v>
      </c>
      <c r="I849" s="2">
        <v>31600</v>
      </c>
      <c r="J849" t="s">
        <v>253</v>
      </c>
      <c r="K849" t="s">
        <v>254</v>
      </c>
      <c r="L849">
        <v>4</v>
      </c>
      <c r="M849" t="str">
        <f>_xlfn.XLOOKUP(E849,tPacotes[ID_Pacote],tPacotes[Pacote])</f>
        <v>Paris e Londres</v>
      </c>
      <c r="N849" t="str">
        <f>_xlfn.XLOOKUP(E849,tPacotes[ID_Pacote],tPacotes[Categoria])</f>
        <v>Cultural</v>
      </c>
      <c r="O849" t="str">
        <f>_xlfn.XLOOKUP(D849,tClientes[ID_Cliente],tClientes[UF])</f>
        <v>SP</v>
      </c>
    </row>
    <row r="850" spans="1:15" x14ac:dyDescent="0.3">
      <c r="A850">
        <v>849</v>
      </c>
      <c r="B850" s="3">
        <v>46063</v>
      </c>
      <c r="C850" s="3">
        <v>46194</v>
      </c>
      <c r="D850">
        <v>59</v>
      </c>
      <c r="E850">
        <v>3</v>
      </c>
      <c r="F850">
        <v>1</v>
      </c>
      <c r="G850" s="2">
        <v>2600</v>
      </c>
      <c r="H850" s="4">
        <v>0</v>
      </c>
      <c r="I850" s="2">
        <v>2600</v>
      </c>
      <c r="J850" t="s">
        <v>255</v>
      </c>
      <c r="K850" t="s">
        <v>254</v>
      </c>
      <c r="L850">
        <v>4</v>
      </c>
      <c r="M850" t="str">
        <f>_xlfn.XLOOKUP(E850,tPacotes[ID_Pacote],tPacotes[Pacote])</f>
        <v>Serra Gaúcha</v>
      </c>
      <c r="N850" t="str">
        <f>_xlfn.XLOOKUP(E850,tPacotes[ID_Pacote],tPacotes[Categoria])</f>
        <v>Inverno</v>
      </c>
      <c r="O850" t="str">
        <f>_xlfn.XLOOKUP(D850,tClientes[ID_Cliente],tClientes[UF])</f>
        <v>DF</v>
      </c>
    </row>
    <row r="851" spans="1:15" x14ac:dyDescent="0.3">
      <c r="A851">
        <v>850</v>
      </c>
      <c r="B851" s="3">
        <v>46063</v>
      </c>
      <c r="C851" s="3">
        <v>46105</v>
      </c>
      <c r="D851">
        <v>37</v>
      </c>
      <c r="E851">
        <v>2</v>
      </c>
      <c r="F851">
        <v>1</v>
      </c>
      <c r="G851" s="2">
        <v>1800</v>
      </c>
      <c r="H851" s="4">
        <v>0.05</v>
      </c>
      <c r="I851" s="2">
        <v>1710</v>
      </c>
      <c r="J851" t="s">
        <v>253</v>
      </c>
      <c r="K851" t="s">
        <v>254</v>
      </c>
      <c r="L851">
        <v>4</v>
      </c>
      <c r="M851" t="str">
        <f>_xlfn.XLOOKUP(E851,tPacotes[ID_Pacote],tPacotes[Pacote])</f>
        <v>Rio Cidade Maravilhosa</v>
      </c>
      <c r="N851" t="str">
        <f>_xlfn.XLOOKUP(E851,tPacotes[ID_Pacote],tPacotes[Categoria])</f>
        <v>Cultural</v>
      </c>
      <c r="O851" t="str">
        <f>_xlfn.XLOOKUP(D851,tClientes[ID_Cliente],tClientes[UF])</f>
        <v>DF</v>
      </c>
    </row>
    <row r="852" spans="1:15" x14ac:dyDescent="0.3">
      <c r="A852">
        <v>851</v>
      </c>
      <c r="B852" s="3">
        <v>46063</v>
      </c>
      <c r="C852" s="3">
        <v>46124</v>
      </c>
      <c r="D852">
        <v>31</v>
      </c>
      <c r="E852">
        <v>13</v>
      </c>
      <c r="F852">
        <v>5</v>
      </c>
      <c r="G852" s="2">
        <v>36500</v>
      </c>
      <c r="H852" s="4">
        <v>0.1</v>
      </c>
      <c r="I852" s="2">
        <v>32850</v>
      </c>
      <c r="J852" t="s">
        <v>253</v>
      </c>
      <c r="K852" t="s">
        <v>254</v>
      </c>
      <c r="L852">
        <v>4</v>
      </c>
      <c r="M852" t="str">
        <f>_xlfn.XLOOKUP(E852,tPacotes[ID_Pacote],tPacotes[Pacote])</f>
        <v>Machu Picchu</v>
      </c>
      <c r="N852" t="str">
        <f>_xlfn.XLOOKUP(E852,tPacotes[ID_Pacote],tPacotes[Categoria])</f>
        <v>Aventura</v>
      </c>
      <c r="O852" t="str">
        <f>_xlfn.XLOOKUP(D852,tClientes[ID_Cliente],tClientes[UF])</f>
        <v>SP</v>
      </c>
    </row>
    <row r="853" spans="1:15" x14ac:dyDescent="0.3">
      <c r="A853">
        <v>852</v>
      </c>
      <c r="B853" s="3">
        <v>46063</v>
      </c>
      <c r="C853" s="3">
        <v>46169</v>
      </c>
      <c r="D853">
        <v>64</v>
      </c>
      <c r="E853">
        <v>3</v>
      </c>
      <c r="F853">
        <v>2</v>
      </c>
      <c r="G853" s="2">
        <v>5200</v>
      </c>
      <c r="H853" s="4">
        <v>0</v>
      </c>
      <c r="I853" s="2">
        <v>5200</v>
      </c>
      <c r="J853" t="s">
        <v>253</v>
      </c>
      <c r="K853" t="s">
        <v>254</v>
      </c>
      <c r="L853">
        <v>4</v>
      </c>
      <c r="M853" t="str">
        <f>_xlfn.XLOOKUP(E853,tPacotes[ID_Pacote],tPacotes[Pacote])</f>
        <v>Serra Gaúcha</v>
      </c>
      <c r="N853" t="str">
        <f>_xlfn.XLOOKUP(E853,tPacotes[ID_Pacote],tPacotes[Categoria])</f>
        <v>Inverno</v>
      </c>
      <c r="O853" t="str">
        <f>_xlfn.XLOOKUP(D853,tClientes[ID_Cliente],tClientes[UF])</f>
        <v>PE</v>
      </c>
    </row>
    <row r="854" spans="1:15" x14ac:dyDescent="0.3">
      <c r="A854">
        <v>853</v>
      </c>
      <c r="B854" s="3">
        <v>46064</v>
      </c>
      <c r="C854" s="3">
        <v>46110</v>
      </c>
      <c r="D854">
        <v>50</v>
      </c>
      <c r="E854">
        <v>10</v>
      </c>
      <c r="F854">
        <v>2</v>
      </c>
      <c r="G854" s="2">
        <v>23000</v>
      </c>
      <c r="H854" s="4">
        <v>0.1</v>
      </c>
      <c r="I854" s="2">
        <v>20700</v>
      </c>
      <c r="J854" t="s">
        <v>253</v>
      </c>
      <c r="K854" t="s">
        <v>254</v>
      </c>
      <c r="L854">
        <v>5</v>
      </c>
      <c r="M854" t="str">
        <f>_xlfn.XLOOKUP(E854,tPacotes[ID_Pacote],tPacotes[Pacote])</f>
        <v>Orlando Parques</v>
      </c>
      <c r="N854" t="str">
        <f>_xlfn.XLOOKUP(E854,tPacotes[ID_Pacote],tPacotes[Categoria])</f>
        <v>Parques</v>
      </c>
      <c r="O854" t="str">
        <f>_xlfn.XLOOKUP(D854,tClientes[ID_Cliente],tClientes[UF])</f>
        <v>SP</v>
      </c>
    </row>
    <row r="855" spans="1:15" x14ac:dyDescent="0.3">
      <c r="A855">
        <v>854</v>
      </c>
      <c r="B855" s="3">
        <v>46066</v>
      </c>
      <c r="C855" s="3">
        <v>46076</v>
      </c>
      <c r="D855">
        <v>152</v>
      </c>
      <c r="E855">
        <v>11</v>
      </c>
      <c r="F855">
        <v>2</v>
      </c>
      <c r="G855" s="2">
        <v>31600</v>
      </c>
      <c r="H855" s="4">
        <v>0</v>
      </c>
      <c r="I855" s="2">
        <v>31600</v>
      </c>
      <c r="J855" t="s">
        <v>253</v>
      </c>
      <c r="K855" t="s">
        <v>254</v>
      </c>
      <c r="L855">
        <v>5</v>
      </c>
      <c r="M855" t="str">
        <f>_xlfn.XLOOKUP(E855,tPacotes[ID_Pacote],tPacotes[Pacote])</f>
        <v>Paris e Londres</v>
      </c>
      <c r="N855" t="str">
        <f>_xlfn.XLOOKUP(E855,tPacotes[ID_Pacote],tPacotes[Categoria])</f>
        <v>Cultural</v>
      </c>
      <c r="O855" t="str">
        <f>_xlfn.XLOOKUP(D855,tClientes[ID_Cliente],tClientes[UF])</f>
        <v>SP</v>
      </c>
    </row>
    <row r="856" spans="1:15" x14ac:dyDescent="0.3">
      <c r="A856">
        <v>855</v>
      </c>
      <c r="B856" s="3">
        <v>46066</v>
      </c>
      <c r="C856" s="3">
        <v>46077</v>
      </c>
      <c r="D856">
        <v>148</v>
      </c>
      <c r="E856">
        <v>12</v>
      </c>
      <c r="F856">
        <v>2</v>
      </c>
      <c r="G856" s="2">
        <v>24800</v>
      </c>
      <c r="H856" s="4">
        <v>0</v>
      </c>
      <c r="I856" s="2">
        <v>24800</v>
      </c>
      <c r="J856" t="s">
        <v>255</v>
      </c>
      <c r="K856" t="s">
        <v>254</v>
      </c>
      <c r="L856">
        <v>1</v>
      </c>
      <c r="M856" t="str">
        <f>_xlfn.XLOOKUP(E856,tPacotes[ID_Pacote],tPacotes[Pacote])</f>
        <v>Lisboa e Porto</v>
      </c>
      <c r="N856" t="str">
        <f>_xlfn.XLOOKUP(E856,tPacotes[ID_Pacote],tPacotes[Categoria])</f>
        <v>Cultural</v>
      </c>
      <c r="O856" t="str">
        <f>_xlfn.XLOOKUP(D856,tClientes[ID_Cliente],tClientes[UF])</f>
        <v>SP</v>
      </c>
    </row>
    <row r="857" spans="1:15" x14ac:dyDescent="0.3">
      <c r="A857">
        <v>856</v>
      </c>
      <c r="B857" s="3">
        <v>46067</v>
      </c>
      <c r="C857" s="3">
        <v>46104</v>
      </c>
      <c r="D857">
        <v>162</v>
      </c>
      <c r="E857">
        <v>10</v>
      </c>
      <c r="F857">
        <v>2</v>
      </c>
      <c r="G857" s="2">
        <v>23000</v>
      </c>
      <c r="H857" s="4">
        <v>0.1</v>
      </c>
      <c r="I857" s="2">
        <v>20700</v>
      </c>
      <c r="J857" t="s">
        <v>253</v>
      </c>
      <c r="K857" t="s">
        <v>254</v>
      </c>
      <c r="L857">
        <v>5</v>
      </c>
      <c r="M857" t="str">
        <f>_xlfn.XLOOKUP(E857,tPacotes[ID_Pacote],tPacotes[Pacote])</f>
        <v>Orlando Parques</v>
      </c>
      <c r="N857" t="str">
        <f>_xlfn.XLOOKUP(E857,tPacotes[ID_Pacote],tPacotes[Categoria])</f>
        <v>Parques</v>
      </c>
      <c r="O857" t="str">
        <f>_xlfn.XLOOKUP(D857,tClientes[ID_Cliente],tClientes[UF])</f>
        <v>SP</v>
      </c>
    </row>
    <row r="858" spans="1:15" x14ac:dyDescent="0.3">
      <c r="A858">
        <v>857</v>
      </c>
      <c r="B858" s="3">
        <v>46068</v>
      </c>
      <c r="C858" s="3">
        <v>46074</v>
      </c>
      <c r="D858">
        <v>12</v>
      </c>
      <c r="E858">
        <v>1</v>
      </c>
      <c r="F858">
        <v>4</v>
      </c>
      <c r="G858" s="2">
        <v>12800</v>
      </c>
      <c r="H858" s="4">
        <v>0</v>
      </c>
      <c r="I858" s="2">
        <v>12800</v>
      </c>
      <c r="J858" t="s">
        <v>255</v>
      </c>
      <c r="K858" t="s">
        <v>254</v>
      </c>
      <c r="L858">
        <v>5</v>
      </c>
      <c r="M858" t="str">
        <f>_xlfn.XLOOKUP(E858,tPacotes[ID_Pacote],tPacotes[Pacote])</f>
        <v>Nordeste Encantado</v>
      </c>
      <c r="N858" t="str">
        <f>_xlfn.XLOOKUP(E858,tPacotes[ID_Pacote],tPacotes[Categoria])</f>
        <v>Praia</v>
      </c>
      <c r="O858" t="str">
        <f>_xlfn.XLOOKUP(D858,tClientes[ID_Cliente],tClientes[UF])</f>
        <v>RJ</v>
      </c>
    </row>
    <row r="859" spans="1:15" x14ac:dyDescent="0.3">
      <c r="A859">
        <v>858</v>
      </c>
      <c r="B859" s="3">
        <v>46068</v>
      </c>
      <c r="C859" s="3">
        <v>46092</v>
      </c>
      <c r="D859">
        <v>117</v>
      </c>
      <c r="E859">
        <v>2</v>
      </c>
      <c r="F859">
        <v>1</v>
      </c>
      <c r="G859" s="2">
        <v>1800</v>
      </c>
      <c r="H859" s="4">
        <v>0</v>
      </c>
      <c r="I859" s="2">
        <v>1800</v>
      </c>
      <c r="J859" t="s">
        <v>257</v>
      </c>
      <c r="K859" t="s">
        <v>254</v>
      </c>
      <c r="L859">
        <v>3</v>
      </c>
      <c r="M859" t="str">
        <f>_xlfn.XLOOKUP(E859,tPacotes[ID_Pacote],tPacotes[Pacote])</f>
        <v>Rio Cidade Maravilhosa</v>
      </c>
      <c r="N859" t="str">
        <f>_xlfn.XLOOKUP(E859,tPacotes[ID_Pacote],tPacotes[Categoria])</f>
        <v>Cultural</v>
      </c>
      <c r="O859" t="str">
        <f>_xlfn.XLOOKUP(D859,tClientes[ID_Cliente],tClientes[UF])</f>
        <v>SP</v>
      </c>
    </row>
    <row r="860" spans="1:15" x14ac:dyDescent="0.3">
      <c r="A860">
        <v>859</v>
      </c>
      <c r="B860" s="3">
        <v>46069</v>
      </c>
      <c r="C860" s="3">
        <v>46086</v>
      </c>
      <c r="D860">
        <v>11</v>
      </c>
      <c r="E860">
        <v>1</v>
      </c>
      <c r="F860">
        <v>3</v>
      </c>
      <c r="G860" s="2">
        <v>9600</v>
      </c>
      <c r="H860" s="4">
        <v>0.1</v>
      </c>
      <c r="I860" s="2">
        <v>8640</v>
      </c>
      <c r="J860" t="s">
        <v>253</v>
      </c>
      <c r="K860" t="s">
        <v>254</v>
      </c>
      <c r="L860">
        <v>5</v>
      </c>
      <c r="M860" t="str">
        <f>_xlfn.XLOOKUP(E860,tPacotes[ID_Pacote],tPacotes[Pacote])</f>
        <v>Nordeste Encantado</v>
      </c>
      <c r="N860" t="str">
        <f>_xlfn.XLOOKUP(E860,tPacotes[ID_Pacote],tPacotes[Categoria])</f>
        <v>Praia</v>
      </c>
      <c r="O860" t="str">
        <f>_xlfn.XLOOKUP(D860,tClientes[ID_Cliente],tClientes[UF])</f>
        <v>RJ</v>
      </c>
    </row>
    <row r="861" spans="1:15" x14ac:dyDescent="0.3">
      <c r="A861">
        <v>860</v>
      </c>
      <c r="B861" s="3">
        <v>46069</v>
      </c>
      <c r="C861" s="3">
        <v>46104</v>
      </c>
      <c r="D861">
        <v>90</v>
      </c>
      <c r="E861">
        <v>9</v>
      </c>
      <c r="F861">
        <v>1</v>
      </c>
      <c r="G861" s="2">
        <v>8900</v>
      </c>
      <c r="H861" s="4">
        <v>0</v>
      </c>
      <c r="I861" s="2">
        <v>8900</v>
      </c>
      <c r="J861" t="s">
        <v>256</v>
      </c>
      <c r="K861" t="s">
        <v>254</v>
      </c>
      <c r="L861">
        <v>5</v>
      </c>
      <c r="M861" t="str">
        <f>_xlfn.XLOOKUP(E861,tPacotes[ID_Pacote],tPacotes[Pacote])</f>
        <v>Cancún All Inclusive</v>
      </c>
      <c r="N861" t="str">
        <f>_xlfn.XLOOKUP(E861,tPacotes[ID_Pacote],tPacotes[Categoria])</f>
        <v>Praia</v>
      </c>
      <c r="O861" t="str">
        <f>_xlfn.XLOOKUP(D861,tClientes[ID_Cliente],tClientes[UF])</f>
        <v>RS</v>
      </c>
    </row>
    <row r="862" spans="1:15" x14ac:dyDescent="0.3">
      <c r="A862">
        <v>861</v>
      </c>
      <c r="B862" s="3">
        <v>46069</v>
      </c>
      <c r="C862" s="3">
        <v>46200</v>
      </c>
      <c r="D862">
        <v>159</v>
      </c>
      <c r="E862">
        <v>15</v>
      </c>
      <c r="F862">
        <v>3</v>
      </c>
      <c r="G862" s="2">
        <v>9300</v>
      </c>
      <c r="H862" s="4">
        <v>0.15</v>
      </c>
      <c r="I862" s="2">
        <v>7905</v>
      </c>
      <c r="J862" t="s">
        <v>255</v>
      </c>
      <c r="K862" t="s">
        <v>254</v>
      </c>
      <c r="L862">
        <v>4</v>
      </c>
      <c r="M862" t="str">
        <f>_xlfn.XLOOKUP(E862,tPacotes[ID_Pacote],tPacotes[Pacote])</f>
        <v>Jericoacoara</v>
      </c>
      <c r="N862" t="str">
        <f>_xlfn.XLOOKUP(E862,tPacotes[ID_Pacote],tPacotes[Categoria])</f>
        <v>Praia</v>
      </c>
      <c r="O862" t="str">
        <f>_xlfn.XLOOKUP(D862,tClientes[ID_Cliente],tClientes[UF])</f>
        <v>SP</v>
      </c>
    </row>
    <row r="863" spans="1:15" x14ac:dyDescent="0.3">
      <c r="A863">
        <v>862</v>
      </c>
      <c r="B863" s="3">
        <v>46069</v>
      </c>
      <c r="C863" s="3">
        <v>46102</v>
      </c>
      <c r="D863">
        <v>22</v>
      </c>
      <c r="E863">
        <v>14</v>
      </c>
      <c r="F863">
        <v>2</v>
      </c>
      <c r="G863" s="2">
        <v>5800</v>
      </c>
      <c r="H863" s="4">
        <v>0.05</v>
      </c>
      <c r="I863" s="2">
        <v>5510</v>
      </c>
      <c r="J863" t="s">
        <v>253</v>
      </c>
      <c r="K863" t="s">
        <v>254</v>
      </c>
      <c r="L863">
        <v>5</v>
      </c>
      <c r="M863" t="str">
        <f>_xlfn.XLOOKUP(E863,tPacotes[ID_Pacote],tPacotes[Pacote])</f>
        <v>Lençóis Maranhenses</v>
      </c>
      <c r="N863" t="str">
        <f>_xlfn.XLOOKUP(E863,tPacotes[ID_Pacote],tPacotes[Categoria])</f>
        <v>Natureza</v>
      </c>
      <c r="O863" t="str">
        <f>_xlfn.XLOOKUP(D863,tClientes[ID_Cliente],tClientes[UF])</f>
        <v>SP</v>
      </c>
    </row>
    <row r="864" spans="1:15" x14ac:dyDescent="0.3">
      <c r="A864">
        <v>863</v>
      </c>
      <c r="B864" s="3">
        <v>46069</v>
      </c>
      <c r="C864" s="3">
        <v>46217</v>
      </c>
      <c r="D864">
        <v>120</v>
      </c>
      <c r="E864">
        <v>14</v>
      </c>
      <c r="F864">
        <v>4</v>
      </c>
      <c r="G864" s="2">
        <v>11600</v>
      </c>
      <c r="H864" s="4">
        <v>0.1</v>
      </c>
      <c r="I864" s="2">
        <v>10440</v>
      </c>
      <c r="J864" t="s">
        <v>257</v>
      </c>
      <c r="K864" t="s">
        <v>254</v>
      </c>
      <c r="L864">
        <v>5</v>
      </c>
      <c r="M864" t="str">
        <f>_xlfn.XLOOKUP(E864,tPacotes[ID_Pacote],tPacotes[Pacote])</f>
        <v>Lençóis Maranhenses</v>
      </c>
      <c r="N864" t="str">
        <f>_xlfn.XLOOKUP(E864,tPacotes[ID_Pacote],tPacotes[Categoria])</f>
        <v>Natureza</v>
      </c>
      <c r="O864" t="str">
        <f>_xlfn.XLOOKUP(D864,tClientes[ID_Cliente],tClientes[UF])</f>
        <v>PR</v>
      </c>
    </row>
    <row r="865" spans="1:15" x14ac:dyDescent="0.3">
      <c r="A865">
        <v>864</v>
      </c>
      <c r="B865" s="3">
        <v>46071</v>
      </c>
      <c r="C865" s="3">
        <v>46117</v>
      </c>
      <c r="D865">
        <v>191</v>
      </c>
      <c r="E865">
        <v>5</v>
      </c>
      <c r="F865">
        <v>4</v>
      </c>
      <c r="G865" s="2">
        <v>13600</v>
      </c>
      <c r="H865" s="4">
        <v>0</v>
      </c>
      <c r="I865" s="2">
        <v>13600</v>
      </c>
      <c r="J865" t="s">
        <v>253</v>
      </c>
      <c r="K865" t="s">
        <v>254</v>
      </c>
      <c r="L865">
        <v>4</v>
      </c>
      <c r="M865" t="str">
        <f>_xlfn.XLOOKUP(E865,tPacotes[ID_Pacote],tPacotes[Pacote])</f>
        <v>Bonito Aventura</v>
      </c>
      <c r="N865" t="str">
        <f>_xlfn.XLOOKUP(E865,tPacotes[ID_Pacote],tPacotes[Categoria])</f>
        <v>Aventura</v>
      </c>
      <c r="O865" t="str">
        <f>_xlfn.XLOOKUP(D865,tClientes[ID_Cliente],tClientes[UF])</f>
        <v>SP</v>
      </c>
    </row>
    <row r="866" spans="1:15" x14ac:dyDescent="0.3">
      <c r="A866">
        <v>865</v>
      </c>
      <c r="B866" s="3">
        <v>46072</v>
      </c>
      <c r="C866" s="3">
        <v>46090</v>
      </c>
      <c r="D866">
        <v>51</v>
      </c>
      <c r="E866">
        <v>8</v>
      </c>
      <c r="F866">
        <v>2</v>
      </c>
      <c r="G866" s="2">
        <v>11800</v>
      </c>
      <c r="H866" s="4">
        <v>0</v>
      </c>
      <c r="I866" s="2">
        <v>11800</v>
      </c>
      <c r="J866" t="s">
        <v>256</v>
      </c>
      <c r="K866" t="s">
        <v>254</v>
      </c>
      <c r="L866">
        <v>4</v>
      </c>
      <c r="M866" t="str">
        <f>_xlfn.XLOOKUP(E866,tPacotes[ID_Pacote],tPacotes[Pacote])</f>
        <v>Santiago e Neve</v>
      </c>
      <c r="N866" t="str">
        <f>_xlfn.XLOOKUP(E866,tPacotes[ID_Pacote],tPacotes[Categoria])</f>
        <v>Inverno</v>
      </c>
      <c r="O866" t="str">
        <f>_xlfn.XLOOKUP(D866,tClientes[ID_Cliente],tClientes[UF])</f>
        <v>RJ</v>
      </c>
    </row>
    <row r="867" spans="1:15" x14ac:dyDescent="0.3">
      <c r="A867">
        <v>866</v>
      </c>
      <c r="B867" s="3">
        <v>46072</v>
      </c>
      <c r="C867" s="3">
        <v>46086</v>
      </c>
      <c r="D867">
        <v>117</v>
      </c>
      <c r="E867">
        <v>3</v>
      </c>
      <c r="F867">
        <v>2</v>
      </c>
      <c r="G867" s="2">
        <v>5200</v>
      </c>
      <c r="H867" s="4">
        <v>0</v>
      </c>
      <c r="I867" s="2">
        <v>5200</v>
      </c>
      <c r="J867" t="s">
        <v>257</v>
      </c>
      <c r="K867" t="s">
        <v>254</v>
      </c>
      <c r="L867">
        <v>5</v>
      </c>
      <c r="M867" t="str">
        <f>_xlfn.XLOOKUP(E867,tPacotes[ID_Pacote],tPacotes[Pacote])</f>
        <v>Serra Gaúcha</v>
      </c>
      <c r="N867" t="str">
        <f>_xlfn.XLOOKUP(E867,tPacotes[ID_Pacote],tPacotes[Categoria])</f>
        <v>Inverno</v>
      </c>
      <c r="O867" t="str">
        <f>_xlfn.XLOOKUP(D867,tClientes[ID_Cliente],tClientes[UF])</f>
        <v>SP</v>
      </c>
    </row>
    <row r="868" spans="1:15" x14ac:dyDescent="0.3">
      <c r="A868">
        <v>867</v>
      </c>
      <c r="B868" s="3">
        <v>46073</v>
      </c>
      <c r="C868" s="3">
        <v>46080</v>
      </c>
      <c r="D868">
        <v>196</v>
      </c>
      <c r="E868">
        <v>2</v>
      </c>
      <c r="F868">
        <v>2</v>
      </c>
      <c r="G868" s="2">
        <v>3600</v>
      </c>
      <c r="H868" s="4">
        <v>0.1</v>
      </c>
      <c r="I868" s="2">
        <v>3240</v>
      </c>
      <c r="J868" t="s">
        <v>257</v>
      </c>
      <c r="K868" t="s">
        <v>254</v>
      </c>
      <c r="L868">
        <v>5</v>
      </c>
      <c r="M868" t="str">
        <f>_xlfn.XLOOKUP(E868,tPacotes[ID_Pacote],tPacotes[Pacote])</f>
        <v>Rio Cidade Maravilhosa</v>
      </c>
      <c r="N868" t="str">
        <f>_xlfn.XLOOKUP(E868,tPacotes[ID_Pacote],tPacotes[Categoria])</f>
        <v>Cultural</v>
      </c>
      <c r="O868" t="str">
        <f>_xlfn.XLOOKUP(D868,tClientes[ID_Cliente],tClientes[UF])</f>
        <v>DF</v>
      </c>
    </row>
    <row r="869" spans="1:15" x14ac:dyDescent="0.3">
      <c r="A869">
        <v>868</v>
      </c>
      <c r="B869" s="3">
        <v>46073</v>
      </c>
      <c r="C869" s="3">
        <v>46102</v>
      </c>
      <c r="D869">
        <v>150</v>
      </c>
      <c r="E869">
        <v>7</v>
      </c>
      <c r="F869">
        <v>1</v>
      </c>
      <c r="G869" s="2">
        <v>4200</v>
      </c>
      <c r="H869" s="4">
        <v>0.05</v>
      </c>
      <c r="I869" s="2">
        <v>3990</v>
      </c>
      <c r="J869" t="s">
        <v>256</v>
      </c>
      <c r="K869" t="s">
        <v>254</v>
      </c>
      <c r="L869">
        <v>5</v>
      </c>
      <c r="M869" t="str">
        <f>_xlfn.XLOOKUP(E869,tPacotes[ID_Pacote],tPacotes[Pacote])</f>
        <v>Buenos Aires Clássica</v>
      </c>
      <c r="N869" t="str">
        <f>_xlfn.XLOOKUP(E869,tPacotes[ID_Pacote],tPacotes[Categoria])</f>
        <v>Cultural</v>
      </c>
      <c r="O869" t="str">
        <f>_xlfn.XLOOKUP(D869,tClientes[ID_Cliente],tClientes[UF])</f>
        <v>SP</v>
      </c>
    </row>
    <row r="870" spans="1:15" x14ac:dyDescent="0.3">
      <c r="A870">
        <v>869</v>
      </c>
      <c r="B870" s="3">
        <v>46074</v>
      </c>
      <c r="C870" s="3">
        <v>46082</v>
      </c>
      <c r="D870">
        <v>71</v>
      </c>
      <c r="E870">
        <v>9</v>
      </c>
      <c r="F870">
        <v>1</v>
      </c>
      <c r="G870" s="2">
        <v>8900</v>
      </c>
      <c r="H870" s="4">
        <v>0.05</v>
      </c>
      <c r="I870" s="2">
        <v>8455</v>
      </c>
      <c r="J870" t="s">
        <v>253</v>
      </c>
      <c r="K870" t="s">
        <v>254</v>
      </c>
      <c r="L870">
        <v>5</v>
      </c>
      <c r="M870" t="str">
        <f>_xlfn.XLOOKUP(E870,tPacotes[ID_Pacote],tPacotes[Pacote])</f>
        <v>Cancún All Inclusive</v>
      </c>
      <c r="N870" t="str">
        <f>_xlfn.XLOOKUP(E870,tPacotes[ID_Pacote],tPacotes[Categoria])</f>
        <v>Praia</v>
      </c>
      <c r="O870" t="str">
        <f>_xlfn.XLOOKUP(D870,tClientes[ID_Cliente],tClientes[UF])</f>
        <v>RJ</v>
      </c>
    </row>
    <row r="871" spans="1:15" x14ac:dyDescent="0.3">
      <c r="A871">
        <v>870</v>
      </c>
      <c r="B871" s="3">
        <v>46075</v>
      </c>
      <c r="C871" s="3">
        <v>46206</v>
      </c>
      <c r="D871">
        <v>113</v>
      </c>
      <c r="E871">
        <v>9</v>
      </c>
      <c r="F871">
        <v>3</v>
      </c>
      <c r="G871" s="2">
        <v>26700</v>
      </c>
      <c r="H871" s="4">
        <v>0</v>
      </c>
      <c r="I871" s="2">
        <v>26700</v>
      </c>
      <c r="J871" t="s">
        <v>255</v>
      </c>
      <c r="K871" t="s">
        <v>258</v>
      </c>
      <c r="M871" t="str">
        <f>_xlfn.XLOOKUP(E871,tPacotes[ID_Pacote],tPacotes[Pacote])</f>
        <v>Cancún All Inclusive</v>
      </c>
      <c r="N871" t="str">
        <f>_xlfn.XLOOKUP(E871,tPacotes[ID_Pacote],tPacotes[Categoria])</f>
        <v>Praia</v>
      </c>
      <c r="O871" t="str">
        <f>_xlfn.XLOOKUP(D871,tClientes[ID_Cliente],tClientes[UF])</f>
        <v>SP</v>
      </c>
    </row>
    <row r="872" spans="1:15" x14ac:dyDescent="0.3">
      <c r="A872">
        <v>871</v>
      </c>
      <c r="B872" s="3">
        <v>46075</v>
      </c>
      <c r="C872" s="3">
        <v>46177</v>
      </c>
      <c r="D872">
        <v>93</v>
      </c>
      <c r="E872">
        <v>11</v>
      </c>
      <c r="F872">
        <v>1</v>
      </c>
      <c r="G872" s="2">
        <v>15800</v>
      </c>
      <c r="H872" s="4">
        <v>0</v>
      </c>
      <c r="I872" s="2">
        <v>15800</v>
      </c>
      <c r="J872" t="s">
        <v>257</v>
      </c>
      <c r="K872" t="s">
        <v>254</v>
      </c>
      <c r="L872">
        <v>4</v>
      </c>
      <c r="M872" t="str">
        <f>_xlfn.XLOOKUP(E872,tPacotes[ID_Pacote],tPacotes[Pacote])</f>
        <v>Paris e Londres</v>
      </c>
      <c r="N872" t="str">
        <f>_xlfn.XLOOKUP(E872,tPacotes[ID_Pacote],tPacotes[Categoria])</f>
        <v>Cultural</v>
      </c>
      <c r="O872" t="str">
        <f>_xlfn.XLOOKUP(D872,tClientes[ID_Cliente],tClientes[UF])</f>
        <v>DF</v>
      </c>
    </row>
    <row r="873" spans="1:15" x14ac:dyDescent="0.3">
      <c r="A873">
        <v>872</v>
      </c>
      <c r="B873" s="3">
        <v>46075</v>
      </c>
      <c r="C873" s="3">
        <v>46195</v>
      </c>
      <c r="D873">
        <v>13</v>
      </c>
      <c r="E873">
        <v>2</v>
      </c>
      <c r="F873">
        <v>4</v>
      </c>
      <c r="G873" s="2">
        <v>7200</v>
      </c>
      <c r="H873" s="4">
        <v>0</v>
      </c>
      <c r="I873" s="2">
        <v>7200</v>
      </c>
      <c r="J873" t="s">
        <v>255</v>
      </c>
      <c r="K873" t="s">
        <v>254</v>
      </c>
      <c r="L873">
        <v>5</v>
      </c>
      <c r="M873" t="str">
        <f>_xlfn.XLOOKUP(E873,tPacotes[ID_Pacote],tPacotes[Pacote])</f>
        <v>Rio Cidade Maravilhosa</v>
      </c>
      <c r="N873" t="str">
        <f>_xlfn.XLOOKUP(E873,tPacotes[ID_Pacote],tPacotes[Categoria])</f>
        <v>Cultural</v>
      </c>
      <c r="O873" t="str">
        <f>_xlfn.XLOOKUP(D873,tClientes[ID_Cliente],tClientes[UF])</f>
        <v>RS</v>
      </c>
    </row>
    <row r="874" spans="1:15" x14ac:dyDescent="0.3">
      <c r="A874">
        <v>873</v>
      </c>
      <c r="B874" s="3">
        <v>46076</v>
      </c>
      <c r="C874" s="3">
        <v>46084</v>
      </c>
      <c r="D874">
        <v>147</v>
      </c>
      <c r="E874">
        <v>2</v>
      </c>
      <c r="F874">
        <v>2</v>
      </c>
      <c r="G874" s="2">
        <v>3600</v>
      </c>
      <c r="H874" s="4">
        <v>0</v>
      </c>
      <c r="I874" s="2">
        <v>3600</v>
      </c>
      <c r="J874" t="s">
        <v>253</v>
      </c>
      <c r="K874" t="s">
        <v>254</v>
      </c>
      <c r="L874">
        <v>5</v>
      </c>
      <c r="M874" t="str">
        <f>_xlfn.XLOOKUP(E874,tPacotes[ID_Pacote],tPacotes[Pacote])</f>
        <v>Rio Cidade Maravilhosa</v>
      </c>
      <c r="N874" t="str">
        <f>_xlfn.XLOOKUP(E874,tPacotes[ID_Pacote],tPacotes[Categoria])</f>
        <v>Cultural</v>
      </c>
      <c r="O874" t="str">
        <f>_xlfn.XLOOKUP(D874,tClientes[ID_Cliente],tClientes[UF])</f>
        <v>SP</v>
      </c>
    </row>
    <row r="875" spans="1:15" x14ac:dyDescent="0.3">
      <c r="A875">
        <v>874</v>
      </c>
      <c r="B875" s="3">
        <v>46076</v>
      </c>
      <c r="C875" s="3">
        <v>46114</v>
      </c>
      <c r="D875">
        <v>83</v>
      </c>
      <c r="E875">
        <v>15</v>
      </c>
      <c r="F875">
        <v>2</v>
      </c>
      <c r="G875" s="2">
        <v>6200</v>
      </c>
      <c r="H875" s="4">
        <v>0.1</v>
      </c>
      <c r="I875" s="2">
        <v>5580</v>
      </c>
      <c r="J875" t="s">
        <v>255</v>
      </c>
      <c r="K875" t="s">
        <v>254</v>
      </c>
      <c r="L875">
        <v>4</v>
      </c>
      <c r="M875" t="str">
        <f>_xlfn.XLOOKUP(E875,tPacotes[ID_Pacote],tPacotes[Pacote])</f>
        <v>Jericoacoara</v>
      </c>
      <c r="N875" t="str">
        <f>_xlfn.XLOOKUP(E875,tPacotes[ID_Pacote],tPacotes[Categoria])</f>
        <v>Praia</v>
      </c>
      <c r="O875" t="str">
        <f>_xlfn.XLOOKUP(D875,tClientes[ID_Cliente],tClientes[UF])</f>
        <v>SP</v>
      </c>
    </row>
    <row r="876" spans="1:15" x14ac:dyDescent="0.3">
      <c r="A876">
        <v>875</v>
      </c>
      <c r="B876" s="3">
        <v>46079</v>
      </c>
      <c r="C876" s="3">
        <v>46196</v>
      </c>
      <c r="D876">
        <v>135</v>
      </c>
      <c r="E876">
        <v>7</v>
      </c>
      <c r="F876">
        <v>1</v>
      </c>
      <c r="G876" s="2">
        <v>4200</v>
      </c>
      <c r="H876" s="4">
        <v>0</v>
      </c>
      <c r="I876" s="2">
        <v>4200</v>
      </c>
      <c r="J876" t="s">
        <v>255</v>
      </c>
      <c r="K876" t="s">
        <v>254</v>
      </c>
      <c r="L876">
        <v>5</v>
      </c>
      <c r="M876" t="str">
        <f>_xlfn.XLOOKUP(E876,tPacotes[ID_Pacote],tPacotes[Pacote])</f>
        <v>Buenos Aires Clássica</v>
      </c>
      <c r="N876" t="str">
        <f>_xlfn.XLOOKUP(E876,tPacotes[ID_Pacote],tPacotes[Categoria])</f>
        <v>Cultural</v>
      </c>
      <c r="O876" t="str">
        <f>_xlfn.XLOOKUP(D876,tClientes[ID_Cliente],tClientes[UF])</f>
        <v>RJ</v>
      </c>
    </row>
    <row r="877" spans="1:15" x14ac:dyDescent="0.3">
      <c r="A877">
        <v>876</v>
      </c>
      <c r="B877" s="3">
        <v>46080</v>
      </c>
      <c r="C877" s="3">
        <v>46201</v>
      </c>
      <c r="D877">
        <v>133</v>
      </c>
      <c r="E877">
        <v>1</v>
      </c>
      <c r="F877">
        <v>1</v>
      </c>
      <c r="G877" s="2">
        <v>3200</v>
      </c>
      <c r="H877" s="4">
        <v>0.05</v>
      </c>
      <c r="I877" s="2">
        <v>3040</v>
      </c>
      <c r="J877" t="s">
        <v>257</v>
      </c>
      <c r="K877" t="s">
        <v>254</v>
      </c>
      <c r="L877">
        <v>4</v>
      </c>
      <c r="M877" t="str">
        <f>_xlfn.XLOOKUP(E877,tPacotes[ID_Pacote],tPacotes[Pacote])</f>
        <v>Nordeste Encantado</v>
      </c>
      <c r="N877" t="str">
        <f>_xlfn.XLOOKUP(E877,tPacotes[ID_Pacote],tPacotes[Categoria])</f>
        <v>Praia</v>
      </c>
      <c r="O877" t="str">
        <f>_xlfn.XLOOKUP(D877,tClientes[ID_Cliente],tClientes[UF])</f>
        <v>SP</v>
      </c>
    </row>
    <row r="878" spans="1:15" x14ac:dyDescent="0.3">
      <c r="A878">
        <v>877</v>
      </c>
      <c r="B878" s="3">
        <v>46080</v>
      </c>
      <c r="C878" s="3">
        <v>46213</v>
      </c>
      <c r="D878">
        <v>162</v>
      </c>
      <c r="E878">
        <v>2</v>
      </c>
      <c r="F878">
        <v>2</v>
      </c>
      <c r="G878" s="2">
        <v>3600</v>
      </c>
      <c r="H878" s="4">
        <v>0</v>
      </c>
      <c r="I878" s="2">
        <v>3600</v>
      </c>
      <c r="J878" t="s">
        <v>253</v>
      </c>
      <c r="K878" t="s">
        <v>254</v>
      </c>
      <c r="L878">
        <v>4</v>
      </c>
      <c r="M878" t="str">
        <f>_xlfn.XLOOKUP(E878,tPacotes[ID_Pacote],tPacotes[Pacote])</f>
        <v>Rio Cidade Maravilhosa</v>
      </c>
      <c r="N878" t="str">
        <f>_xlfn.XLOOKUP(E878,tPacotes[ID_Pacote],tPacotes[Categoria])</f>
        <v>Cultural</v>
      </c>
      <c r="O878" t="str">
        <f>_xlfn.XLOOKUP(D878,tClientes[ID_Cliente],tClientes[UF])</f>
        <v>SP</v>
      </c>
    </row>
    <row r="879" spans="1:15" x14ac:dyDescent="0.3">
      <c r="A879">
        <v>878</v>
      </c>
      <c r="B879" s="3">
        <v>46081</v>
      </c>
      <c r="C879" s="3">
        <v>46099</v>
      </c>
      <c r="D879">
        <v>162</v>
      </c>
      <c r="E879">
        <v>2</v>
      </c>
      <c r="F879">
        <v>4</v>
      </c>
      <c r="G879" s="2">
        <v>7200</v>
      </c>
      <c r="H879" s="4">
        <v>0.05</v>
      </c>
      <c r="I879" s="2">
        <v>6840</v>
      </c>
      <c r="J879" t="s">
        <v>253</v>
      </c>
      <c r="K879" t="s">
        <v>254</v>
      </c>
      <c r="L879">
        <v>4</v>
      </c>
      <c r="M879" t="str">
        <f>_xlfn.XLOOKUP(E879,tPacotes[ID_Pacote],tPacotes[Pacote])</f>
        <v>Rio Cidade Maravilhosa</v>
      </c>
      <c r="N879" t="str">
        <f>_xlfn.XLOOKUP(E879,tPacotes[ID_Pacote],tPacotes[Categoria])</f>
        <v>Cultural</v>
      </c>
      <c r="O879" t="str">
        <f>_xlfn.XLOOKUP(D879,tClientes[ID_Cliente],tClientes[UF])</f>
        <v>SP</v>
      </c>
    </row>
    <row r="880" spans="1:15" x14ac:dyDescent="0.3">
      <c r="A880">
        <v>879</v>
      </c>
      <c r="B880" s="3">
        <v>46082</v>
      </c>
      <c r="C880" s="3">
        <v>46092</v>
      </c>
      <c r="D880">
        <v>110</v>
      </c>
      <c r="E880">
        <v>2</v>
      </c>
      <c r="F880">
        <v>3</v>
      </c>
      <c r="G880" s="2">
        <v>5400</v>
      </c>
      <c r="H880" s="4">
        <v>0</v>
      </c>
      <c r="I880" s="2">
        <v>5400</v>
      </c>
      <c r="J880" t="s">
        <v>253</v>
      </c>
      <c r="K880" t="s">
        <v>254</v>
      </c>
      <c r="L880">
        <v>5</v>
      </c>
      <c r="M880" t="str">
        <f>_xlfn.XLOOKUP(E880,tPacotes[ID_Pacote],tPacotes[Pacote])</f>
        <v>Rio Cidade Maravilhosa</v>
      </c>
      <c r="N880" t="str">
        <f>_xlfn.XLOOKUP(E880,tPacotes[ID_Pacote],tPacotes[Categoria])</f>
        <v>Cultural</v>
      </c>
      <c r="O880" t="str">
        <f>_xlfn.XLOOKUP(D880,tClientes[ID_Cliente],tClientes[UF])</f>
        <v>SP</v>
      </c>
    </row>
    <row r="881" spans="1:15" x14ac:dyDescent="0.3">
      <c r="A881">
        <v>880</v>
      </c>
      <c r="B881" s="3">
        <v>46083</v>
      </c>
      <c r="C881" s="3">
        <v>46096</v>
      </c>
      <c r="D881">
        <v>186</v>
      </c>
      <c r="E881">
        <v>8</v>
      </c>
      <c r="F881">
        <v>1</v>
      </c>
      <c r="G881" s="2">
        <v>5900</v>
      </c>
      <c r="H881" s="4">
        <v>0</v>
      </c>
      <c r="I881" s="2">
        <v>5900</v>
      </c>
      <c r="J881" t="s">
        <v>256</v>
      </c>
      <c r="K881" t="s">
        <v>254</v>
      </c>
      <c r="L881">
        <v>4</v>
      </c>
      <c r="M881" t="str">
        <f>_xlfn.XLOOKUP(E881,tPacotes[ID_Pacote],tPacotes[Pacote])</f>
        <v>Santiago e Neve</v>
      </c>
      <c r="N881" t="str">
        <f>_xlfn.XLOOKUP(E881,tPacotes[ID_Pacote],tPacotes[Categoria])</f>
        <v>Inverno</v>
      </c>
      <c r="O881" t="str">
        <f>_xlfn.XLOOKUP(D881,tClientes[ID_Cliente],tClientes[UF])</f>
        <v>RJ</v>
      </c>
    </row>
    <row r="882" spans="1:15" x14ac:dyDescent="0.3">
      <c r="A882">
        <v>881</v>
      </c>
      <c r="B882" s="3">
        <v>46084</v>
      </c>
      <c r="C882" s="3">
        <v>46113</v>
      </c>
      <c r="D882">
        <v>36</v>
      </c>
      <c r="E882">
        <v>2</v>
      </c>
      <c r="F882">
        <v>4</v>
      </c>
      <c r="G882" s="2">
        <v>7200</v>
      </c>
      <c r="H882" s="4">
        <v>0</v>
      </c>
      <c r="I882" s="2">
        <v>7200</v>
      </c>
      <c r="J882" t="s">
        <v>253</v>
      </c>
      <c r="K882" t="s">
        <v>254</v>
      </c>
      <c r="L882">
        <v>4</v>
      </c>
      <c r="M882" t="str">
        <f>_xlfn.XLOOKUP(E882,tPacotes[ID_Pacote],tPacotes[Pacote])</f>
        <v>Rio Cidade Maravilhosa</v>
      </c>
      <c r="N882" t="str">
        <f>_xlfn.XLOOKUP(E882,tPacotes[ID_Pacote],tPacotes[Categoria])</f>
        <v>Cultural</v>
      </c>
      <c r="O882" t="str">
        <f>_xlfn.XLOOKUP(D882,tClientes[ID_Cliente],tClientes[UF])</f>
        <v>SP</v>
      </c>
    </row>
    <row r="883" spans="1:15" x14ac:dyDescent="0.3">
      <c r="A883">
        <v>882</v>
      </c>
      <c r="B883" s="3">
        <v>46084</v>
      </c>
      <c r="C883" s="3">
        <v>46094</v>
      </c>
      <c r="D883">
        <v>151</v>
      </c>
      <c r="E883">
        <v>6</v>
      </c>
      <c r="F883">
        <v>2</v>
      </c>
      <c r="G883" s="2">
        <v>4200</v>
      </c>
      <c r="H883" s="4">
        <v>0</v>
      </c>
      <c r="I883" s="2">
        <v>4200</v>
      </c>
      <c r="J883" t="s">
        <v>255</v>
      </c>
      <c r="K883" t="s">
        <v>254</v>
      </c>
      <c r="L883">
        <v>4</v>
      </c>
      <c r="M883" t="str">
        <f>_xlfn.XLOOKUP(E883,tPacotes[ID_Pacote],tPacotes[Pacote])</f>
        <v>Foz do Iguaçu</v>
      </c>
      <c r="N883" t="str">
        <f>_xlfn.XLOOKUP(E883,tPacotes[ID_Pacote],tPacotes[Categoria])</f>
        <v>Natureza</v>
      </c>
      <c r="O883" t="str">
        <f>_xlfn.XLOOKUP(D883,tClientes[ID_Cliente],tClientes[UF])</f>
        <v>SP</v>
      </c>
    </row>
    <row r="884" spans="1:15" x14ac:dyDescent="0.3">
      <c r="A884">
        <v>883</v>
      </c>
      <c r="B884" s="3">
        <v>46085</v>
      </c>
      <c r="C884" s="3">
        <v>46095</v>
      </c>
      <c r="D884">
        <v>101</v>
      </c>
      <c r="E884">
        <v>9</v>
      </c>
      <c r="F884">
        <v>2</v>
      </c>
      <c r="G884" s="2">
        <v>17800</v>
      </c>
      <c r="H884" s="4">
        <v>0</v>
      </c>
      <c r="I884" s="2">
        <v>17800</v>
      </c>
      <c r="J884" t="s">
        <v>255</v>
      </c>
      <c r="K884" t="s">
        <v>254</v>
      </c>
      <c r="L884">
        <v>4</v>
      </c>
      <c r="M884" t="str">
        <f>_xlfn.XLOOKUP(E884,tPacotes[ID_Pacote],tPacotes[Pacote])</f>
        <v>Cancún All Inclusive</v>
      </c>
      <c r="N884" t="str">
        <f>_xlfn.XLOOKUP(E884,tPacotes[ID_Pacote],tPacotes[Categoria])</f>
        <v>Praia</v>
      </c>
      <c r="O884" t="str">
        <f>_xlfn.XLOOKUP(D884,tClientes[ID_Cliente],tClientes[UF])</f>
        <v>SP</v>
      </c>
    </row>
    <row r="885" spans="1:15" x14ac:dyDescent="0.3">
      <c r="A885">
        <v>884</v>
      </c>
      <c r="B885" s="3">
        <v>46085</v>
      </c>
      <c r="C885" s="3">
        <v>46257</v>
      </c>
      <c r="D885">
        <v>36</v>
      </c>
      <c r="E885">
        <v>13</v>
      </c>
      <c r="F885">
        <v>1</v>
      </c>
      <c r="G885" s="2">
        <v>7300</v>
      </c>
      <c r="H885" s="4">
        <v>0</v>
      </c>
      <c r="I885" s="2">
        <v>7300</v>
      </c>
      <c r="J885" t="s">
        <v>253</v>
      </c>
      <c r="K885" t="s">
        <v>254</v>
      </c>
      <c r="L885">
        <v>5</v>
      </c>
      <c r="M885" t="str">
        <f>_xlfn.XLOOKUP(E885,tPacotes[ID_Pacote],tPacotes[Pacote])</f>
        <v>Machu Picchu</v>
      </c>
      <c r="N885" t="str">
        <f>_xlfn.XLOOKUP(E885,tPacotes[ID_Pacote],tPacotes[Categoria])</f>
        <v>Aventura</v>
      </c>
      <c r="O885" t="str">
        <f>_xlfn.XLOOKUP(D885,tClientes[ID_Cliente],tClientes[UF])</f>
        <v>SP</v>
      </c>
    </row>
    <row r="886" spans="1:15" x14ac:dyDescent="0.3">
      <c r="A886">
        <v>885</v>
      </c>
      <c r="B886" s="3">
        <v>46085</v>
      </c>
      <c r="C886" s="3">
        <v>46135</v>
      </c>
      <c r="D886">
        <v>167</v>
      </c>
      <c r="E886">
        <v>14</v>
      </c>
      <c r="F886">
        <v>5</v>
      </c>
      <c r="G886" s="2">
        <v>14500</v>
      </c>
      <c r="H886" s="4">
        <v>0</v>
      </c>
      <c r="I886" s="2">
        <v>14500</v>
      </c>
      <c r="J886" t="s">
        <v>253</v>
      </c>
      <c r="K886" t="s">
        <v>254</v>
      </c>
      <c r="L886">
        <v>5</v>
      </c>
      <c r="M886" t="str">
        <f>_xlfn.XLOOKUP(E886,tPacotes[ID_Pacote],tPacotes[Pacote])</f>
        <v>Lençóis Maranhenses</v>
      </c>
      <c r="N886" t="str">
        <f>_xlfn.XLOOKUP(E886,tPacotes[ID_Pacote],tPacotes[Categoria])</f>
        <v>Natureza</v>
      </c>
      <c r="O886" t="str">
        <f>_xlfn.XLOOKUP(D886,tClientes[ID_Cliente],tClientes[UF])</f>
        <v>SP</v>
      </c>
    </row>
    <row r="887" spans="1:15" x14ac:dyDescent="0.3">
      <c r="A887">
        <v>886</v>
      </c>
      <c r="B887" s="3">
        <v>46085</v>
      </c>
      <c r="C887" s="3">
        <v>46125</v>
      </c>
      <c r="D887">
        <v>124</v>
      </c>
      <c r="E887">
        <v>9</v>
      </c>
      <c r="F887">
        <v>2</v>
      </c>
      <c r="G887" s="2">
        <v>17800</v>
      </c>
      <c r="H887" s="4">
        <v>0</v>
      </c>
      <c r="I887" s="2">
        <v>17800</v>
      </c>
      <c r="J887" t="s">
        <v>255</v>
      </c>
      <c r="K887" t="s">
        <v>254</v>
      </c>
      <c r="L887">
        <v>1</v>
      </c>
      <c r="M887" t="str">
        <f>_xlfn.XLOOKUP(E887,tPacotes[ID_Pacote],tPacotes[Pacote])</f>
        <v>Cancún All Inclusive</v>
      </c>
      <c r="N887" t="str">
        <f>_xlfn.XLOOKUP(E887,tPacotes[ID_Pacote],tPacotes[Categoria])</f>
        <v>Praia</v>
      </c>
      <c r="O887" t="str">
        <f>_xlfn.XLOOKUP(D887,tClientes[ID_Cliente],tClientes[UF])</f>
        <v>BA</v>
      </c>
    </row>
    <row r="888" spans="1:15" x14ac:dyDescent="0.3">
      <c r="A888">
        <v>887</v>
      </c>
      <c r="B888" s="3">
        <v>46086</v>
      </c>
      <c r="C888" s="3">
        <v>46118</v>
      </c>
      <c r="D888">
        <v>174</v>
      </c>
      <c r="E888">
        <v>15</v>
      </c>
      <c r="F888">
        <v>2</v>
      </c>
      <c r="G888" s="2">
        <v>6200</v>
      </c>
      <c r="H888" s="4">
        <v>0.05</v>
      </c>
      <c r="I888" s="2">
        <v>5890</v>
      </c>
      <c r="J888" t="s">
        <v>253</v>
      </c>
      <c r="K888" t="s">
        <v>254</v>
      </c>
      <c r="L888">
        <v>5</v>
      </c>
      <c r="M888" t="str">
        <f>_xlfn.XLOOKUP(E888,tPacotes[ID_Pacote],tPacotes[Pacote])</f>
        <v>Jericoacoara</v>
      </c>
      <c r="N888" t="str">
        <f>_xlfn.XLOOKUP(E888,tPacotes[ID_Pacote],tPacotes[Categoria])</f>
        <v>Praia</v>
      </c>
      <c r="O888" t="str">
        <f>_xlfn.XLOOKUP(D888,tClientes[ID_Cliente],tClientes[UF])</f>
        <v>SP</v>
      </c>
    </row>
    <row r="889" spans="1:15" x14ac:dyDescent="0.3">
      <c r="A889">
        <v>888</v>
      </c>
      <c r="B889" s="3">
        <v>46086</v>
      </c>
      <c r="C889" s="3">
        <v>46246</v>
      </c>
      <c r="D889">
        <v>96</v>
      </c>
      <c r="E889">
        <v>11</v>
      </c>
      <c r="F889">
        <v>4</v>
      </c>
      <c r="G889" s="2">
        <v>63200</v>
      </c>
      <c r="H889" s="4">
        <v>0</v>
      </c>
      <c r="I889" s="2">
        <v>63200</v>
      </c>
      <c r="J889" t="s">
        <v>257</v>
      </c>
      <c r="K889" t="s">
        <v>254</v>
      </c>
      <c r="L889">
        <v>5</v>
      </c>
      <c r="M889" t="str">
        <f>_xlfn.XLOOKUP(E889,tPacotes[ID_Pacote],tPacotes[Pacote])</f>
        <v>Paris e Londres</v>
      </c>
      <c r="N889" t="str">
        <f>_xlfn.XLOOKUP(E889,tPacotes[ID_Pacote],tPacotes[Categoria])</f>
        <v>Cultural</v>
      </c>
      <c r="O889" t="str">
        <f>_xlfn.XLOOKUP(D889,tClientes[ID_Cliente],tClientes[UF])</f>
        <v>MG</v>
      </c>
    </row>
    <row r="890" spans="1:15" x14ac:dyDescent="0.3">
      <c r="A890">
        <v>889</v>
      </c>
      <c r="B890" s="3">
        <v>46086</v>
      </c>
      <c r="C890" s="3">
        <v>46156</v>
      </c>
      <c r="D890">
        <v>160</v>
      </c>
      <c r="E890">
        <v>15</v>
      </c>
      <c r="F890">
        <v>2</v>
      </c>
      <c r="G890" s="2">
        <v>6200</v>
      </c>
      <c r="H890" s="4">
        <v>0.1</v>
      </c>
      <c r="I890" s="2">
        <v>5580</v>
      </c>
      <c r="J890" t="s">
        <v>253</v>
      </c>
      <c r="K890" t="s">
        <v>254</v>
      </c>
      <c r="L890">
        <v>5</v>
      </c>
      <c r="M890" t="str">
        <f>_xlfn.XLOOKUP(E890,tPacotes[ID_Pacote],tPacotes[Pacote])</f>
        <v>Jericoacoara</v>
      </c>
      <c r="N890" t="str">
        <f>_xlfn.XLOOKUP(E890,tPacotes[ID_Pacote],tPacotes[Categoria])</f>
        <v>Praia</v>
      </c>
      <c r="O890" t="str">
        <f>_xlfn.XLOOKUP(D890,tClientes[ID_Cliente],tClientes[UF])</f>
        <v>RJ</v>
      </c>
    </row>
    <row r="891" spans="1:15" x14ac:dyDescent="0.3">
      <c r="A891">
        <v>890</v>
      </c>
      <c r="B891" s="3">
        <v>46087</v>
      </c>
      <c r="C891" s="3">
        <v>46170</v>
      </c>
      <c r="D891">
        <v>117</v>
      </c>
      <c r="E891">
        <v>10</v>
      </c>
      <c r="F891">
        <v>3</v>
      </c>
      <c r="G891" s="2">
        <v>34500</v>
      </c>
      <c r="H891" s="4">
        <v>0.15</v>
      </c>
      <c r="I891" s="2">
        <v>29325</v>
      </c>
      <c r="J891" t="s">
        <v>255</v>
      </c>
      <c r="K891" t="s">
        <v>258</v>
      </c>
      <c r="M891" t="str">
        <f>_xlfn.XLOOKUP(E891,tPacotes[ID_Pacote],tPacotes[Pacote])</f>
        <v>Orlando Parques</v>
      </c>
      <c r="N891" t="str">
        <f>_xlfn.XLOOKUP(E891,tPacotes[ID_Pacote],tPacotes[Categoria])</f>
        <v>Parques</v>
      </c>
      <c r="O891" t="str">
        <f>_xlfn.XLOOKUP(D891,tClientes[ID_Cliente],tClientes[UF])</f>
        <v>SP</v>
      </c>
    </row>
    <row r="892" spans="1:15" x14ac:dyDescent="0.3">
      <c r="A892">
        <v>891</v>
      </c>
      <c r="B892" s="3">
        <v>46088</v>
      </c>
      <c r="C892" s="3">
        <v>46222</v>
      </c>
      <c r="D892">
        <v>121</v>
      </c>
      <c r="E892">
        <v>8</v>
      </c>
      <c r="F892">
        <v>2</v>
      </c>
      <c r="G892" s="2">
        <v>11800</v>
      </c>
      <c r="H892" s="4">
        <v>0</v>
      </c>
      <c r="I892" s="2">
        <v>11800</v>
      </c>
      <c r="J892" t="s">
        <v>255</v>
      </c>
      <c r="K892" t="s">
        <v>254</v>
      </c>
      <c r="L892">
        <v>4</v>
      </c>
      <c r="M892" t="str">
        <f>_xlfn.XLOOKUP(E892,tPacotes[ID_Pacote],tPacotes[Pacote])</f>
        <v>Santiago e Neve</v>
      </c>
      <c r="N892" t="str">
        <f>_xlfn.XLOOKUP(E892,tPacotes[ID_Pacote],tPacotes[Categoria])</f>
        <v>Inverno</v>
      </c>
      <c r="O892" t="str">
        <f>_xlfn.XLOOKUP(D892,tClientes[ID_Cliente],tClientes[UF])</f>
        <v>RS</v>
      </c>
    </row>
    <row r="893" spans="1:15" x14ac:dyDescent="0.3">
      <c r="A893">
        <v>892</v>
      </c>
      <c r="B893" s="3">
        <v>46088</v>
      </c>
      <c r="C893" s="3">
        <v>46120</v>
      </c>
      <c r="D893">
        <v>68</v>
      </c>
      <c r="E893">
        <v>14</v>
      </c>
      <c r="F893">
        <v>1</v>
      </c>
      <c r="G893" s="2">
        <v>2900</v>
      </c>
      <c r="H893" s="4">
        <v>0.1</v>
      </c>
      <c r="I893" s="2">
        <v>2610</v>
      </c>
      <c r="J893" t="s">
        <v>256</v>
      </c>
      <c r="K893" t="s">
        <v>254</v>
      </c>
      <c r="L893">
        <v>3</v>
      </c>
      <c r="M893" t="str">
        <f>_xlfn.XLOOKUP(E893,tPacotes[ID_Pacote],tPacotes[Pacote])</f>
        <v>Lençóis Maranhenses</v>
      </c>
      <c r="N893" t="str">
        <f>_xlfn.XLOOKUP(E893,tPacotes[ID_Pacote],tPacotes[Categoria])</f>
        <v>Natureza</v>
      </c>
      <c r="O893" t="str">
        <f>_xlfn.XLOOKUP(D893,tClientes[ID_Cliente],tClientes[UF])</f>
        <v>BA</v>
      </c>
    </row>
    <row r="894" spans="1:15" x14ac:dyDescent="0.3">
      <c r="A894">
        <v>893</v>
      </c>
      <c r="B894" s="3">
        <v>46088</v>
      </c>
      <c r="C894" s="3">
        <v>46155</v>
      </c>
      <c r="D894">
        <v>129</v>
      </c>
      <c r="E894">
        <v>14</v>
      </c>
      <c r="F894">
        <v>4</v>
      </c>
      <c r="G894" s="2">
        <v>11600</v>
      </c>
      <c r="H894" s="4">
        <v>0.1</v>
      </c>
      <c r="I894" s="2">
        <v>10440</v>
      </c>
      <c r="J894" t="s">
        <v>253</v>
      </c>
      <c r="K894" t="s">
        <v>254</v>
      </c>
      <c r="L894">
        <v>4</v>
      </c>
      <c r="M894" t="str">
        <f>_xlfn.XLOOKUP(E894,tPacotes[ID_Pacote],tPacotes[Pacote])</f>
        <v>Lençóis Maranhenses</v>
      </c>
      <c r="N894" t="str">
        <f>_xlfn.XLOOKUP(E894,tPacotes[ID_Pacote],tPacotes[Categoria])</f>
        <v>Natureza</v>
      </c>
      <c r="O894" t="str">
        <f>_xlfn.XLOOKUP(D894,tClientes[ID_Cliente],tClientes[UF])</f>
        <v>MG</v>
      </c>
    </row>
    <row r="895" spans="1:15" x14ac:dyDescent="0.3">
      <c r="A895">
        <v>894</v>
      </c>
      <c r="B895" s="3">
        <v>46089</v>
      </c>
      <c r="C895" s="3">
        <v>46099</v>
      </c>
      <c r="D895">
        <v>171</v>
      </c>
      <c r="E895">
        <v>13</v>
      </c>
      <c r="F895">
        <v>2</v>
      </c>
      <c r="G895" s="2">
        <v>14600</v>
      </c>
      <c r="H895" s="4">
        <v>0.05</v>
      </c>
      <c r="I895" s="2">
        <v>13870</v>
      </c>
      <c r="J895" t="s">
        <v>253</v>
      </c>
      <c r="K895" t="s">
        <v>254</v>
      </c>
      <c r="L895">
        <v>4</v>
      </c>
      <c r="M895" t="str">
        <f>_xlfn.XLOOKUP(E895,tPacotes[ID_Pacote],tPacotes[Pacote])</f>
        <v>Machu Picchu</v>
      </c>
      <c r="N895" t="str">
        <f>_xlfn.XLOOKUP(E895,tPacotes[ID_Pacote],tPacotes[Categoria])</f>
        <v>Aventura</v>
      </c>
      <c r="O895" t="str">
        <f>_xlfn.XLOOKUP(D895,tClientes[ID_Cliente],tClientes[UF])</f>
        <v>SP</v>
      </c>
    </row>
    <row r="896" spans="1:15" x14ac:dyDescent="0.3">
      <c r="A896">
        <v>895</v>
      </c>
      <c r="B896" s="3">
        <v>46089</v>
      </c>
      <c r="C896" s="3">
        <v>46102</v>
      </c>
      <c r="D896">
        <v>113</v>
      </c>
      <c r="E896">
        <v>6</v>
      </c>
      <c r="F896">
        <v>1</v>
      </c>
      <c r="G896" s="2">
        <v>2100</v>
      </c>
      <c r="H896" s="4">
        <v>0.15</v>
      </c>
      <c r="I896" s="2">
        <v>1785</v>
      </c>
      <c r="J896" t="s">
        <v>253</v>
      </c>
      <c r="K896" t="s">
        <v>254</v>
      </c>
      <c r="L896">
        <v>4</v>
      </c>
      <c r="M896" t="str">
        <f>_xlfn.XLOOKUP(E896,tPacotes[ID_Pacote],tPacotes[Pacote])</f>
        <v>Foz do Iguaçu</v>
      </c>
      <c r="N896" t="str">
        <f>_xlfn.XLOOKUP(E896,tPacotes[ID_Pacote],tPacotes[Categoria])</f>
        <v>Natureza</v>
      </c>
      <c r="O896" t="str">
        <f>_xlfn.XLOOKUP(D896,tClientes[ID_Cliente],tClientes[UF])</f>
        <v>SP</v>
      </c>
    </row>
    <row r="897" spans="1:15" x14ac:dyDescent="0.3">
      <c r="A897">
        <v>896</v>
      </c>
      <c r="B897" s="3">
        <v>46089</v>
      </c>
      <c r="C897" s="3">
        <v>46196</v>
      </c>
      <c r="D897">
        <v>62</v>
      </c>
      <c r="E897">
        <v>1</v>
      </c>
      <c r="F897">
        <v>1</v>
      </c>
      <c r="G897" s="2">
        <v>3200</v>
      </c>
      <c r="H897" s="4">
        <v>0</v>
      </c>
      <c r="I897" s="2">
        <v>3200</v>
      </c>
      <c r="J897" t="s">
        <v>253</v>
      </c>
      <c r="K897" t="s">
        <v>258</v>
      </c>
      <c r="M897" t="str">
        <f>_xlfn.XLOOKUP(E897,tPacotes[ID_Pacote],tPacotes[Pacote])</f>
        <v>Nordeste Encantado</v>
      </c>
      <c r="N897" t="str">
        <f>_xlfn.XLOOKUP(E897,tPacotes[ID_Pacote],tPacotes[Categoria])</f>
        <v>Praia</v>
      </c>
      <c r="O897" t="str">
        <f>_xlfn.XLOOKUP(D897,tClientes[ID_Cliente],tClientes[UF])</f>
        <v>SP</v>
      </c>
    </row>
    <row r="898" spans="1:15" x14ac:dyDescent="0.3">
      <c r="A898">
        <v>897</v>
      </c>
      <c r="B898" s="3">
        <v>46089</v>
      </c>
      <c r="C898" s="3">
        <v>46203</v>
      </c>
      <c r="D898">
        <v>32</v>
      </c>
      <c r="E898">
        <v>2</v>
      </c>
      <c r="F898">
        <v>4</v>
      </c>
      <c r="G898" s="2">
        <v>7200</v>
      </c>
      <c r="H898" s="4">
        <v>0</v>
      </c>
      <c r="I898" s="2">
        <v>7200</v>
      </c>
      <c r="J898" t="s">
        <v>257</v>
      </c>
      <c r="K898" t="s">
        <v>254</v>
      </c>
      <c r="L898">
        <v>5</v>
      </c>
      <c r="M898" t="str">
        <f>_xlfn.XLOOKUP(E898,tPacotes[ID_Pacote],tPacotes[Pacote])</f>
        <v>Rio Cidade Maravilhosa</v>
      </c>
      <c r="N898" t="str">
        <f>_xlfn.XLOOKUP(E898,tPacotes[ID_Pacote],tPacotes[Categoria])</f>
        <v>Cultural</v>
      </c>
      <c r="O898" t="str">
        <f>_xlfn.XLOOKUP(D898,tClientes[ID_Cliente],tClientes[UF])</f>
        <v>PR</v>
      </c>
    </row>
    <row r="899" spans="1:15" x14ac:dyDescent="0.3">
      <c r="A899">
        <v>898</v>
      </c>
      <c r="B899" s="3">
        <v>46090</v>
      </c>
      <c r="C899" s="3">
        <v>46123</v>
      </c>
      <c r="D899">
        <v>102</v>
      </c>
      <c r="E899">
        <v>1</v>
      </c>
      <c r="F899">
        <v>1</v>
      </c>
      <c r="G899" s="2">
        <v>3200</v>
      </c>
      <c r="H899" s="4">
        <v>0</v>
      </c>
      <c r="I899" s="2">
        <v>3200</v>
      </c>
      <c r="J899" t="s">
        <v>253</v>
      </c>
      <c r="K899" t="s">
        <v>258</v>
      </c>
      <c r="M899" t="str">
        <f>_xlfn.XLOOKUP(E899,tPacotes[ID_Pacote],tPacotes[Pacote])</f>
        <v>Nordeste Encantado</v>
      </c>
      <c r="N899" t="str">
        <f>_xlfn.XLOOKUP(E899,tPacotes[ID_Pacote],tPacotes[Categoria])</f>
        <v>Praia</v>
      </c>
      <c r="O899" t="str">
        <f>_xlfn.XLOOKUP(D899,tClientes[ID_Cliente],tClientes[UF])</f>
        <v>PR</v>
      </c>
    </row>
    <row r="900" spans="1:15" x14ac:dyDescent="0.3">
      <c r="A900">
        <v>899</v>
      </c>
      <c r="B900" s="3">
        <v>46091</v>
      </c>
      <c r="C900" s="3">
        <v>46164</v>
      </c>
      <c r="D900">
        <v>119</v>
      </c>
      <c r="E900">
        <v>6</v>
      </c>
      <c r="F900">
        <v>2</v>
      </c>
      <c r="G900" s="2">
        <v>4200</v>
      </c>
      <c r="H900" s="4">
        <v>0</v>
      </c>
      <c r="I900" s="2">
        <v>4200</v>
      </c>
      <c r="J900" t="s">
        <v>256</v>
      </c>
      <c r="K900" t="s">
        <v>254</v>
      </c>
      <c r="L900">
        <v>5</v>
      </c>
      <c r="M900" t="str">
        <f>_xlfn.XLOOKUP(E900,tPacotes[ID_Pacote],tPacotes[Pacote])</f>
        <v>Foz do Iguaçu</v>
      </c>
      <c r="N900" t="str">
        <f>_xlfn.XLOOKUP(E900,tPacotes[ID_Pacote],tPacotes[Categoria])</f>
        <v>Natureza</v>
      </c>
      <c r="O900" t="str">
        <f>_xlfn.XLOOKUP(D900,tClientes[ID_Cliente],tClientes[UF])</f>
        <v>SP</v>
      </c>
    </row>
    <row r="901" spans="1:15" x14ac:dyDescent="0.3">
      <c r="A901">
        <v>900</v>
      </c>
      <c r="B901" s="3">
        <v>46092</v>
      </c>
      <c r="C901" s="3">
        <v>46115</v>
      </c>
      <c r="D901">
        <v>15</v>
      </c>
      <c r="E901">
        <v>2</v>
      </c>
      <c r="F901">
        <v>2</v>
      </c>
      <c r="G901" s="2">
        <v>3600</v>
      </c>
      <c r="H901" s="4">
        <v>0.05</v>
      </c>
      <c r="I901" s="2">
        <v>3420</v>
      </c>
      <c r="J901" t="s">
        <v>253</v>
      </c>
      <c r="K901" t="s">
        <v>254</v>
      </c>
      <c r="L901">
        <v>4</v>
      </c>
      <c r="M901" t="str">
        <f>_xlfn.XLOOKUP(E901,tPacotes[ID_Pacote],tPacotes[Pacote])</f>
        <v>Rio Cidade Maravilhosa</v>
      </c>
      <c r="N901" t="str">
        <f>_xlfn.XLOOKUP(E901,tPacotes[ID_Pacote],tPacotes[Categoria])</f>
        <v>Cultural</v>
      </c>
      <c r="O901" t="str">
        <f>_xlfn.XLOOKUP(D901,tClientes[ID_Cliente],tClientes[UF])</f>
        <v>SP</v>
      </c>
    </row>
    <row r="902" spans="1:15" x14ac:dyDescent="0.3">
      <c r="A902">
        <v>901</v>
      </c>
      <c r="B902" s="3">
        <v>46092</v>
      </c>
      <c r="C902" s="3">
        <v>46098</v>
      </c>
      <c r="D902">
        <v>133</v>
      </c>
      <c r="E902">
        <v>5</v>
      </c>
      <c r="F902">
        <v>1</v>
      </c>
      <c r="G902" s="2">
        <v>3400</v>
      </c>
      <c r="H902" s="4">
        <v>0</v>
      </c>
      <c r="I902" s="2">
        <v>3400</v>
      </c>
      <c r="J902" t="s">
        <v>257</v>
      </c>
      <c r="K902" t="s">
        <v>254</v>
      </c>
      <c r="L902">
        <v>5</v>
      </c>
      <c r="M902" t="str">
        <f>_xlfn.XLOOKUP(E902,tPacotes[ID_Pacote],tPacotes[Pacote])</f>
        <v>Bonito Aventura</v>
      </c>
      <c r="N902" t="str">
        <f>_xlfn.XLOOKUP(E902,tPacotes[ID_Pacote],tPacotes[Categoria])</f>
        <v>Aventura</v>
      </c>
      <c r="O902" t="str">
        <f>_xlfn.XLOOKUP(D902,tClientes[ID_Cliente],tClientes[UF])</f>
        <v>SP</v>
      </c>
    </row>
    <row r="903" spans="1:15" x14ac:dyDescent="0.3">
      <c r="A903">
        <v>902</v>
      </c>
      <c r="B903" s="3">
        <v>46093</v>
      </c>
      <c r="C903" s="3">
        <v>46146</v>
      </c>
      <c r="D903">
        <v>19</v>
      </c>
      <c r="E903">
        <v>2</v>
      </c>
      <c r="F903">
        <v>4</v>
      </c>
      <c r="G903" s="2">
        <v>7200</v>
      </c>
      <c r="H903" s="4">
        <v>0</v>
      </c>
      <c r="I903" s="2">
        <v>7200</v>
      </c>
      <c r="J903" t="s">
        <v>253</v>
      </c>
      <c r="K903" t="s">
        <v>258</v>
      </c>
      <c r="M903" t="str">
        <f>_xlfn.XLOOKUP(E903,tPacotes[ID_Pacote],tPacotes[Pacote])</f>
        <v>Rio Cidade Maravilhosa</v>
      </c>
      <c r="N903" t="str">
        <f>_xlfn.XLOOKUP(E903,tPacotes[ID_Pacote],tPacotes[Categoria])</f>
        <v>Cultural</v>
      </c>
      <c r="O903" t="str">
        <f>_xlfn.XLOOKUP(D903,tClientes[ID_Cliente],tClientes[UF])</f>
        <v>SP</v>
      </c>
    </row>
    <row r="904" spans="1:15" x14ac:dyDescent="0.3">
      <c r="A904">
        <v>903</v>
      </c>
      <c r="B904" s="3">
        <v>46093</v>
      </c>
      <c r="C904" s="3">
        <v>46130</v>
      </c>
      <c r="D904">
        <v>140</v>
      </c>
      <c r="E904">
        <v>8</v>
      </c>
      <c r="F904">
        <v>2</v>
      </c>
      <c r="G904" s="2">
        <v>11800</v>
      </c>
      <c r="H904" s="4">
        <v>0</v>
      </c>
      <c r="I904" s="2">
        <v>11800</v>
      </c>
      <c r="J904" t="s">
        <v>253</v>
      </c>
      <c r="K904" t="s">
        <v>254</v>
      </c>
      <c r="L904">
        <v>2</v>
      </c>
      <c r="M904" t="str">
        <f>_xlfn.XLOOKUP(E904,tPacotes[ID_Pacote],tPacotes[Pacote])</f>
        <v>Santiago e Neve</v>
      </c>
      <c r="N904" t="str">
        <f>_xlfn.XLOOKUP(E904,tPacotes[ID_Pacote],tPacotes[Categoria])</f>
        <v>Inverno</v>
      </c>
      <c r="O904" t="str">
        <f>_xlfn.XLOOKUP(D904,tClientes[ID_Cliente],tClientes[UF])</f>
        <v>RJ</v>
      </c>
    </row>
    <row r="905" spans="1:15" x14ac:dyDescent="0.3">
      <c r="A905">
        <v>904</v>
      </c>
      <c r="B905" s="3">
        <v>46094</v>
      </c>
      <c r="C905" s="3">
        <v>46106</v>
      </c>
      <c r="D905">
        <v>2</v>
      </c>
      <c r="E905">
        <v>11</v>
      </c>
      <c r="F905">
        <v>5</v>
      </c>
      <c r="G905" s="2">
        <v>79000</v>
      </c>
      <c r="H905" s="4">
        <v>0</v>
      </c>
      <c r="I905" s="2">
        <v>79000</v>
      </c>
      <c r="J905" t="s">
        <v>255</v>
      </c>
      <c r="K905" t="s">
        <v>254</v>
      </c>
      <c r="L905">
        <v>4</v>
      </c>
      <c r="M905" t="str">
        <f>_xlfn.XLOOKUP(E905,tPacotes[ID_Pacote],tPacotes[Pacote])</f>
        <v>Paris e Londres</v>
      </c>
      <c r="N905" t="str">
        <f>_xlfn.XLOOKUP(E905,tPacotes[ID_Pacote],tPacotes[Categoria])</f>
        <v>Cultural</v>
      </c>
      <c r="O905" t="str">
        <f>_xlfn.XLOOKUP(D905,tClientes[ID_Cliente],tClientes[UF])</f>
        <v>RJ</v>
      </c>
    </row>
    <row r="906" spans="1:15" x14ac:dyDescent="0.3">
      <c r="A906">
        <v>905</v>
      </c>
      <c r="B906" s="3">
        <v>46095</v>
      </c>
      <c r="C906" s="3">
        <v>46125</v>
      </c>
      <c r="D906">
        <v>121</v>
      </c>
      <c r="E906">
        <v>7</v>
      </c>
      <c r="F906">
        <v>2</v>
      </c>
      <c r="G906" s="2">
        <v>8400</v>
      </c>
      <c r="H906" s="4">
        <v>0</v>
      </c>
      <c r="I906" s="2">
        <v>8400</v>
      </c>
      <c r="J906" t="s">
        <v>253</v>
      </c>
      <c r="K906" t="s">
        <v>254</v>
      </c>
      <c r="L906">
        <v>5</v>
      </c>
      <c r="M906" t="str">
        <f>_xlfn.XLOOKUP(E906,tPacotes[ID_Pacote],tPacotes[Pacote])</f>
        <v>Buenos Aires Clássica</v>
      </c>
      <c r="N906" t="str">
        <f>_xlfn.XLOOKUP(E906,tPacotes[ID_Pacote],tPacotes[Categoria])</f>
        <v>Cultural</v>
      </c>
      <c r="O906" t="str">
        <f>_xlfn.XLOOKUP(D906,tClientes[ID_Cliente],tClientes[UF])</f>
        <v>RS</v>
      </c>
    </row>
    <row r="907" spans="1:15" x14ac:dyDescent="0.3">
      <c r="A907">
        <v>906</v>
      </c>
      <c r="B907" s="3">
        <v>46095</v>
      </c>
      <c r="C907" s="3">
        <v>46099</v>
      </c>
      <c r="D907">
        <v>135</v>
      </c>
      <c r="E907">
        <v>7</v>
      </c>
      <c r="F907">
        <v>1</v>
      </c>
      <c r="G907" s="2">
        <v>4200</v>
      </c>
      <c r="H907" s="4">
        <v>0</v>
      </c>
      <c r="I907" s="2">
        <v>4200</v>
      </c>
      <c r="J907" t="s">
        <v>253</v>
      </c>
      <c r="K907" t="s">
        <v>254</v>
      </c>
      <c r="L907">
        <v>5</v>
      </c>
      <c r="M907" t="str">
        <f>_xlfn.XLOOKUP(E907,tPacotes[ID_Pacote],tPacotes[Pacote])</f>
        <v>Buenos Aires Clássica</v>
      </c>
      <c r="N907" t="str">
        <f>_xlfn.XLOOKUP(E907,tPacotes[ID_Pacote],tPacotes[Categoria])</f>
        <v>Cultural</v>
      </c>
      <c r="O907" t="str">
        <f>_xlfn.XLOOKUP(D907,tClientes[ID_Cliente],tClientes[UF])</f>
        <v>RJ</v>
      </c>
    </row>
    <row r="908" spans="1:15" x14ac:dyDescent="0.3">
      <c r="A908">
        <v>907</v>
      </c>
      <c r="B908" s="3">
        <v>46096</v>
      </c>
      <c r="C908" s="3">
        <v>46153</v>
      </c>
      <c r="D908">
        <v>197</v>
      </c>
      <c r="E908">
        <v>7</v>
      </c>
      <c r="F908">
        <v>1</v>
      </c>
      <c r="G908" s="2">
        <v>4200</v>
      </c>
      <c r="H908" s="4">
        <v>0.1</v>
      </c>
      <c r="I908" s="2">
        <v>3780</v>
      </c>
      <c r="J908" t="s">
        <v>253</v>
      </c>
      <c r="K908" t="s">
        <v>254</v>
      </c>
      <c r="L908">
        <v>5</v>
      </c>
      <c r="M908" t="str">
        <f>_xlfn.XLOOKUP(E908,tPacotes[ID_Pacote],tPacotes[Pacote])</f>
        <v>Buenos Aires Clássica</v>
      </c>
      <c r="N908" t="str">
        <f>_xlfn.XLOOKUP(E908,tPacotes[ID_Pacote],tPacotes[Categoria])</f>
        <v>Cultural</v>
      </c>
      <c r="O908" t="str">
        <f>_xlfn.XLOOKUP(D908,tClientes[ID_Cliente],tClientes[UF])</f>
        <v>SP</v>
      </c>
    </row>
    <row r="909" spans="1:15" x14ac:dyDescent="0.3">
      <c r="A909">
        <v>908</v>
      </c>
      <c r="B909" s="3">
        <v>46096</v>
      </c>
      <c r="C909" s="3">
        <v>46271</v>
      </c>
      <c r="D909">
        <v>110</v>
      </c>
      <c r="E909">
        <v>1</v>
      </c>
      <c r="F909">
        <v>2</v>
      </c>
      <c r="G909" s="2">
        <v>6400</v>
      </c>
      <c r="H909" s="4">
        <v>0.05</v>
      </c>
      <c r="I909" s="2">
        <v>6080</v>
      </c>
      <c r="J909" t="s">
        <v>253</v>
      </c>
      <c r="K909" t="s">
        <v>254</v>
      </c>
      <c r="L909">
        <v>5</v>
      </c>
      <c r="M909" t="str">
        <f>_xlfn.XLOOKUP(E909,tPacotes[ID_Pacote],tPacotes[Pacote])</f>
        <v>Nordeste Encantado</v>
      </c>
      <c r="N909" t="str">
        <f>_xlfn.XLOOKUP(E909,tPacotes[ID_Pacote],tPacotes[Categoria])</f>
        <v>Praia</v>
      </c>
      <c r="O909" t="str">
        <f>_xlfn.XLOOKUP(D909,tClientes[ID_Cliente],tClientes[UF])</f>
        <v>SP</v>
      </c>
    </row>
    <row r="910" spans="1:15" x14ac:dyDescent="0.3">
      <c r="A910">
        <v>909</v>
      </c>
      <c r="B910" s="3">
        <v>46096</v>
      </c>
      <c r="C910" s="3">
        <v>46213</v>
      </c>
      <c r="D910">
        <v>97</v>
      </c>
      <c r="E910">
        <v>9</v>
      </c>
      <c r="F910">
        <v>2</v>
      </c>
      <c r="G910" s="2">
        <v>17800</v>
      </c>
      <c r="H910" s="4">
        <v>0.1</v>
      </c>
      <c r="I910" s="2">
        <v>16020</v>
      </c>
      <c r="J910" t="s">
        <v>257</v>
      </c>
      <c r="K910" t="s">
        <v>254</v>
      </c>
      <c r="L910">
        <v>5</v>
      </c>
      <c r="M910" t="str">
        <f>_xlfn.XLOOKUP(E910,tPacotes[ID_Pacote],tPacotes[Pacote])</f>
        <v>Cancún All Inclusive</v>
      </c>
      <c r="N910" t="str">
        <f>_xlfn.XLOOKUP(E910,tPacotes[ID_Pacote],tPacotes[Categoria])</f>
        <v>Praia</v>
      </c>
      <c r="O910" t="str">
        <f>_xlfn.XLOOKUP(D910,tClientes[ID_Cliente],tClientes[UF])</f>
        <v>SP</v>
      </c>
    </row>
    <row r="911" spans="1:15" x14ac:dyDescent="0.3">
      <c r="A911">
        <v>910</v>
      </c>
      <c r="B911" s="3">
        <v>46097</v>
      </c>
      <c r="C911" s="3">
        <v>46136</v>
      </c>
      <c r="D911">
        <v>83</v>
      </c>
      <c r="E911">
        <v>1</v>
      </c>
      <c r="F911">
        <v>2</v>
      </c>
      <c r="G911" s="2">
        <v>6400</v>
      </c>
      <c r="H911" s="4">
        <v>0</v>
      </c>
      <c r="I911" s="2">
        <v>6400</v>
      </c>
      <c r="J911" t="s">
        <v>253</v>
      </c>
      <c r="K911" t="s">
        <v>258</v>
      </c>
      <c r="M911" t="str">
        <f>_xlfn.XLOOKUP(E911,tPacotes[ID_Pacote],tPacotes[Pacote])</f>
        <v>Nordeste Encantado</v>
      </c>
      <c r="N911" t="str">
        <f>_xlfn.XLOOKUP(E911,tPacotes[ID_Pacote],tPacotes[Categoria])</f>
        <v>Praia</v>
      </c>
      <c r="O911" t="str">
        <f>_xlfn.XLOOKUP(D911,tClientes[ID_Cliente],tClientes[UF])</f>
        <v>SP</v>
      </c>
    </row>
    <row r="912" spans="1:15" x14ac:dyDescent="0.3">
      <c r="A912">
        <v>911</v>
      </c>
      <c r="B912" s="3">
        <v>46097</v>
      </c>
      <c r="C912" s="3">
        <v>46179</v>
      </c>
      <c r="D912">
        <v>70</v>
      </c>
      <c r="E912">
        <v>7</v>
      </c>
      <c r="F912">
        <v>2</v>
      </c>
      <c r="G912" s="2">
        <v>8400</v>
      </c>
      <c r="H912" s="4">
        <v>0</v>
      </c>
      <c r="I912" s="2">
        <v>8400</v>
      </c>
      <c r="J912" t="s">
        <v>253</v>
      </c>
      <c r="K912" t="s">
        <v>254</v>
      </c>
      <c r="L912">
        <v>3</v>
      </c>
      <c r="M912" t="str">
        <f>_xlfn.XLOOKUP(E912,tPacotes[ID_Pacote],tPacotes[Pacote])</f>
        <v>Buenos Aires Clássica</v>
      </c>
      <c r="N912" t="str">
        <f>_xlfn.XLOOKUP(E912,tPacotes[ID_Pacote],tPacotes[Categoria])</f>
        <v>Cultural</v>
      </c>
      <c r="O912" t="str">
        <f>_xlfn.XLOOKUP(D912,tClientes[ID_Cliente],tClientes[UF])</f>
        <v>MG</v>
      </c>
    </row>
    <row r="913" spans="1:15" x14ac:dyDescent="0.3">
      <c r="A913">
        <v>912</v>
      </c>
      <c r="B913" s="3">
        <v>46098</v>
      </c>
      <c r="C913" s="3">
        <v>46160</v>
      </c>
      <c r="D913">
        <v>34</v>
      </c>
      <c r="E913">
        <v>12</v>
      </c>
      <c r="F913">
        <v>2</v>
      </c>
      <c r="G913" s="2">
        <v>24800</v>
      </c>
      <c r="H913" s="4">
        <v>0</v>
      </c>
      <c r="I913" s="2">
        <v>24800</v>
      </c>
      <c r="J913" t="s">
        <v>257</v>
      </c>
      <c r="K913" t="s">
        <v>254</v>
      </c>
      <c r="L913">
        <v>5</v>
      </c>
      <c r="M913" t="str">
        <f>_xlfn.XLOOKUP(E913,tPacotes[ID_Pacote],tPacotes[Pacote])</f>
        <v>Lisboa e Porto</v>
      </c>
      <c r="N913" t="str">
        <f>_xlfn.XLOOKUP(E913,tPacotes[ID_Pacote],tPacotes[Categoria])</f>
        <v>Cultural</v>
      </c>
      <c r="O913" t="str">
        <f>_xlfn.XLOOKUP(D913,tClientes[ID_Cliente],tClientes[UF])</f>
        <v>SP</v>
      </c>
    </row>
    <row r="914" spans="1:15" x14ac:dyDescent="0.3">
      <c r="A914">
        <v>913</v>
      </c>
      <c r="B914" s="3">
        <v>46099</v>
      </c>
      <c r="C914" s="3">
        <v>46110</v>
      </c>
      <c r="D914">
        <v>4</v>
      </c>
      <c r="E914">
        <v>15</v>
      </c>
      <c r="F914">
        <v>4</v>
      </c>
      <c r="G914" s="2">
        <v>12400</v>
      </c>
      <c r="H914" s="4">
        <v>0</v>
      </c>
      <c r="I914" s="2">
        <v>12400</v>
      </c>
      <c r="J914" t="s">
        <v>257</v>
      </c>
      <c r="K914" t="s">
        <v>254</v>
      </c>
      <c r="L914">
        <v>5</v>
      </c>
      <c r="M914" t="str">
        <f>_xlfn.XLOOKUP(E914,tPacotes[ID_Pacote],tPacotes[Pacote])</f>
        <v>Jericoacoara</v>
      </c>
      <c r="N914" t="str">
        <f>_xlfn.XLOOKUP(E914,tPacotes[ID_Pacote],tPacotes[Categoria])</f>
        <v>Praia</v>
      </c>
      <c r="O914" t="str">
        <f>_xlfn.XLOOKUP(D914,tClientes[ID_Cliente],tClientes[UF])</f>
        <v>RJ</v>
      </c>
    </row>
    <row r="915" spans="1:15" x14ac:dyDescent="0.3">
      <c r="A915">
        <v>914</v>
      </c>
      <c r="B915" s="3">
        <v>46099</v>
      </c>
      <c r="C915" s="3">
        <v>46274</v>
      </c>
      <c r="D915">
        <v>69</v>
      </c>
      <c r="E915">
        <v>12</v>
      </c>
      <c r="F915">
        <v>1</v>
      </c>
      <c r="G915" s="2">
        <v>12400</v>
      </c>
      <c r="H915" s="4">
        <v>0</v>
      </c>
      <c r="I915" s="2">
        <v>12400</v>
      </c>
      <c r="J915" t="s">
        <v>257</v>
      </c>
      <c r="K915" t="s">
        <v>254</v>
      </c>
      <c r="L915">
        <v>5</v>
      </c>
      <c r="M915" t="str">
        <f>_xlfn.XLOOKUP(E915,tPacotes[ID_Pacote],tPacotes[Pacote])</f>
        <v>Lisboa e Porto</v>
      </c>
      <c r="N915" t="str">
        <f>_xlfn.XLOOKUP(E915,tPacotes[ID_Pacote],tPacotes[Categoria])</f>
        <v>Cultural</v>
      </c>
      <c r="O915" t="str">
        <f>_xlfn.XLOOKUP(D915,tClientes[ID_Cliente],tClientes[UF])</f>
        <v>RJ</v>
      </c>
    </row>
    <row r="916" spans="1:15" x14ac:dyDescent="0.3">
      <c r="A916">
        <v>915</v>
      </c>
      <c r="B916" s="3">
        <v>46100</v>
      </c>
      <c r="C916" s="3">
        <v>46208</v>
      </c>
      <c r="D916">
        <v>181</v>
      </c>
      <c r="E916">
        <v>1</v>
      </c>
      <c r="F916">
        <v>4</v>
      </c>
      <c r="G916" s="2">
        <v>12800</v>
      </c>
      <c r="H916" s="4">
        <v>0</v>
      </c>
      <c r="I916" s="2">
        <v>12800</v>
      </c>
      <c r="J916" t="s">
        <v>253</v>
      </c>
      <c r="K916" t="s">
        <v>258</v>
      </c>
      <c r="M916" t="str">
        <f>_xlfn.XLOOKUP(E916,tPacotes[ID_Pacote],tPacotes[Pacote])</f>
        <v>Nordeste Encantado</v>
      </c>
      <c r="N916" t="str">
        <f>_xlfn.XLOOKUP(E916,tPacotes[ID_Pacote],tPacotes[Categoria])</f>
        <v>Praia</v>
      </c>
      <c r="O916" t="str">
        <f>_xlfn.XLOOKUP(D916,tClientes[ID_Cliente],tClientes[UF])</f>
        <v>RJ</v>
      </c>
    </row>
    <row r="917" spans="1:15" x14ac:dyDescent="0.3">
      <c r="A917">
        <v>916</v>
      </c>
      <c r="B917" s="3">
        <v>46100</v>
      </c>
      <c r="C917" s="3">
        <v>46184</v>
      </c>
      <c r="D917">
        <v>34</v>
      </c>
      <c r="E917">
        <v>1</v>
      </c>
      <c r="F917">
        <v>2</v>
      </c>
      <c r="G917" s="2">
        <v>6400</v>
      </c>
      <c r="H917" s="4">
        <v>0.05</v>
      </c>
      <c r="I917" s="2">
        <v>6080</v>
      </c>
      <c r="J917" t="s">
        <v>257</v>
      </c>
      <c r="K917" t="s">
        <v>254</v>
      </c>
      <c r="L917">
        <v>5</v>
      </c>
      <c r="M917" t="str">
        <f>_xlfn.XLOOKUP(E917,tPacotes[ID_Pacote],tPacotes[Pacote])</f>
        <v>Nordeste Encantado</v>
      </c>
      <c r="N917" t="str">
        <f>_xlfn.XLOOKUP(E917,tPacotes[ID_Pacote],tPacotes[Categoria])</f>
        <v>Praia</v>
      </c>
      <c r="O917" t="str">
        <f>_xlfn.XLOOKUP(D917,tClientes[ID_Cliente],tClientes[UF])</f>
        <v>SP</v>
      </c>
    </row>
    <row r="918" spans="1:15" x14ac:dyDescent="0.3">
      <c r="A918">
        <v>917</v>
      </c>
      <c r="B918" s="3">
        <v>46100</v>
      </c>
      <c r="C918" s="3">
        <v>46133</v>
      </c>
      <c r="D918">
        <v>135</v>
      </c>
      <c r="E918">
        <v>2</v>
      </c>
      <c r="F918">
        <v>2</v>
      </c>
      <c r="G918" s="2">
        <v>3600</v>
      </c>
      <c r="H918" s="4">
        <v>0</v>
      </c>
      <c r="I918" s="2">
        <v>3600</v>
      </c>
      <c r="J918" t="s">
        <v>255</v>
      </c>
      <c r="K918" t="s">
        <v>254</v>
      </c>
      <c r="L918">
        <v>4</v>
      </c>
      <c r="M918" t="str">
        <f>_xlfn.XLOOKUP(E918,tPacotes[ID_Pacote],tPacotes[Pacote])</f>
        <v>Rio Cidade Maravilhosa</v>
      </c>
      <c r="N918" t="str">
        <f>_xlfn.XLOOKUP(E918,tPacotes[ID_Pacote],tPacotes[Categoria])</f>
        <v>Cultural</v>
      </c>
      <c r="O918" t="str">
        <f>_xlfn.XLOOKUP(D918,tClientes[ID_Cliente],tClientes[UF])</f>
        <v>RJ</v>
      </c>
    </row>
    <row r="919" spans="1:15" x14ac:dyDescent="0.3">
      <c r="A919">
        <v>918</v>
      </c>
      <c r="B919" s="3">
        <v>46100</v>
      </c>
      <c r="C919" s="3">
        <v>46159</v>
      </c>
      <c r="D919">
        <v>91</v>
      </c>
      <c r="E919">
        <v>8</v>
      </c>
      <c r="F919">
        <v>1</v>
      </c>
      <c r="G919" s="2">
        <v>5900</v>
      </c>
      <c r="H919" s="4">
        <v>0</v>
      </c>
      <c r="I919" s="2">
        <v>5900</v>
      </c>
      <c r="J919" t="s">
        <v>256</v>
      </c>
      <c r="K919" t="s">
        <v>254</v>
      </c>
      <c r="L919">
        <v>4</v>
      </c>
      <c r="M919" t="str">
        <f>_xlfn.XLOOKUP(E919,tPacotes[ID_Pacote],tPacotes[Pacote])</f>
        <v>Santiago e Neve</v>
      </c>
      <c r="N919" t="str">
        <f>_xlfn.XLOOKUP(E919,tPacotes[ID_Pacote],tPacotes[Categoria])</f>
        <v>Inverno</v>
      </c>
      <c r="O919" t="str">
        <f>_xlfn.XLOOKUP(D919,tClientes[ID_Cliente],tClientes[UF])</f>
        <v>SP</v>
      </c>
    </row>
    <row r="920" spans="1:15" x14ac:dyDescent="0.3">
      <c r="A920">
        <v>919</v>
      </c>
      <c r="B920" s="3">
        <v>46100</v>
      </c>
      <c r="C920" s="3">
        <v>46120</v>
      </c>
      <c r="D920">
        <v>124</v>
      </c>
      <c r="E920">
        <v>1</v>
      </c>
      <c r="F920">
        <v>5</v>
      </c>
      <c r="G920" s="2">
        <v>16000</v>
      </c>
      <c r="H920" s="4">
        <v>0.1</v>
      </c>
      <c r="I920" s="2">
        <v>14400</v>
      </c>
      <c r="J920" t="s">
        <v>255</v>
      </c>
      <c r="K920" t="s">
        <v>254</v>
      </c>
      <c r="L920">
        <v>2</v>
      </c>
      <c r="M920" t="str">
        <f>_xlfn.XLOOKUP(E920,tPacotes[ID_Pacote],tPacotes[Pacote])</f>
        <v>Nordeste Encantado</v>
      </c>
      <c r="N920" t="str">
        <f>_xlfn.XLOOKUP(E920,tPacotes[ID_Pacote],tPacotes[Categoria])</f>
        <v>Praia</v>
      </c>
      <c r="O920" t="str">
        <f>_xlfn.XLOOKUP(D920,tClientes[ID_Cliente],tClientes[UF])</f>
        <v>BA</v>
      </c>
    </row>
    <row r="921" spans="1:15" x14ac:dyDescent="0.3">
      <c r="A921">
        <v>920</v>
      </c>
      <c r="B921" s="3">
        <v>46100</v>
      </c>
      <c r="C921" s="3">
        <v>46150</v>
      </c>
      <c r="D921">
        <v>160</v>
      </c>
      <c r="E921">
        <v>4</v>
      </c>
      <c r="F921">
        <v>3</v>
      </c>
      <c r="G921" s="2">
        <v>20700</v>
      </c>
      <c r="H921" s="4">
        <v>0</v>
      </c>
      <c r="I921" s="2">
        <v>20700</v>
      </c>
      <c r="J921" t="s">
        <v>253</v>
      </c>
      <c r="K921" t="s">
        <v>254</v>
      </c>
      <c r="L921">
        <v>3</v>
      </c>
      <c r="M921" t="str">
        <f>_xlfn.XLOOKUP(E921,tPacotes[ID_Pacote],tPacotes[Pacote])</f>
        <v>Fernando de Noronha</v>
      </c>
      <c r="N921" t="str">
        <f>_xlfn.XLOOKUP(E921,tPacotes[ID_Pacote],tPacotes[Categoria])</f>
        <v>Praia</v>
      </c>
      <c r="O921" t="str">
        <f>_xlfn.XLOOKUP(D921,tClientes[ID_Cliente],tClientes[UF])</f>
        <v>RJ</v>
      </c>
    </row>
    <row r="922" spans="1:15" x14ac:dyDescent="0.3">
      <c r="A922">
        <v>921</v>
      </c>
      <c r="B922" s="3">
        <v>46102</v>
      </c>
      <c r="C922" s="3">
        <v>46115</v>
      </c>
      <c r="D922">
        <v>140</v>
      </c>
      <c r="E922">
        <v>6</v>
      </c>
      <c r="F922">
        <v>2</v>
      </c>
      <c r="G922" s="2">
        <v>4200</v>
      </c>
      <c r="H922" s="4">
        <v>0.15</v>
      </c>
      <c r="I922" s="2">
        <v>3570</v>
      </c>
      <c r="J922" t="s">
        <v>257</v>
      </c>
      <c r="K922" t="s">
        <v>254</v>
      </c>
      <c r="L922">
        <v>4</v>
      </c>
      <c r="M922" t="str">
        <f>_xlfn.XLOOKUP(E922,tPacotes[ID_Pacote],tPacotes[Pacote])</f>
        <v>Foz do Iguaçu</v>
      </c>
      <c r="N922" t="str">
        <f>_xlfn.XLOOKUP(E922,tPacotes[ID_Pacote],tPacotes[Categoria])</f>
        <v>Natureza</v>
      </c>
      <c r="O922" t="str">
        <f>_xlfn.XLOOKUP(D922,tClientes[ID_Cliente],tClientes[UF])</f>
        <v>RJ</v>
      </c>
    </row>
    <row r="923" spans="1:15" x14ac:dyDescent="0.3">
      <c r="A923">
        <v>922</v>
      </c>
      <c r="B923" s="3">
        <v>46103</v>
      </c>
      <c r="C923" s="3">
        <v>46123</v>
      </c>
      <c r="D923">
        <v>116</v>
      </c>
      <c r="E923">
        <v>5</v>
      </c>
      <c r="F923">
        <v>1</v>
      </c>
      <c r="G923" s="2">
        <v>3400</v>
      </c>
      <c r="H923" s="4">
        <v>0</v>
      </c>
      <c r="I923" s="2">
        <v>3400</v>
      </c>
      <c r="J923" t="s">
        <v>253</v>
      </c>
      <c r="K923" t="s">
        <v>254</v>
      </c>
      <c r="L923">
        <v>5</v>
      </c>
      <c r="M923" t="str">
        <f>_xlfn.XLOOKUP(E923,tPacotes[ID_Pacote],tPacotes[Pacote])</f>
        <v>Bonito Aventura</v>
      </c>
      <c r="N923" t="str">
        <f>_xlfn.XLOOKUP(E923,tPacotes[ID_Pacote],tPacotes[Categoria])</f>
        <v>Aventura</v>
      </c>
      <c r="O923" t="str">
        <f>_xlfn.XLOOKUP(D923,tClientes[ID_Cliente],tClientes[UF])</f>
        <v>RJ</v>
      </c>
    </row>
    <row r="924" spans="1:15" x14ac:dyDescent="0.3">
      <c r="A924">
        <v>923</v>
      </c>
      <c r="B924" s="3">
        <v>46103</v>
      </c>
      <c r="C924" s="3">
        <v>46192</v>
      </c>
      <c r="D924">
        <v>118</v>
      </c>
      <c r="E924">
        <v>10</v>
      </c>
      <c r="F924">
        <v>1</v>
      </c>
      <c r="G924" s="2">
        <v>11500</v>
      </c>
      <c r="H924" s="4">
        <v>0.05</v>
      </c>
      <c r="I924" s="2">
        <v>10925</v>
      </c>
      <c r="J924" t="s">
        <v>257</v>
      </c>
      <c r="K924" t="s">
        <v>254</v>
      </c>
      <c r="L924">
        <v>4</v>
      </c>
      <c r="M924" t="str">
        <f>_xlfn.XLOOKUP(E924,tPacotes[ID_Pacote],tPacotes[Pacote])</f>
        <v>Orlando Parques</v>
      </c>
      <c r="N924" t="str">
        <f>_xlfn.XLOOKUP(E924,tPacotes[ID_Pacote],tPacotes[Categoria])</f>
        <v>Parques</v>
      </c>
      <c r="O924" t="str">
        <f>_xlfn.XLOOKUP(D924,tClientes[ID_Cliente],tClientes[UF])</f>
        <v>SP</v>
      </c>
    </row>
    <row r="925" spans="1:15" x14ac:dyDescent="0.3">
      <c r="A925">
        <v>924</v>
      </c>
      <c r="B925" s="3">
        <v>46103</v>
      </c>
      <c r="C925" s="3">
        <v>46151</v>
      </c>
      <c r="D925">
        <v>184</v>
      </c>
      <c r="E925">
        <v>2</v>
      </c>
      <c r="F925">
        <v>2</v>
      </c>
      <c r="G925" s="2">
        <v>3600</v>
      </c>
      <c r="H925" s="4">
        <v>0</v>
      </c>
      <c r="I925" s="2">
        <v>3600</v>
      </c>
      <c r="J925" t="s">
        <v>255</v>
      </c>
      <c r="K925" t="s">
        <v>254</v>
      </c>
      <c r="L925">
        <v>4</v>
      </c>
      <c r="M925" t="str">
        <f>_xlfn.XLOOKUP(E925,tPacotes[ID_Pacote],tPacotes[Pacote])</f>
        <v>Rio Cidade Maravilhosa</v>
      </c>
      <c r="N925" t="str">
        <f>_xlfn.XLOOKUP(E925,tPacotes[ID_Pacote],tPacotes[Categoria])</f>
        <v>Cultural</v>
      </c>
      <c r="O925" t="str">
        <f>_xlfn.XLOOKUP(D925,tClientes[ID_Cliente],tClientes[UF])</f>
        <v>SP</v>
      </c>
    </row>
    <row r="926" spans="1:15" x14ac:dyDescent="0.3">
      <c r="A926">
        <v>925</v>
      </c>
      <c r="B926" s="3">
        <v>46104</v>
      </c>
      <c r="C926" s="3">
        <v>46115</v>
      </c>
      <c r="D926">
        <v>134</v>
      </c>
      <c r="E926">
        <v>9</v>
      </c>
      <c r="F926">
        <v>1</v>
      </c>
      <c r="G926" s="2">
        <v>8900</v>
      </c>
      <c r="H926" s="4">
        <v>0</v>
      </c>
      <c r="I926" s="2">
        <v>8900</v>
      </c>
      <c r="J926" t="s">
        <v>257</v>
      </c>
      <c r="K926" t="s">
        <v>258</v>
      </c>
      <c r="M926" t="str">
        <f>_xlfn.XLOOKUP(E926,tPacotes[ID_Pacote],tPacotes[Pacote])</f>
        <v>Cancún All Inclusive</v>
      </c>
      <c r="N926" t="str">
        <f>_xlfn.XLOOKUP(E926,tPacotes[ID_Pacote],tPacotes[Categoria])</f>
        <v>Praia</v>
      </c>
      <c r="O926" t="str">
        <f>_xlfn.XLOOKUP(D926,tClientes[ID_Cliente],tClientes[UF])</f>
        <v>MG</v>
      </c>
    </row>
    <row r="927" spans="1:15" x14ac:dyDescent="0.3">
      <c r="A927">
        <v>926</v>
      </c>
      <c r="B927" s="3">
        <v>46104</v>
      </c>
      <c r="C927" s="3">
        <v>46149</v>
      </c>
      <c r="D927">
        <v>126</v>
      </c>
      <c r="E927">
        <v>1</v>
      </c>
      <c r="F927">
        <v>1</v>
      </c>
      <c r="G927" s="2">
        <v>3200</v>
      </c>
      <c r="H927" s="4">
        <v>0</v>
      </c>
      <c r="I927" s="2">
        <v>3200</v>
      </c>
      <c r="J927" t="s">
        <v>256</v>
      </c>
      <c r="K927" t="s">
        <v>258</v>
      </c>
      <c r="M927" t="str">
        <f>_xlfn.XLOOKUP(E927,tPacotes[ID_Pacote],tPacotes[Pacote])</f>
        <v>Nordeste Encantado</v>
      </c>
      <c r="N927" t="str">
        <f>_xlfn.XLOOKUP(E927,tPacotes[ID_Pacote],tPacotes[Categoria])</f>
        <v>Praia</v>
      </c>
      <c r="O927" t="str">
        <f>_xlfn.XLOOKUP(D927,tClientes[ID_Cliente],tClientes[UF])</f>
        <v>MG</v>
      </c>
    </row>
    <row r="928" spans="1:15" x14ac:dyDescent="0.3">
      <c r="A928">
        <v>927</v>
      </c>
      <c r="B928" s="3">
        <v>46104</v>
      </c>
      <c r="C928" s="3">
        <v>46135</v>
      </c>
      <c r="D928">
        <v>87</v>
      </c>
      <c r="E928">
        <v>7</v>
      </c>
      <c r="F928">
        <v>2</v>
      </c>
      <c r="G928" s="2">
        <v>8400</v>
      </c>
      <c r="H928" s="4">
        <v>0</v>
      </c>
      <c r="I928" s="2">
        <v>8400</v>
      </c>
      <c r="J928" t="s">
        <v>255</v>
      </c>
      <c r="K928" t="s">
        <v>254</v>
      </c>
      <c r="L928">
        <v>2</v>
      </c>
      <c r="M928" t="str">
        <f>_xlfn.XLOOKUP(E928,tPacotes[ID_Pacote],tPacotes[Pacote])</f>
        <v>Buenos Aires Clássica</v>
      </c>
      <c r="N928" t="str">
        <f>_xlfn.XLOOKUP(E928,tPacotes[ID_Pacote],tPacotes[Categoria])</f>
        <v>Cultural</v>
      </c>
      <c r="O928" t="str">
        <f>_xlfn.XLOOKUP(D928,tClientes[ID_Cliente],tClientes[UF])</f>
        <v>SP</v>
      </c>
    </row>
    <row r="929" spans="1:15" x14ac:dyDescent="0.3">
      <c r="A929">
        <v>928</v>
      </c>
      <c r="B929" s="3">
        <v>46105</v>
      </c>
      <c r="C929" s="3">
        <v>46257</v>
      </c>
      <c r="D929">
        <v>38</v>
      </c>
      <c r="E929">
        <v>7</v>
      </c>
      <c r="F929">
        <v>1</v>
      </c>
      <c r="G929" s="2">
        <v>4200</v>
      </c>
      <c r="H929" s="4">
        <v>0.1</v>
      </c>
      <c r="I929" s="2">
        <v>3780</v>
      </c>
      <c r="J929" t="s">
        <v>253</v>
      </c>
      <c r="K929" t="s">
        <v>254</v>
      </c>
      <c r="L929">
        <v>3</v>
      </c>
      <c r="M929" t="str">
        <f>_xlfn.XLOOKUP(E929,tPacotes[ID_Pacote],tPacotes[Pacote])</f>
        <v>Buenos Aires Clássica</v>
      </c>
      <c r="N929" t="str">
        <f>_xlfn.XLOOKUP(E929,tPacotes[ID_Pacote],tPacotes[Categoria])</f>
        <v>Cultural</v>
      </c>
      <c r="O929" t="str">
        <f>_xlfn.XLOOKUP(D929,tClientes[ID_Cliente],tClientes[UF])</f>
        <v>SP</v>
      </c>
    </row>
    <row r="930" spans="1:15" x14ac:dyDescent="0.3">
      <c r="A930">
        <v>929</v>
      </c>
      <c r="B930" s="3">
        <v>46106</v>
      </c>
      <c r="C930" s="3">
        <v>46209</v>
      </c>
      <c r="D930">
        <v>28</v>
      </c>
      <c r="E930">
        <v>1</v>
      </c>
      <c r="F930">
        <v>4</v>
      </c>
      <c r="G930" s="2">
        <v>12800</v>
      </c>
      <c r="H930" s="4">
        <v>0</v>
      </c>
      <c r="I930" s="2">
        <v>12800</v>
      </c>
      <c r="J930" t="s">
        <v>253</v>
      </c>
      <c r="K930" t="s">
        <v>254</v>
      </c>
      <c r="L930">
        <v>4</v>
      </c>
      <c r="M930" t="str">
        <f>_xlfn.XLOOKUP(E930,tPacotes[ID_Pacote],tPacotes[Pacote])</f>
        <v>Nordeste Encantado</v>
      </c>
      <c r="N930" t="str">
        <f>_xlfn.XLOOKUP(E930,tPacotes[ID_Pacote],tPacotes[Categoria])</f>
        <v>Praia</v>
      </c>
      <c r="O930" t="str">
        <f>_xlfn.XLOOKUP(D930,tClientes[ID_Cliente],tClientes[UF])</f>
        <v>SP</v>
      </c>
    </row>
    <row r="931" spans="1:15" x14ac:dyDescent="0.3">
      <c r="A931">
        <v>930</v>
      </c>
      <c r="B931" s="3">
        <v>46107</v>
      </c>
      <c r="C931" s="3">
        <v>46165</v>
      </c>
      <c r="D931">
        <v>156</v>
      </c>
      <c r="E931">
        <v>2</v>
      </c>
      <c r="F931">
        <v>1</v>
      </c>
      <c r="G931" s="2">
        <v>1800</v>
      </c>
      <c r="H931" s="4">
        <v>0</v>
      </c>
      <c r="I931" s="2">
        <v>1800</v>
      </c>
      <c r="J931" t="s">
        <v>253</v>
      </c>
      <c r="K931" t="s">
        <v>254</v>
      </c>
      <c r="L931">
        <v>4</v>
      </c>
      <c r="M931" t="str">
        <f>_xlfn.XLOOKUP(E931,tPacotes[ID_Pacote],tPacotes[Pacote])</f>
        <v>Rio Cidade Maravilhosa</v>
      </c>
      <c r="N931" t="str">
        <f>_xlfn.XLOOKUP(E931,tPacotes[ID_Pacote],tPacotes[Categoria])</f>
        <v>Cultural</v>
      </c>
      <c r="O931" t="str">
        <f>_xlfn.XLOOKUP(D931,tClientes[ID_Cliente],tClientes[UF])</f>
        <v>SP</v>
      </c>
    </row>
    <row r="932" spans="1:15" x14ac:dyDescent="0.3">
      <c r="A932">
        <v>931</v>
      </c>
      <c r="B932" s="3">
        <v>46108</v>
      </c>
      <c r="C932" s="3">
        <v>46125</v>
      </c>
      <c r="D932">
        <v>177</v>
      </c>
      <c r="E932">
        <v>1</v>
      </c>
      <c r="F932">
        <v>2</v>
      </c>
      <c r="G932" s="2">
        <v>6400</v>
      </c>
      <c r="H932" s="4">
        <v>0</v>
      </c>
      <c r="I932" s="2">
        <v>6400</v>
      </c>
      <c r="J932" t="s">
        <v>255</v>
      </c>
      <c r="K932" t="s">
        <v>254</v>
      </c>
      <c r="L932">
        <v>4</v>
      </c>
      <c r="M932" t="str">
        <f>_xlfn.XLOOKUP(E932,tPacotes[ID_Pacote],tPacotes[Pacote])</f>
        <v>Nordeste Encantado</v>
      </c>
      <c r="N932" t="str">
        <f>_xlfn.XLOOKUP(E932,tPacotes[ID_Pacote],tPacotes[Categoria])</f>
        <v>Praia</v>
      </c>
      <c r="O932" t="str">
        <f>_xlfn.XLOOKUP(D932,tClientes[ID_Cliente],tClientes[UF])</f>
        <v>RJ</v>
      </c>
    </row>
    <row r="933" spans="1:15" x14ac:dyDescent="0.3">
      <c r="A933">
        <v>932</v>
      </c>
      <c r="B933" s="3">
        <v>46108</v>
      </c>
      <c r="C933" s="3">
        <v>46225</v>
      </c>
      <c r="D933">
        <v>147</v>
      </c>
      <c r="E933">
        <v>4</v>
      </c>
      <c r="F933">
        <v>4</v>
      </c>
      <c r="G933" s="2">
        <v>27600</v>
      </c>
      <c r="H933" s="4">
        <v>0.05</v>
      </c>
      <c r="I933" s="2">
        <v>26220</v>
      </c>
      <c r="J933" t="s">
        <v>253</v>
      </c>
      <c r="K933" t="s">
        <v>254</v>
      </c>
      <c r="L933">
        <v>5</v>
      </c>
      <c r="M933" t="str">
        <f>_xlfn.XLOOKUP(E933,tPacotes[ID_Pacote],tPacotes[Pacote])</f>
        <v>Fernando de Noronha</v>
      </c>
      <c r="N933" t="str">
        <f>_xlfn.XLOOKUP(E933,tPacotes[ID_Pacote],tPacotes[Categoria])</f>
        <v>Praia</v>
      </c>
      <c r="O933" t="str">
        <f>_xlfn.XLOOKUP(D933,tClientes[ID_Cliente],tClientes[UF])</f>
        <v>SP</v>
      </c>
    </row>
    <row r="934" spans="1:15" x14ac:dyDescent="0.3">
      <c r="A934">
        <v>933</v>
      </c>
      <c r="B934" s="3">
        <v>46108</v>
      </c>
      <c r="C934" s="3">
        <v>46113</v>
      </c>
      <c r="D934">
        <v>180</v>
      </c>
      <c r="E934">
        <v>1</v>
      </c>
      <c r="F934">
        <v>1</v>
      </c>
      <c r="G934" s="2">
        <v>3200</v>
      </c>
      <c r="H934" s="4">
        <v>0</v>
      </c>
      <c r="I934" s="2">
        <v>3200</v>
      </c>
      <c r="J934" t="s">
        <v>257</v>
      </c>
      <c r="K934" t="s">
        <v>254</v>
      </c>
      <c r="L934">
        <v>4</v>
      </c>
      <c r="M934" t="str">
        <f>_xlfn.XLOOKUP(E934,tPacotes[ID_Pacote],tPacotes[Pacote])</f>
        <v>Nordeste Encantado</v>
      </c>
      <c r="N934" t="str">
        <f>_xlfn.XLOOKUP(E934,tPacotes[ID_Pacote],tPacotes[Categoria])</f>
        <v>Praia</v>
      </c>
      <c r="O934" t="str">
        <f>_xlfn.XLOOKUP(D934,tClientes[ID_Cliente],tClientes[UF])</f>
        <v>PR</v>
      </c>
    </row>
    <row r="935" spans="1:15" x14ac:dyDescent="0.3">
      <c r="A935">
        <v>934</v>
      </c>
      <c r="B935" s="3">
        <v>46108</v>
      </c>
      <c r="C935" s="3">
        <v>46144</v>
      </c>
      <c r="D935">
        <v>141</v>
      </c>
      <c r="E935">
        <v>7</v>
      </c>
      <c r="F935">
        <v>2</v>
      </c>
      <c r="G935" s="2">
        <v>8400</v>
      </c>
      <c r="H935" s="4">
        <v>0.1</v>
      </c>
      <c r="I935" s="2">
        <v>7560</v>
      </c>
      <c r="J935" t="s">
        <v>253</v>
      </c>
      <c r="K935" t="s">
        <v>254</v>
      </c>
      <c r="L935">
        <v>4</v>
      </c>
      <c r="M935" t="str">
        <f>_xlfn.XLOOKUP(E935,tPacotes[ID_Pacote],tPacotes[Pacote])</f>
        <v>Buenos Aires Clássica</v>
      </c>
      <c r="N935" t="str">
        <f>_xlfn.XLOOKUP(E935,tPacotes[ID_Pacote],tPacotes[Categoria])</f>
        <v>Cultural</v>
      </c>
      <c r="O935" t="str">
        <f>_xlfn.XLOOKUP(D935,tClientes[ID_Cliente],tClientes[UF])</f>
        <v>DF</v>
      </c>
    </row>
    <row r="936" spans="1:15" x14ac:dyDescent="0.3">
      <c r="A936">
        <v>935</v>
      </c>
      <c r="B936" s="3">
        <v>46108</v>
      </c>
      <c r="C936" s="3">
        <v>46205</v>
      </c>
      <c r="D936">
        <v>174</v>
      </c>
      <c r="E936">
        <v>7</v>
      </c>
      <c r="F936">
        <v>1</v>
      </c>
      <c r="G936" s="2">
        <v>4200</v>
      </c>
      <c r="H936" s="4">
        <v>0</v>
      </c>
      <c r="I936" s="2">
        <v>4200</v>
      </c>
      <c r="J936" t="s">
        <v>253</v>
      </c>
      <c r="K936" t="s">
        <v>254</v>
      </c>
      <c r="L936">
        <v>4</v>
      </c>
      <c r="M936" t="str">
        <f>_xlfn.XLOOKUP(E936,tPacotes[ID_Pacote],tPacotes[Pacote])</f>
        <v>Buenos Aires Clássica</v>
      </c>
      <c r="N936" t="str">
        <f>_xlfn.XLOOKUP(E936,tPacotes[ID_Pacote],tPacotes[Categoria])</f>
        <v>Cultural</v>
      </c>
      <c r="O936" t="str">
        <f>_xlfn.XLOOKUP(D936,tClientes[ID_Cliente],tClientes[UF])</f>
        <v>SP</v>
      </c>
    </row>
    <row r="937" spans="1:15" x14ac:dyDescent="0.3">
      <c r="A937">
        <v>936</v>
      </c>
      <c r="B937" s="3">
        <v>46108</v>
      </c>
      <c r="C937" s="3">
        <v>46216</v>
      </c>
      <c r="D937">
        <v>160</v>
      </c>
      <c r="E937">
        <v>6</v>
      </c>
      <c r="F937">
        <v>3</v>
      </c>
      <c r="G937" s="2">
        <v>6300</v>
      </c>
      <c r="H937" s="4">
        <v>0.1</v>
      </c>
      <c r="I937" s="2">
        <v>5670</v>
      </c>
      <c r="J937" t="s">
        <v>257</v>
      </c>
      <c r="K937" t="s">
        <v>254</v>
      </c>
      <c r="L937">
        <v>4</v>
      </c>
      <c r="M937" t="str">
        <f>_xlfn.XLOOKUP(E937,tPacotes[ID_Pacote],tPacotes[Pacote])</f>
        <v>Foz do Iguaçu</v>
      </c>
      <c r="N937" t="str">
        <f>_xlfn.XLOOKUP(E937,tPacotes[ID_Pacote],tPacotes[Categoria])</f>
        <v>Natureza</v>
      </c>
      <c r="O937" t="str">
        <f>_xlfn.XLOOKUP(D937,tClientes[ID_Cliente],tClientes[UF])</f>
        <v>RJ</v>
      </c>
    </row>
    <row r="938" spans="1:15" x14ac:dyDescent="0.3">
      <c r="A938">
        <v>937</v>
      </c>
      <c r="B938" s="3">
        <v>46110</v>
      </c>
      <c r="C938" s="3">
        <v>46198</v>
      </c>
      <c r="D938">
        <v>138</v>
      </c>
      <c r="E938">
        <v>5</v>
      </c>
      <c r="F938">
        <v>2</v>
      </c>
      <c r="G938" s="2">
        <v>6800</v>
      </c>
      <c r="H938" s="4">
        <v>0.1</v>
      </c>
      <c r="I938" s="2">
        <v>6120</v>
      </c>
      <c r="J938" t="s">
        <v>253</v>
      </c>
      <c r="K938" t="s">
        <v>254</v>
      </c>
      <c r="L938">
        <v>4</v>
      </c>
      <c r="M938" t="str">
        <f>_xlfn.XLOOKUP(E938,tPacotes[ID_Pacote],tPacotes[Pacote])</f>
        <v>Bonito Aventura</v>
      </c>
      <c r="N938" t="str">
        <f>_xlfn.XLOOKUP(E938,tPacotes[ID_Pacote],tPacotes[Categoria])</f>
        <v>Aventura</v>
      </c>
      <c r="O938" t="str">
        <f>_xlfn.XLOOKUP(D938,tClientes[ID_Cliente],tClientes[UF])</f>
        <v>SP</v>
      </c>
    </row>
    <row r="939" spans="1:15" x14ac:dyDescent="0.3">
      <c r="A939">
        <v>938</v>
      </c>
      <c r="B939" s="3">
        <v>46110</v>
      </c>
      <c r="C939" s="3">
        <v>46113</v>
      </c>
      <c r="D939">
        <v>27</v>
      </c>
      <c r="E939">
        <v>3</v>
      </c>
      <c r="F939">
        <v>2</v>
      </c>
      <c r="G939" s="2">
        <v>5200</v>
      </c>
      <c r="H939" s="4">
        <v>0</v>
      </c>
      <c r="I939" s="2">
        <v>5200</v>
      </c>
      <c r="J939" t="s">
        <v>253</v>
      </c>
      <c r="K939" t="s">
        <v>254</v>
      </c>
      <c r="L939">
        <v>5</v>
      </c>
      <c r="M939" t="str">
        <f>_xlfn.XLOOKUP(E939,tPacotes[ID_Pacote],tPacotes[Pacote])</f>
        <v>Serra Gaúcha</v>
      </c>
      <c r="N939" t="str">
        <f>_xlfn.XLOOKUP(E939,tPacotes[ID_Pacote],tPacotes[Categoria])</f>
        <v>Inverno</v>
      </c>
      <c r="O939" t="str">
        <f>_xlfn.XLOOKUP(D939,tClientes[ID_Cliente],tClientes[UF])</f>
        <v>PR</v>
      </c>
    </row>
    <row r="940" spans="1:15" x14ac:dyDescent="0.3">
      <c r="A940">
        <v>939</v>
      </c>
      <c r="B940" s="3">
        <v>46110</v>
      </c>
      <c r="C940" s="3">
        <v>46118</v>
      </c>
      <c r="D940">
        <v>40</v>
      </c>
      <c r="E940">
        <v>2</v>
      </c>
      <c r="F940">
        <v>4</v>
      </c>
      <c r="G940" s="2">
        <v>7200</v>
      </c>
      <c r="H940" s="4">
        <v>0</v>
      </c>
      <c r="I940" s="2">
        <v>7200</v>
      </c>
      <c r="J940" t="s">
        <v>257</v>
      </c>
      <c r="K940" t="s">
        <v>254</v>
      </c>
      <c r="L940">
        <v>5</v>
      </c>
      <c r="M940" t="str">
        <f>_xlfn.XLOOKUP(E940,tPacotes[ID_Pacote],tPacotes[Pacote])</f>
        <v>Rio Cidade Maravilhosa</v>
      </c>
      <c r="N940" t="str">
        <f>_xlfn.XLOOKUP(E940,tPacotes[ID_Pacote],tPacotes[Categoria])</f>
        <v>Cultural</v>
      </c>
      <c r="O940" t="str">
        <f>_xlfn.XLOOKUP(D940,tClientes[ID_Cliente],tClientes[UF])</f>
        <v>RJ</v>
      </c>
    </row>
    <row r="941" spans="1:15" x14ac:dyDescent="0.3">
      <c r="A941">
        <v>940</v>
      </c>
      <c r="B941" s="3">
        <v>46111</v>
      </c>
      <c r="C941" s="3">
        <v>46227</v>
      </c>
      <c r="D941">
        <v>11</v>
      </c>
      <c r="E941">
        <v>5</v>
      </c>
      <c r="F941">
        <v>2</v>
      </c>
      <c r="G941" s="2">
        <v>6800</v>
      </c>
      <c r="H941" s="4">
        <v>0</v>
      </c>
      <c r="I941" s="2">
        <v>6800</v>
      </c>
      <c r="J941" t="s">
        <v>253</v>
      </c>
      <c r="K941" t="s">
        <v>254</v>
      </c>
      <c r="L941">
        <v>3</v>
      </c>
      <c r="M941" t="str">
        <f>_xlfn.XLOOKUP(E941,tPacotes[ID_Pacote],tPacotes[Pacote])</f>
        <v>Bonito Aventura</v>
      </c>
      <c r="N941" t="str">
        <f>_xlfn.XLOOKUP(E941,tPacotes[ID_Pacote],tPacotes[Categoria])</f>
        <v>Aventura</v>
      </c>
      <c r="O941" t="str">
        <f>_xlfn.XLOOKUP(D941,tClientes[ID_Cliente],tClientes[UF])</f>
        <v>RJ</v>
      </c>
    </row>
    <row r="942" spans="1:15" x14ac:dyDescent="0.3">
      <c r="A942">
        <v>941</v>
      </c>
      <c r="B942" s="3">
        <v>46111</v>
      </c>
      <c r="C942" s="3">
        <v>46150</v>
      </c>
      <c r="D942">
        <v>160</v>
      </c>
      <c r="E942">
        <v>12</v>
      </c>
      <c r="F942">
        <v>2</v>
      </c>
      <c r="G942" s="2">
        <v>24800</v>
      </c>
      <c r="H942" s="4">
        <v>0</v>
      </c>
      <c r="I942" s="2">
        <v>24800</v>
      </c>
      <c r="J942" t="s">
        <v>255</v>
      </c>
      <c r="K942" t="s">
        <v>254</v>
      </c>
      <c r="L942">
        <v>4</v>
      </c>
      <c r="M942" t="str">
        <f>_xlfn.XLOOKUP(E942,tPacotes[ID_Pacote],tPacotes[Pacote])</f>
        <v>Lisboa e Porto</v>
      </c>
      <c r="N942" t="str">
        <f>_xlfn.XLOOKUP(E942,tPacotes[ID_Pacote],tPacotes[Categoria])</f>
        <v>Cultural</v>
      </c>
      <c r="O942" t="str">
        <f>_xlfn.XLOOKUP(D942,tClientes[ID_Cliente],tClientes[UF])</f>
        <v>RJ</v>
      </c>
    </row>
    <row r="943" spans="1:15" x14ac:dyDescent="0.3">
      <c r="A943">
        <v>942</v>
      </c>
      <c r="B943" s="3">
        <v>46112</v>
      </c>
      <c r="C943" s="3">
        <v>46164</v>
      </c>
      <c r="D943">
        <v>88</v>
      </c>
      <c r="E943">
        <v>1</v>
      </c>
      <c r="F943">
        <v>4</v>
      </c>
      <c r="G943" s="2">
        <v>12800</v>
      </c>
      <c r="H943" s="4">
        <v>0</v>
      </c>
      <c r="I943" s="2">
        <v>12800</v>
      </c>
      <c r="J943" t="s">
        <v>255</v>
      </c>
      <c r="K943" t="s">
        <v>254</v>
      </c>
      <c r="L943">
        <v>5</v>
      </c>
      <c r="M943" t="str">
        <f>_xlfn.XLOOKUP(E943,tPacotes[ID_Pacote],tPacotes[Pacote])</f>
        <v>Nordeste Encantado</v>
      </c>
      <c r="N943" t="str">
        <f>_xlfn.XLOOKUP(E943,tPacotes[ID_Pacote],tPacotes[Categoria])</f>
        <v>Praia</v>
      </c>
      <c r="O943" t="str">
        <f>_xlfn.XLOOKUP(D943,tClientes[ID_Cliente],tClientes[UF])</f>
        <v>RJ</v>
      </c>
    </row>
    <row r="944" spans="1:15" x14ac:dyDescent="0.3">
      <c r="A944">
        <v>943</v>
      </c>
      <c r="B944" s="3">
        <v>46112</v>
      </c>
      <c r="C944" s="3">
        <v>46157</v>
      </c>
      <c r="D944">
        <v>112</v>
      </c>
      <c r="E944">
        <v>5</v>
      </c>
      <c r="F944">
        <v>2</v>
      </c>
      <c r="G944" s="2">
        <v>6800</v>
      </c>
      <c r="H944" s="4">
        <v>0</v>
      </c>
      <c r="I944" s="2">
        <v>6800</v>
      </c>
      <c r="J944" t="s">
        <v>255</v>
      </c>
      <c r="K944" t="s">
        <v>254</v>
      </c>
      <c r="L944">
        <v>4</v>
      </c>
      <c r="M944" t="str">
        <f>_xlfn.XLOOKUP(E944,tPacotes[ID_Pacote],tPacotes[Pacote])</f>
        <v>Bonito Aventura</v>
      </c>
      <c r="N944" t="str">
        <f>_xlfn.XLOOKUP(E944,tPacotes[ID_Pacote],tPacotes[Categoria])</f>
        <v>Aventura</v>
      </c>
      <c r="O944" t="str">
        <f>_xlfn.XLOOKUP(D944,tClientes[ID_Cliente],tClientes[UF])</f>
        <v>SP</v>
      </c>
    </row>
    <row r="945" spans="1:15" x14ac:dyDescent="0.3">
      <c r="A945">
        <v>944</v>
      </c>
      <c r="B945" s="3">
        <v>46112</v>
      </c>
      <c r="C945" s="3">
        <v>46221</v>
      </c>
      <c r="D945">
        <v>40</v>
      </c>
      <c r="E945">
        <v>3</v>
      </c>
      <c r="F945">
        <v>3</v>
      </c>
      <c r="G945" s="2">
        <v>7800</v>
      </c>
      <c r="H945" s="4">
        <v>0.15</v>
      </c>
      <c r="I945" s="2">
        <v>6630</v>
      </c>
      <c r="J945" t="s">
        <v>257</v>
      </c>
      <c r="K945" t="s">
        <v>254</v>
      </c>
      <c r="L945">
        <v>5</v>
      </c>
      <c r="M945" t="str">
        <f>_xlfn.XLOOKUP(E945,tPacotes[ID_Pacote],tPacotes[Pacote])</f>
        <v>Serra Gaúcha</v>
      </c>
      <c r="N945" t="str">
        <f>_xlfn.XLOOKUP(E945,tPacotes[ID_Pacote],tPacotes[Categoria])</f>
        <v>Inverno</v>
      </c>
      <c r="O945" t="str">
        <f>_xlfn.XLOOKUP(D945,tClientes[ID_Cliente],tClientes[UF])</f>
        <v>RJ</v>
      </c>
    </row>
    <row r="946" spans="1:15" x14ac:dyDescent="0.3">
      <c r="A946">
        <v>945</v>
      </c>
      <c r="B946" s="3">
        <v>46113</v>
      </c>
      <c r="C946" s="3">
        <v>46229</v>
      </c>
      <c r="D946">
        <v>53</v>
      </c>
      <c r="E946">
        <v>2</v>
      </c>
      <c r="F946">
        <v>1</v>
      </c>
      <c r="G946" s="2">
        <v>1800</v>
      </c>
      <c r="H946" s="4">
        <v>0.1</v>
      </c>
      <c r="I946" s="2">
        <v>1620</v>
      </c>
      <c r="J946" t="s">
        <v>256</v>
      </c>
      <c r="K946" t="s">
        <v>254</v>
      </c>
      <c r="L946">
        <v>1</v>
      </c>
      <c r="M946" t="str">
        <f>_xlfn.XLOOKUP(E946,tPacotes[ID_Pacote],tPacotes[Pacote])</f>
        <v>Rio Cidade Maravilhosa</v>
      </c>
      <c r="N946" t="str">
        <f>_xlfn.XLOOKUP(E946,tPacotes[ID_Pacote],tPacotes[Categoria])</f>
        <v>Cultural</v>
      </c>
      <c r="O946" t="str">
        <f>_xlfn.XLOOKUP(D946,tClientes[ID_Cliente],tClientes[UF])</f>
        <v>RJ</v>
      </c>
    </row>
    <row r="947" spans="1:15" x14ac:dyDescent="0.3">
      <c r="A947">
        <v>946</v>
      </c>
      <c r="B947" s="3">
        <v>46113</v>
      </c>
      <c r="C947" s="3">
        <v>46130</v>
      </c>
      <c r="D947">
        <v>25</v>
      </c>
      <c r="E947">
        <v>15</v>
      </c>
      <c r="F947">
        <v>1</v>
      </c>
      <c r="G947" s="2">
        <v>3100</v>
      </c>
      <c r="H947" s="4">
        <v>0</v>
      </c>
      <c r="I947" s="2">
        <v>3100</v>
      </c>
      <c r="J947" t="s">
        <v>255</v>
      </c>
      <c r="K947" t="s">
        <v>254</v>
      </c>
      <c r="L947">
        <v>5</v>
      </c>
      <c r="M947" t="str">
        <f>_xlfn.XLOOKUP(E947,tPacotes[ID_Pacote],tPacotes[Pacote])</f>
        <v>Jericoacoara</v>
      </c>
      <c r="N947" t="str">
        <f>_xlfn.XLOOKUP(E947,tPacotes[ID_Pacote],tPacotes[Categoria])</f>
        <v>Praia</v>
      </c>
      <c r="O947" t="str">
        <f>_xlfn.XLOOKUP(D947,tClientes[ID_Cliente],tClientes[UF])</f>
        <v>PE</v>
      </c>
    </row>
    <row r="948" spans="1:15" x14ac:dyDescent="0.3">
      <c r="A948">
        <v>947</v>
      </c>
      <c r="B948" s="3">
        <v>46113</v>
      </c>
      <c r="C948" s="3">
        <v>46160</v>
      </c>
      <c r="D948">
        <v>189</v>
      </c>
      <c r="E948">
        <v>3</v>
      </c>
      <c r="F948">
        <v>2</v>
      </c>
      <c r="G948" s="2">
        <v>5200</v>
      </c>
      <c r="H948" s="4">
        <v>0.1</v>
      </c>
      <c r="I948" s="2">
        <v>4680</v>
      </c>
      <c r="J948" t="s">
        <v>257</v>
      </c>
      <c r="K948" t="s">
        <v>254</v>
      </c>
      <c r="L948">
        <v>5</v>
      </c>
      <c r="M948" t="str">
        <f>_xlfn.XLOOKUP(E948,tPacotes[ID_Pacote],tPacotes[Pacote])</f>
        <v>Serra Gaúcha</v>
      </c>
      <c r="N948" t="str">
        <f>_xlfn.XLOOKUP(E948,tPacotes[ID_Pacote],tPacotes[Categoria])</f>
        <v>Inverno</v>
      </c>
      <c r="O948" t="str">
        <f>_xlfn.XLOOKUP(D948,tClientes[ID_Cliente],tClientes[UF])</f>
        <v>SP</v>
      </c>
    </row>
    <row r="949" spans="1:15" x14ac:dyDescent="0.3">
      <c r="A949">
        <v>948</v>
      </c>
      <c r="B949" s="3">
        <v>46114</v>
      </c>
      <c r="C949" s="3">
        <v>46137</v>
      </c>
      <c r="D949">
        <v>153</v>
      </c>
      <c r="E949">
        <v>7</v>
      </c>
      <c r="F949">
        <v>1</v>
      </c>
      <c r="G949" s="2">
        <v>4200</v>
      </c>
      <c r="H949" s="4">
        <v>0.05</v>
      </c>
      <c r="I949" s="2">
        <v>3990</v>
      </c>
      <c r="J949" t="s">
        <v>253</v>
      </c>
      <c r="K949" t="s">
        <v>254</v>
      </c>
      <c r="L949">
        <v>4</v>
      </c>
      <c r="M949" t="str">
        <f>_xlfn.XLOOKUP(E949,tPacotes[ID_Pacote],tPacotes[Pacote])</f>
        <v>Buenos Aires Clássica</v>
      </c>
      <c r="N949" t="str">
        <f>_xlfn.XLOOKUP(E949,tPacotes[ID_Pacote],tPacotes[Categoria])</f>
        <v>Cultural</v>
      </c>
      <c r="O949" t="str">
        <f>_xlfn.XLOOKUP(D949,tClientes[ID_Cliente],tClientes[UF])</f>
        <v>SP</v>
      </c>
    </row>
    <row r="950" spans="1:15" x14ac:dyDescent="0.3">
      <c r="A950">
        <v>949</v>
      </c>
      <c r="B950" s="3">
        <v>46114</v>
      </c>
      <c r="C950" s="3">
        <v>46138</v>
      </c>
      <c r="D950">
        <v>12</v>
      </c>
      <c r="E950">
        <v>6</v>
      </c>
      <c r="F950">
        <v>1</v>
      </c>
      <c r="G950" s="2">
        <v>2100</v>
      </c>
      <c r="H950" s="4">
        <v>0</v>
      </c>
      <c r="I950" s="2">
        <v>2100</v>
      </c>
      <c r="J950" t="s">
        <v>257</v>
      </c>
      <c r="K950" t="s">
        <v>254</v>
      </c>
      <c r="L950">
        <v>4</v>
      </c>
      <c r="M950" t="str">
        <f>_xlfn.XLOOKUP(E950,tPacotes[ID_Pacote],tPacotes[Pacote])</f>
        <v>Foz do Iguaçu</v>
      </c>
      <c r="N950" t="str">
        <f>_xlfn.XLOOKUP(E950,tPacotes[ID_Pacote],tPacotes[Categoria])</f>
        <v>Natureza</v>
      </c>
      <c r="O950" t="str">
        <f>_xlfn.XLOOKUP(D950,tClientes[ID_Cliente],tClientes[UF])</f>
        <v>RJ</v>
      </c>
    </row>
    <row r="951" spans="1:15" x14ac:dyDescent="0.3">
      <c r="A951">
        <v>950</v>
      </c>
      <c r="B951" s="3">
        <v>46114</v>
      </c>
      <c r="C951" s="3">
        <v>46122</v>
      </c>
      <c r="D951">
        <v>191</v>
      </c>
      <c r="E951">
        <v>3</v>
      </c>
      <c r="F951">
        <v>2</v>
      </c>
      <c r="G951" s="2">
        <v>5200</v>
      </c>
      <c r="H951" s="4">
        <v>0.05</v>
      </c>
      <c r="I951" s="2">
        <v>4940</v>
      </c>
      <c r="J951" t="s">
        <v>253</v>
      </c>
      <c r="K951" t="s">
        <v>254</v>
      </c>
      <c r="L951">
        <v>4</v>
      </c>
      <c r="M951" t="str">
        <f>_xlfn.XLOOKUP(E951,tPacotes[ID_Pacote],tPacotes[Pacote])</f>
        <v>Serra Gaúcha</v>
      </c>
      <c r="N951" t="str">
        <f>_xlfn.XLOOKUP(E951,tPacotes[ID_Pacote],tPacotes[Categoria])</f>
        <v>Inverno</v>
      </c>
      <c r="O951" t="str">
        <f>_xlfn.XLOOKUP(D951,tClientes[ID_Cliente],tClientes[UF])</f>
        <v>SP</v>
      </c>
    </row>
    <row r="952" spans="1:15" x14ac:dyDescent="0.3">
      <c r="A952">
        <v>951</v>
      </c>
      <c r="B952" s="3">
        <v>46115</v>
      </c>
      <c r="C952" s="3">
        <v>46122</v>
      </c>
      <c r="D952">
        <v>156</v>
      </c>
      <c r="E952">
        <v>10</v>
      </c>
      <c r="F952">
        <v>1</v>
      </c>
      <c r="G952" s="2">
        <v>11500</v>
      </c>
      <c r="H952" s="4">
        <v>0</v>
      </c>
      <c r="I952" s="2">
        <v>11500</v>
      </c>
      <c r="J952" t="s">
        <v>253</v>
      </c>
      <c r="K952" t="s">
        <v>254</v>
      </c>
      <c r="L952">
        <v>4</v>
      </c>
      <c r="M952" t="str">
        <f>_xlfn.XLOOKUP(E952,tPacotes[ID_Pacote],tPacotes[Pacote])</f>
        <v>Orlando Parques</v>
      </c>
      <c r="N952" t="str">
        <f>_xlfn.XLOOKUP(E952,tPacotes[ID_Pacote],tPacotes[Categoria])</f>
        <v>Parques</v>
      </c>
      <c r="O952" t="str">
        <f>_xlfn.XLOOKUP(D952,tClientes[ID_Cliente],tClientes[UF])</f>
        <v>SP</v>
      </c>
    </row>
    <row r="953" spans="1:15" x14ac:dyDescent="0.3">
      <c r="A953">
        <v>952</v>
      </c>
      <c r="B953" s="3">
        <v>46116</v>
      </c>
      <c r="C953" s="3">
        <v>46130</v>
      </c>
      <c r="D953">
        <v>96</v>
      </c>
      <c r="E953">
        <v>10</v>
      </c>
      <c r="F953">
        <v>2</v>
      </c>
      <c r="G953" s="2">
        <v>23000</v>
      </c>
      <c r="H953" s="4">
        <v>0.1</v>
      </c>
      <c r="I953" s="2">
        <v>20700</v>
      </c>
      <c r="J953" t="s">
        <v>255</v>
      </c>
      <c r="K953" t="s">
        <v>254</v>
      </c>
      <c r="L953">
        <v>4</v>
      </c>
      <c r="M953" t="str">
        <f>_xlfn.XLOOKUP(E953,tPacotes[ID_Pacote],tPacotes[Pacote])</f>
        <v>Orlando Parques</v>
      </c>
      <c r="N953" t="str">
        <f>_xlfn.XLOOKUP(E953,tPacotes[ID_Pacote],tPacotes[Categoria])</f>
        <v>Parques</v>
      </c>
      <c r="O953" t="str">
        <f>_xlfn.XLOOKUP(D953,tClientes[ID_Cliente],tClientes[UF])</f>
        <v>MG</v>
      </c>
    </row>
    <row r="954" spans="1:15" x14ac:dyDescent="0.3">
      <c r="A954">
        <v>953</v>
      </c>
      <c r="B954" s="3">
        <v>46116</v>
      </c>
      <c r="C954" s="3">
        <v>46140</v>
      </c>
      <c r="D954">
        <v>65</v>
      </c>
      <c r="E954">
        <v>1</v>
      </c>
      <c r="F954">
        <v>2</v>
      </c>
      <c r="G954" s="2">
        <v>6400</v>
      </c>
      <c r="H954" s="4">
        <v>0.05</v>
      </c>
      <c r="I954" s="2">
        <v>6080</v>
      </c>
      <c r="J954" t="s">
        <v>253</v>
      </c>
      <c r="K954" t="s">
        <v>254</v>
      </c>
      <c r="L954">
        <v>4</v>
      </c>
      <c r="M954" t="str">
        <f>_xlfn.XLOOKUP(E954,tPacotes[ID_Pacote],tPacotes[Pacote])</f>
        <v>Nordeste Encantado</v>
      </c>
      <c r="N954" t="str">
        <f>_xlfn.XLOOKUP(E954,tPacotes[ID_Pacote],tPacotes[Categoria])</f>
        <v>Praia</v>
      </c>
      <c r="O954" t="str">
        <f>_xlfn.XLOOKUP(D954,tClientes[ID_Cliente],tClientes[UF])</f>
        <v>SP</v>
      </c>
    </row>
    <row r="955" spans="1:15" x14ac:dyDescent="0.3">
      <c r="A955">
        <v>954</v>
      </c>
      <c r="B955" s="3">
        <v>46116</v>
      </c>
      <c r="C955" s="3">
        <v>46124</v>
      </c>
      <c r="D955">
        <v>150</v>
      </c>
      <c r="E955">
        <v>10</v>
      </c>
      <c r="F955">
        <v>1</v>
      </c>
      <c r="G955" s="2">
        <v>11500</v>
      </c>
      <c r="H955" s="4">
        <v>0</v>
      </c>
      <c r="I955" s="2">
        <v>11500</v>
      </c>
      <c r="J955" t="s">
        <v>256</v>
      </c>
      <c r="K955" t="s">
        <v>254</v>
      </c>
      <c r="L955">
        <v>5</v>
      </c>
      <c r="M955" t="str">
        <f>_xlfn.XLOOKUP(E955,tPacotes[ID_Pacote],tPacotes[Pacote])</f>
        <v>Orlando Parques</v>
      </c>
      <c r="N955" t="str">
        <f>_xlfn.XLOOKUP(E955,tPacotes[ID_Pacote],tPacotes[Categoria])</f>
        <v>Parques</v>
      </c>
      <c r="O955" t="str">
        <f>_xlfn.XLOOKUP(D955,tClientes[ID_Cliente],tClientes[UF])</f>
        <v>SP</v>
      </c>
    </row>
    <row r="956" spans="1:15" x14ac:dyDescent="0.3">
      <c r="A956">
        <v>955</v>
      </c>
      <c r="B956" s="3">
        <v>46117</v>
      </c>
      <c r="C956" s="3">
        <v>46284</v>
      </c>
      <c r="D956">
        <v>25</v>
      </c>
      <c r="E956">
        <v>9</v>
      </c>
      <c r="F956">
        <v>2</v>
      </c>
      <c r="G956" s="2">
        <v>17800</v>
      </c>
      <c r="H956" s="4">
        <v>0</v>
      </c>
      <c r="I956" s="2">
        <v>17800</v>
      </c>
      <c r="J956" t="s">
        <v>253</v>
      </c>
      <c r="K956" t="s">
        <v>254</v>
      </c>
      <c r="L956">
        <v>3</v>
      </c>
      <c r="M956" t="str">
        <f>_xlfn.XLOOKUP(E956,tPacotes[ID_Pacote],tPacotes[Pacote])</f>
        <v>Cancún All Inclusive</v>
      </c>
      <c r="N956" t="str">
        <f>_xlfn.XLOOKUP(E956,tPacotes[ID_Pacote],tPacotes[Categoria])</f>
        <v>Praia</v>
      </c>
      <c r="O956" t="str">
        <f>_xlfn.XLOOKUP(D956,tClientes[ID_Cliente],tClientes[UF])</f>
        <v>PE</v>
      </c>
    </row>
    <row r="957" spans="1:15" x14ac:dyDescent="0.3">
      <c r="A957">
        <v>956</v>
      </c>
      <c r="B957" s="3">
        <v>46117</v>
      </c>
      <c r="C957" s="3">
        <v>46132</v>
      </c>
      <c r="D957">
        <v>119</v>
      </c>
      <c r="E957">
        <v>6</v>
      </c>
      <c r="F957">
        <v>2</v>
      </c>
      <c r="G957" s="2">
        <v>4200</v>
      </c>
      <c r="H957" s="4">
        <v>0</v>
      </c>
      <c r="I957" s="2">
        <v>4200</v>
      </c>
      <c r="J957" t="s">
        <v>253</v>
      </c>
      <c r="K957" t="s">
        <v>254</v>
      </c>
      <c r="L957">
        <v>5</v>
      </c>
      <c r="M957" t="str">
        <f>_xlfn.XLOOKUP(E957,tPacotes[ID_Pacote],tPacotes[Pacote])</f>
        <v>Foz do Iguaçu</v>
      </c>
      <c r="N957" t="str">
        <f>_xlfn.XLOOKUP(E957,tPacotes[ID_Pacote],tPacotes[Categoria])</f>
        <v>Natureza</v>
      </c>
      <c r="O957" t="str">
        <f>_xlfn.XLOOKUP(D957,tClientes[ID_Cliente],tClientes[UF])</f>
        <v>SP</v>
      </c>
    </row>
    <row r="958" spans="1:15" x14ac:dyDescent="0.3">
      <c r="A958">
        <v>957</v>
      </c>
      <c r="B958" s="3">
        <v>46118</v>
      </c>
      <c r="C958" s="3">
        <v>46138</v>
      </c>
      <c r="D958">
        <v>171</v>
      </c>
      <c r="E958">
        <v>5</v>
      </c>
      <c r="F958">
        <v>4</v>
      </c>
      <c r="G958" s="2">
        <v>13600</v>
      </c>
      <c r="H958" s="4">
        <v>0</v>
      </c>
      <c r="I958" s="2">
        <v>13600</v>
      </c>
      <c r="J958" t="s">
        <v>255</v>
      </c>
      <c r="K958" t="s">
        <v>258</v>
      </c>
      <c r="M958" t="str">
        <f>_xlfn.XLOOKUP(E958,tPacotes[ID_Pacote],tPacotes[Pacote])</f>
        <v>Bonito Aventura</v>
      </c>
      <c r="N958" t="str">
        <f>_xlfn.XLOOKUP(E958,tPacotes[ID_Pacote],tPacotes[Categoria])</f>
        <v>Aventura</v>
      </c>
      <c r="O958" t="str">
        <f>_xlfn.XLOOKUP(D958,tClientes[ID_Cliente],tClientes[UF])</f>
        <v>SP</v>
      </c>
    </row>
    <row r="959" spans="1:15" x14ac:dyDescent="0.3">
      <c r="A959">
        <v>958</v>
      </c>
      <c r="B959" s="3">
        <v>46119</v>
      </c>
      <c r="C959" s="3">
        <v>46150</v>
      </c>
      <c r="D959">
        <v>190</v>
      </c>
      <c r="E959">
        <v>9</v>
      </c>
      <c r="F959">
        <v>3</v>
      </c>
      <c r="G959" s="2">
        <v>26700</v>
      </c>
      <c r="H959" s="4">
        <v>0</v>
      </c>
      <c r="I959" s="2">
        <v>26700</v>
      </c>
      <c r="J959" t="s">
        <v>253</v>
      </c>
      <c r="K959" t="s">
        <v>254</v>
      </c>
      <c r="L959">
        <v>5</v>
      </c>
      <c r="M959" t="str">
        <f>_xlfn.XLOOKUP(E959,tPacotes[ID_Pacote],tPacotes[Pacote])</f>
        <v>Cancún All Inclusive</v>
      </c>
      <c r="N959" t="str">
        <f>_xlfn.XLOOKUP(E959,tPacotes[ID_Pacote],tPacotes[Categoria])</f>
        <v>Praia</v>
      </c>
      <c r="O959" t="str">
        <f>_xlfn.XLOOKUP(D959,tClientes[ID_Cliente],tClientes[UF])</f>
        <v>SP</v>
      </c>
    </row>
    <row r="960" spans="1:15" x14ac:dyDescent="0.3">
      <c r="A960">
        <v>959</v>
      </c>
      <c r="B960" s="3">
        <v>46119</v>
      </c>
      <c r="C960" s="3">
        <v>46129</v>
      </c>
      <c r="D960">
        <v>20</v>
      </c>
      <c r="E960">
        <v>2</v>
      </c>
      <c r="F960">
        <v>1</v>
      </c>
      <c r="G960" s="2">
        <v>1800</v>
      </c>
      <c r="H960" s="4">
        <v>0</v>
      </c>
      <c r="I960" s="2">
        <v>1800</v>
      </c>
      <c r="J960" t="s">
        <v>257</v>
      </c>
      <c r="K960" t="s">
        <v>254</v>
      </c>
      <c r="L960">
        <v>5</v>
      </c>
      <c r="M960" t="str">
        <f>_xlfn.XLOOKUP(E960,tPacotes[ID_Pacote],tPacotes[Pacote])</f>
        <v>Rio Cidade Maravilhosa</v>
      </c>
      <c r="N960" t="str">
        <f>_xlfn.XLOOKUP(E960,tPacotes[ID_Pacote],tPacotes[Categoria])</f>
        <v>Cultural</v>
      </c>
      <c r="O960" t="str">
        <f>_xlfn.XLOOKUP(D960,tClientes[ID_Cliente],tClientes[UF])</f>
        <v>PR</v>
      </c>
    </row>
    <row r="961" spans="1:15" x14ac:dyDescent="0.3">
      <c r="A961">
        <v>960</v>
      </c>
      <c r="B961" s="3">
        <v>46119</v>
      </c>
      <c r="C961" s="3">
        <v>46204</v>
      </c>
      <c r="D961">
        <v>31</v>
      </c>
      <c r="E961">
        <v>3</v>
      </c>
      <c r="F961">
        <v>2</v>
      </c>
      <c r="G961" s="2">
        <v>5200</v>
      </c>
      <c r="H961" s="4">
        <v>0.1</v>
      </c>
      <c r="I961" s="2">
        <v>4680</v>
      </c>
      <c r="J961" t="s">
        <v>253</v>
      </c>
      <c r="K961" t="s">
        <v>254</v>
      </c>
      <c r="L961">
        <v>4</v>
      </c>
      <c r="M961" t="str">
        <f>_xlfn.XLOOKUP(E961,tPacotes[ID_Pacote],tPacotes[Pacote])</f>
        <v>Serra Gaúcha</v>
      </c>
      <c r="N961" t="str">
        <f>_xlfn.XLOOKUP(E961,tPacotes[ID_Pacote],tPacotes[Categoria])</f>
        <v>Inverno</v>
      </c>
      <c r="O961" t="str">
        <f>_xlfn.XLOOKUP(D961,tClientes[ID_Cliente],tClientes[UF])</f>
        <v>SP</v>
      </c>
    </row>
    <row r="962" spans="1:15" x14ac:dyDescent="0.3">
      <c r="A962">
        <v>961</v>
      </c>
      <c r="B962" s="3">
        <v>46120</v>
      </c>
      <c r="C962" s="3">
        <v>46282</v>
      </c>
      <c r="D962">
        <v>40</v>
      </c>
      <c r="E962">
        <v>4</v>
      </c>
      <c r="F962">
        <v>1</v>
      </c>
      <c r="G962" s="2">
        <v>6900</v>
      </c>
      <c r="H962" s="4">
        <v>0.05</v>
      </c>
      <c r="I962" s="2">
        <v>6555</v>
      </c>
      <c r="J962" t="s">
        <v>255</v>
      </c>
      <c r="K962" t="s">
        <v>254</v>
      </c>
      <c r="L962">
        <v>5</v>
      </c>
      <c r="M962" t="str">
        <f>_xlfn.XLOOKUP(E962,tPacotes[ID_Pacote],tPacotes[Pacote])</f>
        <v>Fernando de Noronha</v>
      </c>
      <c r="N962" t="str">
        <f>_xlfn.XLOOKUP(E962,tPacotes[ID_Pacote],tPacotes[Categoria])</f>
        <v>Praia</v>
      </c>
      <c r="O962" t="str">
        <f>_xlfn.XLOOKUP(D962,tClientes[ID_Cliente],tClientes[UF])</f>
        <v>RJ</v>
      </c>
    </row>
    <row r="963" spans="1:15" x14ac:dyDescent="0.3">
      <c r="A963">
        <v>962</v>
      </c>
      <c r="B963" s="3">
        <v>46120</v>
      </c>
      <c r="C963" s="3">
        <v>46132</v>
      </c>
      <c r="D963">
        <v>182</v>
      </c>
      <c r="E963">
        <v>13</v>
      </c>
      <c r="F963">
        <v>3</v>
      </c>
      <c r="G963" s="2">
        <v>21900</v>
      </c>
      <c r="H963" s="4">
        <v>0</v>
      </c>
      <c r="I963" s="2">
        <v>21900</v>
      </c>
      <c r="J963" t="s">
        <v>255</v>
      </c>
      <c r="K963" t="s">
        <v>254</v>
      </c>
      <c r="L963">
        <v>5</v>
      </c>
      <c r="M963" t="str">
        <f>_xlfn.XLOOKUP(E963,tPacotes[ID_Pacote],tPacotes[Pacote])</f>
        <v>Machu Picchu</v>
      </c>
      <c r="N963" t="str">
        <f>_xlfn.XLOOKUP(E963,tPacotes[ID_Pacote],tPacotes[Categoria])</f>
        <v>Aventura</v>
      </c>
      <c r="O963" t="str">
        <f>_xlfn.XLOOKUP(D963,tClientes[ID_Cliente],tClientes[UF])</f>
        <v>MG</v>
      </c>
    </row>
    <row r="964" spans="1:15" x14ac:dyDescent="0.3">
      <c r="A964">
        <v>963</v>
      </c>
      <c r="B964" s="3">
        <v>46120</v>
      </c>
      <c r="C964" s="3">
        <v>46221</v>
      </c>
      <c r="D964">
        <v>10</v>
      </c>
      <c r="E964">
        <v>2</v>
      </c>
      <c r="F964">
        <v>2</v>
      </c>
      <c r="G964" s="2">
        <v>3600</v>
      </c>
      <c r="H964" s="4">
        <v>0</v>
      </c>
      <c r="I964" s="2">
        <v>3600</v>
      </c>
      <c r="J964" t="s">
        <v>255</v>
      </c>
      <c r="K964" t="s">
        <v>254</v>
      </c>
      <c r="L964">
        <v>4</v>
      </c>
      <c r="M964" t="str">
        <f>_xlfn.XLOOKUP(E964,tPacotes[ID_Pacote],tPacotes[Pacote])</f>
        <v>Rio Cidade Maravilhosa</v>
      </c>
      <c r="N964" t="str">
        <f>_xlfn.XLOOKUP(E964,tPacotes[ID_Pacote],tPacotes[Categoria])</f>
        <v>Cultural</v>
      </c>
      <c r="O964" t="str">
        <f>_xlfn.XLOOKUP(D964,tClientes[ID_Cliente],tClientes[UF])</f>
        <v>SP</v>
      </c>
    </row>
    <row r="965" spans="1:15" x14ac:dyDescent="0.3">
      <c r="A965">
        <v>964</v>
      </c>
      <c r="B965" s="3">
        <v>46120</v>
      </c>
      <c r="C965" s="3">
        <v>46136</v>
      </c>
      <c r="D965">
        <v>30</v>
      </c>
      <c r="E965">
        <v>3</v>
      </c>
      <c r="F965">
        <v>2</v>
      </c>
      <c r="G965" s="2">
        <v>5200</v>
      </c>
      <c r="H965" s="4">
        <v>0.1</v>
      </c>
      <c r="I965" s="2">
        <v>4680</v>
      </c>
      <c r="J965" t="s">
        <v>257</v>
      </c>
      <c r="K965" t="s">
        <v>254</v>
      </c>
      <c r="L965">
        <v>2</v>
      </c>
      <c r="M965" t="str">
        <f>_xlfn.XLOOKUP(E965,tPacotes[ID_Pacote],tPacotes[Pacote])</f>
        <v>Serra Gaúcha</v>
      </c>
      <c r="N965" t="str">
        <f>_xlfn.XLOOKUP(E965,tPacotes[ID_Pacote],tPacotes[Categoria])</f>
        <v>Inverno</v>
      </c>
      <c r="O965" t="str">
        <f>_xlfn.XLOOKUP(D965,tClientes[ID_Cliente],tClientes[UF])</f>
        <v>SP</v>
      </c>
    </row>
    <row r="966" spans="1:15" x14ac:dyDescent="0.3">
      <c r="A966">
        <v>965</v>
      </c>
      <c r="B966" s="3">
        <v>46121</v>
      </c>
      <c r="C966" s="3">
        <v>46160</v>
      </c>
      <c r="D966">
        <v>74</v>
      </c>
      <c r="E966">
        <v>9</v>
      </c>
      <c r="F966">
        <v>2</v>
      </c>
      <c r="G966" s="2">
        <v>17800</v>
      </c>
      <c r="H966" s="4">
        <v>0.05</v>
      </c>
      <c r="I966" s="2">
        <v>16910</v>
      </c>
      <c r="J966" t="s">
        <v>257</v>
      </c>
      <c r="K966" t="s">
        <v>254</v>
      </c>
      <c r="L966">
        <v>5</v>
      </c>
      <c r="M966" t="str">
        <f>_xlfn.XLOOKUP(E966,tPacotes[ID_Pacote],tPacotes[Pacote])</f>
        <v>Cancún All Inclusive</v>
      </c>
      <c r="N966" t="str">
        <f>_xlfn.XLOOKUP(E966,tPacotes[ID_Pacote],tPacotes[Categoria])</f>
        <v>Praia</v>
      </c>
      <c r="O966" t="str">
        <f>_xlfn.XLOOKUP(D966,tClientes[ID_Cliente],tClientes[UF])</f>
        <v>SP</v>
      </c>
    </row>
    <row r="967" spans="1:15" x14ac:dyDescent="0.3">
      <c r="A967">
        <v>966</v>
      </c>
      <c r="B967" s="3">
        <v>46121</v>
      </c>
      <c r="C967" s="3">
        <v>46268</v>
      </c>
      <c r="D967">
        <v>174</v>
      </c>
      <c r="E967">
        <v>6</v>
      </c>
      <c r="F967">
        <v>4</v>
      </c>
      <c r="G967" s="2">
        <v>8400</v>
      </c>
      <c r="H967" s="4">
        <v>0</v>
      </c>
      <c r="I967" s="2">
        <v>8400</v>
      </c>
      <c r="J967" t="s">
        <v>255</v>
      </c>
      <c r="K967" t="s">
        <v>254</v>
      </c>
      <c r="L967">
        <v>5</v>
      </c>
      <c r="M967" t="str">
        <f>_xlfn.XLOOKUP(E967,tPacotes[ID_Pacote],tPacotes[Pacote])</f>
        <v>Foz do Iguaçu</v>
      </c>
      <c r="N967" t="str">
        <f>_xlfn.XLOOKUP(E967,tPacotes[ID_Pacote],tPacotes[Categoria])</f>
        <v>Natureza</v>
      </c>
      <c r="O967" t="str">
        <f>_xlfn.XLOOKUP(D967,tClientes[ID_Cliente],tClientes[UF])</f>
        <v>SP</v>
      </c>
    </row>
    <row r="968" spans="1:15" x14ac:dyDescent="0.3">
      <c r="A968">
        <v>967</v>
      </c>
      <c r="B968" s="3">
        <v>46121</v>
      </c>
      <c r="C968" s="3">
        <v>46165</v>
      </c>
      <c r="D968">
        <v>14</v>
      </c>
      <c r="E968">
        <v>2</v>
      </c>
      <c r="F968">
        <v>1</v>
      </c>
      <c r="G968" s="2">
        <v>1800</v>
      </c>
      <c r="H968" s="4">
        <v>0.15</v>
      </c>
      <c r="I968" s="2">
        <v>1530</v>
      </c>
      <c r="J968" t="s">
        <v>255</v>
      </c>
      <c r="K968" t="s">
        <v>254</v>
      </c>
      <c r="L968">
        <v>1</v>
      </c>
      <c r="M968" t="str">
        <f>_xlfn.XLOOKUP(E968,tPacotes[ID_Pacote],tPacotes[Pacote])</f>
        <v>Rio Cidade Maravilhosa</v>
      </c>
      <c r="N968" t="str">
        <f>_xlfn.XLOOKUP(E968,tPacotes[ID_Pacote],tPacotes[Categoria])</f>
        <v>Cultural</v>
      </c>
      <c r="O968" t="str">
        <f>_xlfn.XLOOKUP(D968,tClientes[ID_Cliente],tClientes[UF])</f>
        <v>PE</v>
      </c>
    </row>
    <row r="969" spans="1:15" x14ac:dyDescent="0.3">
      <c r="A969">
        <v>968</v>
      </c>
      <c r="B969" s="3">
        <v>46121</v>
      </c>
      <c r="C969" s="3">
        <v>46151</v>
      </c>
      <c r="D969">
        <v>65</v>
      </c>
      <c r="E969">
        <v>11</v>
      </c>
      <c r="F969">
        <v>5</v>
      </c>
      <c r="G969" s="2">
        <v>79000</v>
      </c>
      <c r="H969" s="4">
        <v>0</v>
      </c>
      <c r="I969" s="2">
        <v>79000</v>
      </c>
      <c r="J969" t="s">
        <v>255</v>
      </c>
      <c r="K969" t="s">
        <v>254</v>
      </c>
      <c r="L969">
        <v>5</v>
      </c>
      <c r="M969" t="str">
        <f>_xlfn.XLOOKUP(E969,tPacotes[ID_Pacote],tPacotes[Pacote])</f>
        <v>Paris e Londres</v>
      </c>
      <c r="N969" t="str">
        <f>_xlfn.XLOOKUP(E969,tPacotes[ID_Pacote],tPacotes[Categoria])</f>
        <v>Cultural</v>
      </c>
      <c r="O969" t="str">
        <f>_xlfn.XLOOKUP(D969,tClientes[ID_Cliente],tClientes[UF])</f>
        <v>SP</v>
      </c>
    </row>
    <row r="970" spans="1:15" x14ac:dyDescent="0.3">
      <c r="A970">
        <v>969</v>
      </c>
      <c r="B970" s="3">
        <v>46121</v>
      </c>
      <c r="C970" s="3">
        <v>46125</v>
      </c>
      <c r="D970">
        <v>62</v>
      </c>
      <c r="E970">
        <v>15</v>
      </c>
      <c r="F970">
        <v>1</v>
      </c>
      <c r="G970" s="2">
        <v>3100</v>
      </c>
      <c r="H970" s="4">
        <v>0.1</v>
      </c>
      <c r="I970" s="2">
        <v>2790</v>
      </c>
      <c r="J970" t="s">
        <v>256</v>
      </c>
      <c r="K970" t="s">
        <v>254</v>
      </c>
      <c r="L970">
        <v>4</v>
      </c>
      <c r="M970" t="str">
        <f>_xlfn.XLOOKUP(E970,tPacotes[ID_Pacote],tPacotes[Pacote])</f>
        <v>Jericoacoara</v>
      </c>
      <c r="N970" t="str">
        <f>_xlfn.XLOOKUP(E970,tPacotes[ID_Pacote],tPacotes[Categoria])</f>
        <v>Praia</v>
      </c>
      <c r="O970" t="str">
        <f>_xlfn.XLOOKUP(D970,tClientes[ID_Cliente],tClientes[UF])</f>
        <v>SP</v>
      </c>
    </row>
    <row r="971" spans="1:15" x14ac:dyDescent="0.3">
      <c r="A971">
        <v>970</v>
      </c>
      <c r="B971" s="3">
        <v>46122</v>
      </c>
      <c r="C971" s="3">
        <v>46217</v>
      </c>
      <c r="D971">
        <v>11</v>
      </c>
      <c r="E971">
        <v>8</v>
      </c>
      <c r="F971">
        <v>2</v>
      </c>
      <c r="G971" s="2">
        <v>11800</v>
      </c>
      <c r="H971" s="4">
        <v>0.1</v>
      </c>
      <c r="I971" s="2">
        <v>10620</v>
      </c>
      <c r="J971" t="s">
        <v>257</v>
      </c>
      <c r="K971" t="s">
        <v>254</v>
      </c>
      <c r="L971">
        <v>3</v>
      </c>
      <c r="M971" t="str">
        <f>_xlfn.XLOOKUP(E971,tPacotes[ID_Pacote],tPacotes[Pacote])</f>
        <v>Santiago e Neve</v>
      </c>
      <c r="N971" t="str">
        <f>_xlfn.XLOOKUP(E971,tPacotes[ID_Pacote],tPacotes[Categoria])</f>
        <v>Inverno</v>
      </c>
      <c r="O971" t="str">
        <f>_xlfn.XLOOKUP(D971,tClientes[ID_Cliente],tClientes[UF])</f>
        <v>RJ</v>
      </c>
    </row>
    <row r="972" spans="1:15" x14ac:dyDescent="0.3">
      <c r="A972">
        <v>971</v>
      </c>
      <c r="B972" s="3">
        <v>46122</v>
      </c>
      <c r="C972" s="3">
        <v>46137</v>
      </c>
      <c r="D972">
        <v>154</v>
      </c>
      <c r="E972">
        <v>8</v>
      </c>
      <c r="F972">
        <v>1</v>
      </c>
      <c r="G972" s="2">
        <v>5900</v>
      </c>
      <c r="H972" s="4">
        <v>0</v>
      </c>
      <c r="I972" s="2">
        <v>5900</v>
      </c>
      <c r="J972" t="s">
        <v>255</v>
      </c>
      <c r="K972" t="s">
        <v>254</v>
      </c>
      <c r="L972">
        <v>5</v>
      </c>
      <c r="M972" t="str">
        <f>_xlfn.XLOOKUP(E972,tPacotes[ID_Pacote],tPacotes[Pacote])</f>
        <v>Santiago e Neve</v>
      </c>
      <c r="N972" t="str">
        <f>_xlfn.XLOOKUP(E972,tPacotes[ID_Pacote],tPacotes[Categoria])</f>
        <v>Inverno</v>
      </c>
      <c r="O972" t="str">
        <f>_xlfn.XLOOKUP(D972,tClientes[ID_Cliente],tClientes[UF])</f>
        <v>DF</v>
      </c>
    </row>
    <row r="973" spans="1:15" x14ac:dyDescent="0.3">
      <c r="A973">
        <v>972</v>
      </c>
      <c r="B973" s="3">
        <v>46122</v>
      </c>
      <c r="C973" s="3">
        <v>46174</v>
      </c>
      <c r="D973">
        <v>131</v>
      </c>
      <c r="E973">
        <v>7</v>
      </c>
      <c r="F973">
        <v>4</v>
      </c>
      <c r="G973" s="2">
        <v>16800</v>
      </c>
      <c r="H973" s="4">
        <v>0</v>
      </c>
      <c r="I973" s="2">
        <v>16800</v>
      </c>
      <c r="J973" t="s">
        <v>257</v>
      </c>
      <c r="K973" t="s">
        <v>254</v>
      </c>
      <c r="L973">
        <v>4</v>
      </c>
      <c r="M973" t="str">
        <f>_xlfn.XLOOKUP(E973,tPacotes[ID_Pacote],tPacotes[Pacote])</f>
        <v>Buenos Aires Clássica</v>
      </c>
      <c r="N973" t="str">
        <f>_xlfn.XLOOKUP(E973,tPacotes[ID_Pacote],tPacotes[Categoria])</f>
        <v>Cultural</v>
      </c>
      <c r="O973" t="str">
        <f>_xlfn.XLOOKUP(D973,tClientes[ID_Cliente],tClientes[UF])</f>
        <v>RJ</v>
      </c>
    </row>
    <row r="974" spans="1:15" x14ac:dyDescent="0.3">
      <c r="A974">
        <v>973</v>
      </c>
      <c r="B974" s="3">
        <v>46123</v>
      </c>
      <c r="C974" s="3">
        <v>46132</v>
      </c>
      <c r="D974">
        <v>158</v>
      </c>
      <c r="E974">
        <v>2</v>
      </c>
      <c r="F974">
        <v>2</v>
      </c>
      <c r="G974" s="2">
        <v>3600</v>
      </c>
      <c r="H974" s="4">
        <v>0.05</v>
      </c>
      <c r="I974" s="2">
        <v>3420</v>
      </c>
      <c r="J974" t="s">
        <v>253</v>
      </c>
      <c r="K974" t="s">
        <v>254</v>
      </c>
      <c r="L974">
        <v>4</v>
      </c>
      <c r="M974" t="str">
        <f>_xlfn.XLOOKUP(E974,tPacotes[ID_Pacote],tPacotes[Pacote])</f>
        <v>Rio Cidade Maravilhosa</v>
      </c>
      <c r="N974" t="str">
        <f>_xlfn.XLOOKUP(E974,tPacotes[ID_Pacote],tPacotes[Categoria])</f>
        <v>Cultural</v>
      </c>
      <c r="O974" t="str">
        <f>_xlfn.XLOOKUP(D974,tClientes[ID_Cliente],tClientes[UF])</f>
        <v>RS</v>
      </c>
    </row>
    <row r="975" spans="1:15" x14ac:dyDescent="0.3">
      <c r="A975">
        <v>974</v>
      </c>
      <c r="B975" s="3">
        <v>46123</v>
      </c>
      <c r="C975" s="3">
        <v>46139</v>
      </c>
      <c r="D975">
        <v>75</v>
      </c>
      <c r="E975">
        <v>15</v>
      </c>
      <c r="F975">
        <v>1</v>
      </c>
      <c r="G975" s="2">
        <v>3100</v>
      </c>
      <c r="H975" s="4">
        <v>0</v>
      </c>
      <c r="I975" s="2">
        <v>3100</v>
      </c>
      <c r="J975" t="s">
        <v>256</v>
      </c>
      <c r="K975" t="s">
        <v>254</v>
      </c>
      <c r="L975">
        <v>5</v>
      </c>
      <c r="M975" t="str">
        <f>_xlfn.XLOOKUP(E975,tPacotes[ID_Pacote],tPacotes[Pacote])</f>
        <v>Jericoacoara</v>
      </c>
      <c r="N975" t="str">
        <f>_xlfn.XLOOKUP(E975,tPacotes[ID_Pacote],tPacotes[Categoria])</f>
        <v>Praia</v>
      </c>
      <c r="O975" t="str">
        <f>_xlfn.XLOOKUP(D975,tClientes[ID_Cliente],tClientes[UF])</f>
        <v>RS</v>
      </c>
    </row>
    <row r="976" spans="1:15" x14ac:dyDescent="0.3">
      <c r="A976">
        <v>975</v>
      </c>
      <c r="B976" s="3">
        <v>46124</v>
      </c>
      <c r="C976" s="3">
        <v>46135</v>
      </c>
      <c r="D976">
        <v>155</v>
      </c>
      <c r="E976">
        <v>3</v>
      </c>
      <c r="F976">
        <v>2</v>
      </c>
      <c r="G976" s="2">
        <v>5200</v>
      </c>
      <c r="H976" s="4">
        <v>0</v>
      </c>
      <c r="I976" s="2">
        <v>5200</v>
      </c>
      <c r="J976" t="s">
        <v>256</v>
      </c>
      <c r="K976" t="s">
        <v>254</v>
      </c>
      <c r="L976">
        <v>5</v>
      </c>
      <c r="M976" t="str">
        <f>_xlfn.XLOOKUP(E976,tPacotes[ID_Pacote],tPacotes[Pacote])</f>
        <v>Serra Gaúcha</v>
      </c>
      <c r="N976" t="str">
        <f>_xlfn.XLOOKUP(E976,tPacotes[ID_Pacote],tPacotes[Categoria])</f>
        <v>Inverno</v>
      </c>
      <c r="O976" t="str">
        <f>_xlfn.XLOOKUP(D976,tClientes[ID_Cliente],tClientes[UF])</f>
        <v>SP</v>
      </c>
    </row>
    <row r="977" spans="1:15" x14ac:dyDescent="0.3">
      <c r="A977">
        <v>976</v>
      </c>
      <c r="B977" s="3">
        <v>46124</v>
      </c>
      <c r="C977" s="3">
        <v>46285</v>
      </c>
      <c r="D977">
        <v>97</v>
      </c>
      <c r="E977">
        <v>4</v>
      </c>
      <c r="F977">
        <v>4</v>
      </c>
      <c r="G977" s="2">
        <v>27600</v>
      </c>
      <c r="H977" s="4">
        <v>0</v>
      </c>
      <c r="I977" s="2">
        <v>27600</v>
      </c>
      <c r="J977" t="s">
        <v>255</v>
      </c>
      <c r="K977" t="s">
        <v>254</v>
      </c>
      <c r="L977">
        <v>4</v>
      </c>
      <c r="M977" t="str">
        <f>_xlfn.XLOOKUP(E977,tPacotes[ID_Pacote],tPacotes[Pacote])</f>
        <v>Fernando de Noronha</v>
      </c>
      <c r="N977" t="str">
        <f>_xlfn.XLOOKUP(E977,tPacotes[ID_Pacote],tPacotes[Categoria])</f>
        <v>Praia</v>
      </c>
      <c r="O977" t="str">
        <f>_xlfn.XLOOKUP(D977,tClientes[ID_Cliente],tClientes[UF])</f>
        <v>SP</v>
      </c>
    </row>
    <row r="978" spans="1:15" x14ac:dyDescent="0.3">
      <c r="A978">
        <v>977</v>
      </c>
      <c r="B978" s="3">
        <v>46125</v>
      </c>
      <c r="C978" s="3">
        <v>46133</v>
      </c>
      <c r="D978">
        <v>176</v>
      </c>
      <c r="E978">
        <v>2</v>
      </c>
      <c r="F978">
        <v>3</v>
      </c>
      <c r="G978" s="2">
        <v>5400</v>
      </c>
      <c r="H978" s="4">
        <v>0.05</v>
      </c>
      <c r="I978" s="2">
        <v>5130</v>
      </c>
      <c r="J978" t="s">
        <v>257</v>
      </c>
      <c r="K978" t="s">
        <v>254</v>
      </c>
      <c r="L978">
        <v>4</v>
      </c>
      <c r="M978" t="str">
        <f>_xlfn.XLOOKUP(E978,tPacotes[ID_Pacote],tPacotes[Pacote])</f>
        <v>Rio Cidade Maravilhosa</v>
      </c>
      <c r="N978" t="str">
        <f>_xlfn.XLOOKUP(E978,tPacotes[ID_Pacote],tPacotes[Categoria])</f>
        <v>Cultural</v>
      </c>
      <c r="O978" t="str">
        <f>_xlfn.XLOOKUP(D978,tClientes[ID_Cliente],tClientes[UF])</f>
        <v>SP</v>
      </c>
    </row>
    <row r="979" spans="1:15" x14ac:dyDescent="0.3">
      <c r="A979">
        <v>978</v>
      </c>
      <c r="B979" s="3">
        <v>46125</v>
      </c>
      <c r="C979" s="3">
        <v>46258</v>
      </c>
      <c r="D979">
        <v>163</v>
      </c>
      <c r="E979">
        <v>7</v>
      </c>
      <c r="F979">
        <v>3</v>
      </c>
      <c r="G979" s="2">
        <v>12600</v>
      </c>
      <c r="H979" s="4">
        <v>0</v>
      </c>
      <c r="I979" s="2">
        <v>12600</v>
      </c>
      <c r="J979" t="s">
        <v>255</v>
      </c>
      <c r="K979" t="s">
        <v>254</v>
      </c>
      <c r="L979">
        <v>5</v>
      </c>
      <c r="M979" t="str">
        <f>_xlfn.XLOOKUP(E979,tPacotes[ID_Pacote],tPacotes[Pacote])</f>
        <v>Buenos Aires Clássica</v>
      </c>
      <c r="N979" t="str">
        <f>_xlfn.XLOOKUP(E979,tPacotes[ID_Pacote],tPacotes[Categoria])</f>
        <v>Cultural</v>
      </c>
      <c r="O979" t="str">
        <f>_xlfn.XLOOKUP(D979,tClientes[ID_Cliente],tClientes[UF])</f>
        <v>DF</v>
      </c>
    </row>
    <row r="980" spans="1:15" x14ac:dyDescent="0.3">
      <c r="A980">
        <v>979</v>
      </c>
      <c r="B980" s="3">
        <v>46126</v>
      </c>
      <c r="C980" s="3">
        <v>46149</v>
      </c>
      <c r="D980">
        <v>133</v>
      </c>
      <c r="E980">
        <v>14</v>
      </c>
      <c r="F980">
        <v>1</v>
      </c>
      <c r="G980" s="2">
        <v>2900</v>
      </c>
      <c r="H980" s="4">
        <v>0</v>
      </c>
      <c r="I980" s="2">
        <v>2900</v>
      </c>
      <c r="J980" t="s">
        <v>253</v>
      </c>
      <c r="K980" t="s">
        <v>254</v>
      </c>
      <c r="L980">
        <v>4</v>
      </c>
      <c r="M980" t="str">
        <f>_xlfn.XLOOKUP(E980,tPacotes[ID_Pacote],tPacotes[Pacote])</f>
        <v>Lençóis Maranhenses</v>
      </c>
      <c r="N980" t="str">
        <f>_xlfn.XLOOKUP(E980,tPacotes[ID_Pacote],tPacotes[Categoria])</f>
        <v>Natureza</v>
      </c>
      <c r="O980" t="str">
        <f>_xlfn.XLOOKUP(D980,tClientes[ID_Cliente],tClientes[UF])</f>
        <v>SP</v>
      </c>
    </row>
    <row r="981" spans="1:15" x14ac:dyDescent="0.3">
      <c r="A981">
        <v>980</v>
      </c>
      <c r="B981" s="3">
        <v>46127</v>
      </c>
      <c r="C981" s="3">
        <v>46142</v>
      </c>
      <c r="D981">
        <v>122</v>
      </c>
      <c r="E981">
        <v>13</v>
      </c>
      <c r="F981">
        <v>2</v>
      </c>
      <c r="G981" s="2">
        <v>14600</v>
      </c>
      <c r="H981" s="4">
        <v>0.1</v>
      </c>
      <c r="I981" s="2">
        <v>13140</v>
      </c>
      <c r="J981" t="s">
        <v>253</v>
      </c>
      <c r="K981" t="s">
        <v>254</v>
      </c>
      <c r="L981">
        <v>5</v>
      </c>
      <c r="M981" t="str">
        <f>_xlfn.XLOOKUP(E981,tPacotes[ID_Pacote],tPacotes[Pacote])</f>
        <v>Machu Picchu</v>
      </c>
      <c r="N981" t="str">
        <f>_xlfn.XLOOKUP(E981,tPacotes[ID_Pacote],tPacotes[Categoria])</f>
        <v>Aventura</v>
      </c>
      <c r="O981" t="str">
        <f>_xlfn.XLOOKUP(D981,tClientes[ID_Cliente],tClientes[UF])</f>
        <v>PR</v>
      </c>
    </row>
    <row r="982" spans="1:15" x14ac:dyDescent="0.3">
      <c r="A982">
        <v>981</v>
      </c>
      <c r="B982" s="3">
        <v>46127</v>
      </c>
      <c r="C982" s="3">
        <v>46142</v>
      </c>
      <c r="D982">
        <v>17</v>
      </c>
      <c r="E982">
        <v>6</v>
      </c>
      <c r="F982">
        <v>2</v>
      </c>
      <c r="G982" s="2">
        <v>4200</v>
      </c>
      <c r="H982" s="4">
        <v>0.05</v>
      </c>
      <c r="I982" s="2">
        <v>3990</v>
      </c>
      <c r="J982" t="s">
        <v>257</v>
      </c>
      <c r="K982" t="s">
        <v>258</v>
      </c>
      <c r="M982" t="str">
        <f>_xlfn.XLOOKUP(E982,tPacotes[ID_Pacote],tPacotes[Pacote])</f>
        <v>Foz do Iguaçu</v>
      </c>
      <c r="N982" t="str">
        <f>_xlfn.XLOOKUP(E982,tPacotes[ID_Pacote],tPacotes[Categoria])</f>
        <v>Natureza</v>
      </c>
      <c r="O982" t="str">
        <f>_xlfn.XLOOKUP(D982,tClientes[ID_Cliente],tClientes[UF])</f>
        <v>RJ</v>
      </c>
    </row>
    <row r="983" spans="1:15" x14ac:dyDescent="0.3">
      <c r="A983">
        <v>982</v>
      </c>
      <c r="B983" s="3">
        <v>46127</v>
      </c>
      <c r="C983" s="3">
        <v>46182</v>
      </c>
      <c r="D983">
        <v>136</v>
      </c>
      <c r="E983">
        <v>2</v>
      </c>
      <c r="F983">
        <v>4</v>
      </c>
      <c r="G983" s="2">
        <v>7200</v>
      </c>
      <c r="H983" s="4">
        <v>0.1</v>
      </c>
      <c r="I983" s="2">
        <v>6480</v>
      </c>
      <c r="J983" t="s">
        <v>257</v>
      </c>
      <c r="K983" t="s">
        <v>254</v>
      </c>
      <c r="L983">
        <v>5</v>
      </c>
      <c r="M983" t="str">
        <f>_xlfn.XLOOKUP(E983,tPacotes[ID_Pacote],tPacotes[Pacote])</f>
        <v>Rio Cidade Maravilhosa</v>
      </c>
      <c r="N983" t="str">
        <f>_xlfn.XLOOKUP(E983,tPacotes[ID_Pacote],tPacotes[Categoria])</f>
        <v>Cultural</v>
      </c>
      <c r="O983" t="str">
        <f>_xlfn.XLOOKUP(D983,tClientes[ID_Cliente],tClientes[UF])</f>
        <v>MG</v>
      </c>
    </row>
    <row r="984" spans="1:15" x14ac:dyDescent="0.3">
      <c r="A984">
        <v>983</v>
      </c>
      <c r="B984" s="3">
        <v>46127</v>
      </c>
      <c r="C984" s="3">
        <v>46282</v>
      </c>
      <c r="D984">
        <v>30</v>
      </c>
      <c r="E984">
        <v>15</v>
      </c>
      <c r="F984">
        <v>4</v>
      </c>
      <c r="G984" s="2">
        <v>12400</v>
      </c>
      <c r="H984" s="4">
        <v>0.15</v>
      </c>
      <c r="I984" s="2">
        <v>10540</v>
      </c>
      <c r="J984" t="s">
        <v>257</v>
      </c>
      <c r="K984" t="s">
        <v>254</v>
      </c>
      <c r="L984">
        <v>4</v>
      </c>
      <c r="M984" t="str">
        <f>_xlfn.XLOOKUP(E984,tPacotes[ID_Pacote],tPacotes[Pacote])</f>
        <v>Jericoacoara</v>
      </c>
      <c r="N984" t="str">
        <f>_xlfn.XLOOKUP(E984,tPacotes[ID_Pacote],tPacotes[Categoria])</f>
        <v>Praia</v>
      </c>
      <c r="O984" t="str">
        <f>_xlfn.XLOOKUP(D984,tClientes[ID_Cliente],tClientes[UF])</f>
        <v>SP</v>
      </c>
    </row>
    <row r="985" spans="1:15" x14ac:dyDescent="0.3">
      <c r="A985">
        <v>984</v>
      </c>
      <c r="B985" s="3">
        <v>46128</v>
      </c>
      <c r="C985" s="3">
        <v>46174</v>
      </c>
      <c r="D985">
        <v>126</v>
      </c>
      <c r="E985">
        <v>7</v>
      </c>
      <c r="F985">
        <v>1</v>
      </c>
      <c r="G985" s="2">
        <v>4200</v>
      </c>
      <c r="H985" s="4">
        <v>0</v>
      </c>
      <c r="I985" s="2">
        <v>4200</v>
      </c>
      <c r="J985" t="s">
        <v>256</v>
      </c>
      <c r="K985" t="s">
        <v>254</v>
      </c>
      <c r="L985">
        <v>3</v>
      </c>
      <c r="M985" t="str">
        <f>_xlfn.XLOOKUP(E985,tPacotes[ID_Pacote],tPacotes[Pacote])</f>
        <v>Buenos Aires Clássica</v>
      </c>
      <c r="N985" t="str">
        <f>_xlfn.XLOOKUP(E985,tPacotes[ID_Pacote],tPacotes[Categoria])</f>
        <v>Cultural</v>
      </c>
      <c r="O985" t="str">
        <f>_xlfn.XLOOKUP(D985,tClientes[ID_Cliente],tClientes[UF])</f>
        <v>MG</v>
      </c>
    </row>
    <row r="986" spans="1:15" x14ac:dyDescent="0.3">
      <c r="A986">
        <v>985</v>
      </c>
      <c r="B986" s="3">
        <v>46129</v>
      </c>
      <c r="C986" s="3">
        <v>46182</v>
      </c>
      <c r="D986">
        <v>153</v>
      </c>
      <c r="E986">
        <v>4</v>
      </c>
      <c r="F986">
        <v>1</v>
      </c>
      <c r="G986" s="2">
        <v>6900</v>
      </c>
      <c r="H986" s="4">
        <v>0</v>
      </c>
      <c r="I986" s="2">
        <v>6900</v>
      </c>
      <c r="J986" t="s">
        <v>253</v>
      </c>
      <c r="K986" t="s">
        <v>254</v>
      </c>
      <c r="L986">
        <v>4</v>
      </c>
      <c r="M986" t="str">
        <f>_xlfn.XLOOKUP(E986,tPacotes[ID_Pacote],tPacotes[Pacote])</f>
        <v>Fernando de Noronha</v>
      </c>
      <c r="N986" t="str">
        <f>_xlfn.XLOOKUP(E986,tPacotes[ID_Pacote],tPacotes[Categoria])</f>
        <v>Praia</v>
      </c>
      <c r="O986" t="str">
        <f>_xlfn.XLOOKUP(D986,tClientes[ID_Cliente],tClientes[UF])</f>
        <v>SP</v>
      </c>
    </row>
    <row r="987" spans="1:15" x14ac:dyDescent="0.3">
      <c r="A987">
        <v>986</v>
      </c>
      <c r="B987" s="3">
        <v>46129</v>
      </c>
      <c r="C987" s="3">
        <v>46178</v>
      </c>
      <c r="D987">
        <v>34</v>
      </c>
      <c r="E987">
        <v>11</v>
      </c>
      <c r="F987">
        <v>1</v>
      </c>
      <c r="G987" s="2">
        <v>15800</v>
      </c>
      <c r="H987" s="4">
        <v>0.1</v>
      </c>
      <c r="I987" s="2">
        <v>14220</v>
      </c>
      <c r="J987" t="s">
        <v>253</v>
      </c>
      <c r="K987" t="s">
        <v>254</v>
      </c>
      <c r="L987">
        <v>5</v>
      </c>
      <c r="M987" t="str">
        <f>_xlfn.XLOOKUP(E987,tPacotes[ID_Pacote],tPacotes[Pacote])</f>
        <v>Paris e Londres</v>
      </c>
      <c r="N987" t="str">
        <f>_xlfn.XLOOKUP(E987,tPacotes[ID_Pacote],tPacotes[Categoria])</f>
        <v>Cultural</v>
      </c>
      <c r="O987" t="str">
        <f>_xlfn.XLOOKUP(D987,tClientes[ID_Cliente],tClientes[UF])</f>
        <v>SP</v>
      </c>
    </row>
    <row r="988" spans="1:15" x14ac:dyDescent="0.3">
      <c r="A988">
        <v>987</v>
      </c>
      <c r="B988" s="3">
        <v>46129</v>
      </c>
      <c r="C988" s="3">
        <v>46139</v>
      </c>
      <c r="D988">
        <v>42</v>
      </c>
      <c r="E988">
        <v>1</v>
      </c>
      <c r="F988">
        <v>2</v>
      </c>
      <c r="G988" s="2">
        <v>6400</v>
      </c>
      <c r="H988" s="4">
        <v>0</v>
      </c>
      <c r="I988" s="2">
        <v>6400</v>
      </c>
      <c r="J988" t="s">
        <v>253</v>
      </c>
      <c r="K988" t="s">
        <v>254</v>
      </c>
      <c r="L988">
        <v>5</v>
      </c>
      <c r="M988" t="str">
        <f>_xlfn.XLOOKUP(E988,tPacotes[ID_Pacote],tPacotes[Pacote])</f>
        <v>Nordeste Encantado</v>
      </c>
      <c r="N988" t="str">
        <f>_xlfn.XLOOKUP(E988,tPacotes[ID_Pacote],tPacotes[Categoria])</f>
        <v>Praia</v>
      </c>
      <c r="O988" t="str">
        <f>_xlfn.XLOOKUP(D988,tClientes[ID_Cliente],tClientes[UF])</f>
        <v>SP</v>
      </c>
    </row>
    <row r="989" spans="1:15" x14ac:dyDescent="0.3">
      <c r="A989">
        <v>988</v>
      </c>
      <c r="B989" s="3">
        <v>46130</v>
      </c>
      <c r="C989" s="3">
        <v>46171</v>
      </c>
      <c r="D989">
        <v>47</v>
      </c>
      <c r="E989">
        <v>7</v>
      </c>
      <c r="F989">
        <v>1</v>
      </c>
      <c r="G989" s="2">
        <v>4200</v>
      </c>
      <c r="H989" s="4">
        <v>0.1</v>
      </c>
      <c r="I989" s="2">
        <v>3780</v>
      </c>
      <c r="J989" t="s">
        <v>256</v>
      </c>
      <c r="K989" t="s">
        <v>254</v>
      </c>
      <c r="L989">
        <v>4</v>
      </c>
      <c r="M989" t="str">
        <f>_xlfn.XLOOKUP(E989,tPacotes[ID_Pacote],tPacotes[Pacote])</f>
        <v>Buenos Aires Clássica</v>
      </c>
      <c r="N989" t="str">
        <f>_xlfn.XLOOKUP(E989,tPacotes[ID_Pacote],tPacotes[Categoria])</f>
        <v>Cultural</v>
      </c>
      <c r="O989" t="str">
        <f>_xlfn.XLOOKUP(D989,tClientes[ID_Cliente],tClientes[UF])</f>
        <v>BA</v>
      </c>
    </row>
    <row r="990" spans="1:15" x14ac:dyDescent="0.3">
      <c r="A990">
        <v>989</v>
      </c>
      <c r="B990" s="3">
        <v>46130</v>
      </c>
      <c r="C990" s="3">
        <v>46270</v>
      </c>
      <c r="D990">
        <v>129</v>
      </c>
      <c r="E990">
        <v>7</v>
      </c>
      <c r="F990">
        <v>3</v>
      </c>
      <c r="G990" s="2">
        <v>12600</v>
      </c>
      <c r="H990" s="4">
        <v>0</v>
      </c>
      <c r="I990" s="2">
        <v>12600</v>
      </c>
      <c r="J990" t="s">
        <v>255</v>
      </c>
      <c r="K990" t="s">
        <v>254</v>
      </c>
      <c r="L990">
        <v>4</v>
      </c>
      <c r="M990" t="str">
        <f>_xlfn.XLOOKUP(E990,tPacotes[ID_Pacote],tPacotes[Pacote])</f>
        <v>Buenos Aires Clássica</v>
      </c>
      <c r="N990" t="str">
        <f>_xlfn.XLOOKUP(E990,tPacotes[ID_Pacote],tPacotes[Categoria])</f>
        <v>Cultural</v>
      </c>
      <c r="O990" t="str">
        <f>_xlfn.XLOOKUP(D990,tClientes[ID_Cliente],tClientes[UF])</f>
        <v>MG</v>
      </c>
    </row>
    <row r="991" spans="1:15" x14ac:dyDescent="0.3">
      <c r="A991">
        <v>990</v>
      </c>
      <c r="B991" s="3">
        <v>46131</v>
      </c>
      <c r="C991" s="3">
        <v>46158</v>
      </c>
      <c r="D991">
        <v>103</v>
      </c>
      <c r="E991">
        <v>3</v>
      </c>
      <c r="F991">
        <v>1</v>
      </c>
      <c r="G991" s="2">
        <v>2600</v>
      </c>
      <c r="H991" s="4">
        <v>0.05</v>
      </c>
      <c r="I991" s="2">
        <v>2470</v>
      </c>
      <c r="J991" t="s">
        <v>255</v>
      </c>
      <c r="K991" t="s">
        <v>254</v>
      </c>
      <c r="L991">
        <v>2</v>
      </c>
      <c r="M991" t="str">
        <f>_xlfn.XLOOKUP(E991,tPacotes[ID_Pacote],tPacotes[Pacote])</f>
        <v>Serra Gaúcha</v>
      </c>
      <c r="N991" t="str">
        <f>_xlfn.XLOOKUP(E991,tPacotes[ID_Pacote],tPacotes[Categoria])</f>
        <v>Inverno</v>
      </c>
      <c r="O991" t="str">
        <f>_xlfn.XLOOKUP(D991,tClientes[ID_Cliente],tClientes[UF])</f>
        <v>SP</v>
      </c>
    </row>
    <row r="992" spans="1:15" x14ac:dyDescent="0.3">
      <c r="A992">
        <v>991</v>
      </c>
      <c r="B992" s="3">
        <v>46131</v>
      </c>
      <c r="C992" s="3">
        <v>46231</v>
      </c>
      <c r="D992">
        <v>80</v>
      </c>
      <c r="E992">
        <v>8</v>
      </c>
      <c r="F992">
        <v>2</v>
      </c>
      <c r="G992" s="2">
        <v>11800</v>
      </c>
      <c r="H992" s="4">
        <v>0</v>
      </c>
      <c r="I992" s="2">
        <v>11800</v>
      </c>
      <c r="J992" t="s">
        <v>255</v>
      </c>
      <c r="K992" t="s">
        <v>258</v>
      </c>
      <c r="M992" t="str">
        <f>_xlfn.XLOOKUP(E992,tPacotes[ID_Pacote],tPacotes[Pacote])</f>
        <v>Santiago e Neve</v>
      </c>
      <c r="N992" t="str">
        <f>_xlfn.XLOOKUP(E992,tPacotes[ID_Pacote],tPacotes[Categoria])</f>
        <v>Inverno</v>
      </c>
      <c r="O992" t="str">
        <f>_xlfn.XLOOKUP(D992,tClientes[ID_Cliente],tClientes[UF])</f>
        <v>SP</v>
      </c>
    </row>
    <row r="993" spans="1:15" x14ac:dyDescent="0.3">
      <c r="A993">
        <v>992</v>
      </c>
      <c r="B993" s="3">
        <v>46131</v>
      </c>
      <c r="C993" s="3">
        <v>46186</v>
      </c>
      <c r="D993">
        <v>130</v>
      </c>
      <c r="E993">
        <v>2</v>
      </c>
      <c r="F993">
        <v>1</v>
      </c>
      <c r="G993" s="2">
        <v>1800</v>
      </c>
      <c r="H993" s="4">
        <v>0</v>
      </c>
      <c r="I993" s="2">
        <v>1800</v>
      </c>
      <c r="J993" t="s">
        <v>255</v>
      </c>
      <c r="K993" t="s">
        <v>258</v>
      </c>
      <c r="M993" t="str">
        <f>_xlfn.XLOOKUP(E993,tPacotes[ID_Pacote],tPacotes[Pacote])</f>
        <v>Rio Cidade Maravilhosa</v>
      </c>
      <c r="N993" t="str">
        <f>_xlfn.XLOOKUP(E993,tPacotes[ID_Pacote],tPacotes[Categoria])</f>
        <v>Cultural</v>
      </c>
      <c r="O993" t="str">
        <f>_xlfn.XLOOKUP(D993,tClientes[ID_Cliente],tClientes[UF])</f>
        <v>SP</v>
      </c>
    </row>
    <row r="994" spans="1:15" x14ac:dyDescent="0.3">
      <c r="A994">
        <v>993</v>
      </c>
      <c r="B994" s="3">
        <v>46134</v>
      </c>
      <c r="C994" s="3">
        <v>46145</v>
      </c>
      <c r="D994">
        <v>129</v>
      </c>
      <c r="E994">
        <v>6</v>
      </c>
      <c r="F994">
        <v>2</v>
      </c>
      <c r="G994" s="2">
        <v>4200</v>
      </c>
      <c r="H994" s="4">
        <v>0.05</v>
      </c>
      <c r="I994" s="2">
        <v>3990</v>
      </c>
      <c r="J994" t="s">
        <v>253</v>
      </c>
      <c r="K994" t="s">
        <v>254</v>
      </c>
      <c r="L994">
        <v>3</v>
      </c>
      <c r="M994" t="str">
        <f>_xlfn.XLOOKUP(E994,tPacotes[ID_Pacote],tPacotes[Pacote])</f>
        <v>Foz do Iguaçu</v>
      </c>
      <c r="N994" t="str">
        <f>_xlfn.XLOOKUP(E994,tPacotes[ID_Pacote],tPacotes[Categoria])</f>
        <v>Natureza</v>
      </c>
      <c r="O994" t="str">
        <f>_xlfn.XLOOKUP(D994,tClientes[ID_Cliente],tClientes[UF])</f>
        <v>MG</v>
      </c>
    </row>
    <row r="995" spans="1:15" x14ac:dyDescent="0.3">
      <c r="A995">
        <v>994</v>
      </c>
      <c r="B995" s="3">
        <v>46134</v>
      </c>
      <c r="C995" s="3">
        <v>46167</v>
      </c>
      <c r="D995">
        <v>52</v>
      </c>
      <c r="E995">
        <v>5</v>
      </c>
      <c r="F995">
        <v>1</v>
      </c>
      <c r="G995" s="2">
        <v>3400</v>
      </c>
      <c r="H995" s="4">
        <v>0</v>
      </c>
      <c r="I995" s="2">
        <v>3400</v>
      </c>
      <c r="J995" t="s">
        <v>255</v>
      </c>
      <c r="K995" t="s">
        <v>254</v>
      </c>
      <c r="L995">
        <v>4</v>
      </c>
      <c r="M995" t="str">
        <f>_xlfn.XLOOKUP(E995,tPacotes[ID_Pacote],tPacotes[Pacote])</f>
        <v>Bonito Aventura</v>
      </c>
      <c r="N995" t="str">
        <f>_xlfn.XLOOKUP(E995,tPacotes[ID_Pacote],tPacotes[Categoria])</f>
        <v>Aventura</v>
      </c>
      <c r="O995" t="str">
        <f>_xlfn.XLOOKUP(D995,tClientes[ID_Cliente],tClientes[UF])</f>
        <v>SP</v>
      </c>
    </row>
    <row r="996" spans="1:15" x14ac:dyDescent="0.3">
      <c r="A996">
        <v>995</v>
      </c>
      <c r="B996" s="3">
        <v>46134</v>
      </c>
      <c r="C996" s="3">
        <v>46280</v>
      </c>
      <c r="D996">
        <v>113</v>
      </c>
      <c r="E996">
        <v>13</v>
      </c>
      <c r="F996">
        <v>3</v>
      </c>
      <c r="G996" s="2">
        <v>21900</v>
      </c>
      <c r="H996" s="4">
        <v>0</v>
      </c>
      <c r="I996" s="2">
        <v>21900</v>
      </c>
      <c r="J996" t="s">
        <v>253</v>
      </c>
      <c r="K996" t="s">
        <v>258</v>
      </c>
      <c r="M996" t="str">
        <f>_xlfn.XLOOKUP(E996,tPacotes[ID_Pacote],tPacotes[Pacote])</f>
        <v>Machu Picchu</v>
      </c>
      <c r="N996" t="str">
        <f>_xlfn.XLOOKUP(E996,tPacotes[ID_Pacote],tPacotes[Categoria])</f>
        <v>Aventura</v>
      </c>
      <c r="O996" t="str">
        <f>_xlfn.XLOOKUP(D996,tClientes[ID_Cliente],tClientes[UF])</f>
        <v>SP</v>
      </c>
    </row>
    <row r="997" spans="1:15" x14ac:dyDescent="0.3">
      <c r="A997">
        <v>996</v>
      </c>
      <c r="B997" s="3">
        <v>46136</v>
      </c>
      <c r="C997" s="3">
        <v>46232</v>
      </c>
      <c r="D997">
        <v>61</v>
      </c>
      <c r="E997">
        <v>3</v>
      </c>
      <c r="F997">
        <v>1</v>
      </c>
      <c r="G997" s="2">
        <v>2600</v>
      </c>
      <c r="H997" s="4">
        <v>0</v>
      </c>
      <c r="I997" s="2">
        <v>2600</v>
      </c>
      <c r="J997" t="s">
        <v>255</v>
      </c>
      <c r="K997" t="s">
        <v>254</v>
      </c>
      <c r="L997">
        <v>3</v>
      </c>
      <c r="M997" t="str">
        <f>_xlfn.XLOOKUP(E997,tPacotes[ID_Pacote],tPacotes[Pacote])</f>
        <v>Serra Gaúcha</v>
      </c>
      <c r="N997" t="str">
        <f>_xlfn.XLOOKUP(E997,tPacotes[ID_Pacote],tPacotes[Categoria])</f>
        <v>Inverno</v>
      </c>
      <c r="O997" t="str">
        <f>_xlfn.XLOOKUP(D997,tClientes[ID_Cliente],tClientes[UF])</f>
        <v>DF</v>
      </c>
    </row>
    <row r="998" spans="1:15" x14ac:dyDescent="0.3">
      <c r="A998">
        <v>997</v>
      </c>
      <c r="B998" s="3">
        <v>46136</v>
      </c>
      <c r="C998" s="3">
        <v>46163</v>
      </c>
      <c r="D998">
        <v>58</v>
      </c>
      <c r="E998">
        <v>1</v>
      </c>
      <c r="F998">
        <v>2</v>
      </c>
      <c r="G998" s="2">
        <v>6400</v>
      </c>
      <c r="H998" s="4">
        <v>0.15</v>
      </c>
      <c r="I998" s="2">
        <v>5440</v>
      </c>
      <c r="J998" t="s">
        <v>253</v>
      </c>
      <c r="K998" t="s">
        <v>254</v>
      </c>
      <c r="L998">
        <v>4</v>
      </c>
      <c r="M998" t="str">
        <f>_xlfn.XLOOKUP(E998,tPacotes[ID_Pacote],tPacotes[Pacote])</f>
        <v>Nordeste Encantado</v>
      </c>
      <c r="N998" t="str">
        <f>_xlfn.XLOOKUP(E998,tPacotes[ID_Pacote],tPacotes[Categoria])</f>
        <v>Praia</v>
      </c>
      <c r="O998" t="str">
        <f>_xlfn.XLOOKUP(D998,tClientes[ID_Cliente],tClientes[UF])</f>
        <v>SP</v>
      </c>
    </row>
    <row r="999" spans="1:15" x14ac:dyDescent="0.3">
      <c r="A999">
        <v>998</v>
      </c>
      <c r="B999" s="3">
        <v>46136</v>
      </c>
      <c r="C999" s="3">
        <v>46148</v>
      </c>
      <c r="D999">
        <v>24</v>
      </c>
      <c r="E999">
        <v>14</v>
      </c>
      <c r="F999">
        <v>2</v>
      </c>
      <c r="G999" s="2">
        <v>5800</v>
      </c>
      <c r="H999" s="4">
        <v>0</v>
      </c>
      <c r="I999" s="2">
        <v>5800</v>
      </c>
      <c r="J999" t="s">
        <v>257</v>
      </c>
      <c r="K999" t="s">
        <v>254</v>
      </c>
      <c r="L999">
        <v>4</v>
      </c>
      <c r="M999" t="str">
        <f>_xlfn.XLOOKUP(E999,tPacotes[ID_Pacote],tPacotes[Pacote])</f>
        <v>Lençóis Maranhenses</v>
      </c>
      <c r="N999" t="str">
        <f>_xlfn.XLOOKUP(E999,tPacotes[ID_Pacote],tPacotes[Categoria])</f>
        <v>Natureza</v>
      </c>
      <c r="O999" t="str">
        <f>_xlfn.XLOOKUP(D999,tClientes[ID_Cliente],tClientes[UF])</f>
        <v>SP</v>
      </c>
    </row>
    <row r="1000" spans="1:15" x14ac:dyDescent="0.3">
      <c r="A1000">
        <v>999</v>
      </c>
      <c r="B1000" s="3">
        <v>46137</v>
      </c>
      <c r="C1000" s="3">
        <v>46293</v>
      </c>
      <c r="D1000">
        <v>193</v>
      </c>
      <c r="E1000">
        <v>15</v>
      </c>
      <c r="F1000">
        <v>2</v>
      </c>
      <c r="G1000" s="2">
        <v>6200</v>
      </c>
      <c r="H1000" s="4">
        <v>0</v>
      </c>
      <c r="I1000" s="2">
        <v>6200</v>
      </c>
      <c r="J1000" t="s">
        <v>253</v>
      </c>
      <c r="K1000" t="s">
        <v>254</v>
      </c>
      <c r="M1000" t="str">
        <f>_xlfn.XLOOKUP(E1000,tPacotes[ID_Pacote],tPacotes[Pacote])</f>
        <v>Jericoacoara</v>
      </c>
      <c r="N1000" t="str">
        <f>_xlfn.XLOOKUP(E1000,tPacotes[ID_Pacote],tPacotes[Categoria])</f>
        <v>Praia</v>
      </c>
      <c r="O1000" t="str">
        <f>_xlfn.XLOOKUP(D1000,tClientes[ID_Cliente],tClientes[UF])</f>
        <v>SP</v>
      </c>
    </row>
    <row r="1001" spans="1:15" x14ac:dyDescent="0.3">
      <c r="A1001">
        <v>1000</v>
      </c>
      <c r="B1001" s="3">
        <v>46138</v>
      </c>
      <c r="C1001" s="3">
        <v>46198</v>
      </c>
      <c r="D1001">
        <v>179</v>
      </c>
      <c r="E1001">
        <v>12</v>
      </c>
      <c r="F1001">
        <v>1</v>
      </c>
      <c r="G1001" s="2">
        <v>12400</v>
      </c>
      <c r="H1001" s="4">
        <v>0</v>
      </c>
      <c r="I1001" s="2">
        <v>12400</v>
      </c>
      <c r="J1001" t="s">
        <v>255</v>
      </c>
      <c r="K1001" t="s">
        <v>254</v>
      </c>
      <c r="L1001">
        <v>4</v>
      </c>
      <c r="M1001" t="str">
        <f>_xlfn.XLOOKUP(E1001,tPacotes[ID_Pacote],tPacotes[Pacote])</f>
        <v>Lisboa e Porto</v>
      </c>
      <c r="N1001" t="str">
        <f>_xlfn.XLOOKUP(E1001,tPacotes[ID_Pacote],tPacotes[Categoria])</f>
        <v>Cultural</v>
      </c>
      <c r="O1001" t="str">
        <f>_xlfn.XLOOKUP(D1001,tClientes[ID_Cliente],tClientes[UF])</f>
        <v>SP</v>
      </c>
    </row>
    <row r="1002" spans="1:15" x14ac:dyDescent="0.3">
      <c r="A1002">
        <v>1001</v>
      </c>
      <c r="B1002" s="3">
        <v>46138</v>
      </c>
      <c r="C1002" s="3">
        <v>46232</v>
      </c>
      <c r="D1002">
        <v>100</v>
      </c>
      <c r="E1002">
        <v>7</v>
      </c>
      <c r="F1002">
        <v>2</v>
      </c>
      <c r="G1002" s="2">
        <v>8400</v>
      </c>
      <c r="H1002" s="4">
        <v>0</v>
      </c>
      <c r="I1002" s="2">
        <v>8400</v>
      </c>
      <c r="J1002" t="s">
        <v>255</v>
      </c>
      <c r="K1002" t="s">
        <v>254</v>
      </c>
      <c r="L1002">
        <v>3</v>
      </c>
      <c r="M1002" t="str">
        <f>_xlfn.XLOOKUP(E1002,tPacotes[ID_Pacote],tPacotes[Pacote])</f>
        <v>Buenos Aires Clássica</v>
      </c>
      <c r="N1002" t="str">
        <f>_xlfn.XLOOKUP(E1002,tPacotes[ID_Pacote],tPacotes[Categoria])</f>
        <v>Cultural</v>
      </c>
      <c r="O1002" t="str">
        <f>_xlfn.XLOOKUP(D1002,tClientes[ID_Cliente],tClientes[UF])</f>
        <v>SP</v>
      </c>
    </row>
    <row r="1003" spans="1:15" x14ac:dyDescent="0.3">
      <c r="A1003">
        <v>1002</v>
      </c>
      <c r="B1003" s="3">
        <v>46138</v>
      </c>
      <c r="C1003" s="3">
        <v>46170</v>
      </c>
      <c r="D1003">
        <v>30</v>
      </c>
      <c r="E1003">
        <v>6</v>
      </c>
      <c r="F1003">
        <v>1</v>
      </c>
      <c r="G1003" s="2">
        <v>2100</v>
      </c>
      <c r="H1003" s="4">
        <v>0.15</v>
      </c>
      <c r="I1003" s="2">
        <v>1785</v>
      </c>
      <c r="J1003" t="s">
        <v>257</v>
      </c>
      <c r="K1003" t="s">
        <v>254</v>
      </c>
      <c r="L1003">
        <v>4</v>
      </c>
      <c r="M1003" t="str">
        <f>_xlfn.XLOOKUP(E1003,tPacotes[ID_Pacote],tPacotes[Pacote])</f>
        <v>Foz do Iguaçu</v>
      </c>
      <c r="N1003" t="str">
        <f>_xlfn.XLOOKUP(E1003,tPacotes[ID_Pacote],tPacotes[Categoria])</f>
        <v>Natureza</v>
      </c>
      <c r="O1003" t="str">
        <f>_xlfn.XLOOKUP(D1003,tClientes[ID_Cliente],tClientes[UF])</f>
        <v>SP</v>
      </c>
    </row>
    <row r="1004" spans="1:15" x14ac:dyDescent="0.3">
      <c r="A1004">
        <v>1003</v>
      </c>
      <c r="B1004" s="3">
        <v>46138</v>
      </c>
      <c r="C1004" s="3">
        <v>46196</v>
      </c>
      <c r="D1004">
        <v>194</v>
      </c>
      <c r="E1004">
        <v>12</v>
      </c>
      <c r="F1004">
        <v>2</v>
      </c>
      <c r="G1004" s="2">
        <v>24800</v>
      </c>
      <c r="H1004" s="4">
        <v>0</v>
      </c>
      <c r="I1004" s="2">
        <v>24800</v>
      </c>
      <c r="J1004" t="s">
        <v>257</v>
      </c>
      <c r="K1004" t="s">
        <v>254</v>
      </c>
      <c r="L1004">
        <v>4</v>
      </c>
      <c r="M1004" t="str">
        <f>_xlfn.XLOOKUP(E1004,tPacotes[ID_Pacote],tPacotes[Pacote])</f>
        <v>Lisboa e Porto</v>
      </c>
      <c r="N1004" t="str">
        <f>_xlfn.XLOOKUP(E1004,tPacotes[ID_Pacote],tPacotes[Categoria])</f>
        <v>Cultural</v>
      </c>
      <c r="O1004" t="str">
        <f>_xlfn.XLOOKUP(D1004,tClientes[ID_Cliente],tClientes[UF])</f>
        <v>DF</v>
      </c>
    </row>
    <row r="1005" spans="1:15" x14ac:dyDescent="0.3">
      <c r="A1005">
        <v>1004</v>
      </c>
      <c r="B1005" s="3">
        <v>46139</v>
      </c>
      <c r="C1005" s="3">
        <v>46164</v>
      </c>
      <c r="D1005">
        <v>172</v>
      </c>
      <c r="E1005">
        <v>9</v>
      </c>
      <c r="F1005">
        <v>2</v>
      </c>
      <c r="G1005" s="2">
        <v>17800</v>
      </c>
      <c r="H1005" s="4">
        <v>0</v>
      </c>
      <c r="I1005" s="2">
        <v>17800</v>
      </c>
      <c r="J1005" t="s">
        <v>255</v>
      </c>
      <c r="K1005" t="s">
        <v>254</v>
      </c>
      <c r="L1005">
        <v>5</v>
      </c>
      <c r="M1005" t="str">
        <f>_xlfn.XLOOKUP(E1005,tPacotes[ID_Pacote],tPacotes[Pacote])</f>
        <v>Cancún All Inclusive</v>
      </c>
      <c r="N1005" t="str">
        <f>_xlfn.XLOOKUP(E1005,tPacotes[ID_Pacote],tPacotes[Categoria])</f>
        <v>Praia</v>
      </c>
      <c r="O1005" t="str">
        <f>_xlfn.XLOOKUP(D1005,tClientes[ID_Cliente],tClientes[UF])</f>
        <v>DF</v>
      </c>
    </row>
    <row r="1006" spans="1:15" x14ac:dyDescent="0.3">
      <c r="A1006">
        <v>1005</v>
      </c>
      <c r="B1006" s="3">
        <v>46139</v>
      </c>
      <c r="C1006" s="3">
        <v>46311</v>
      </c>
      <c r="D1006">
        <v>117</v>
      </c>
      <c r="E1006">
        <v>10</v>
      </c>
      <c r="F1006">
        <v>2</v>
      </c>
      <c r="G1006" s="2">
        <v>23000</v>
      </c>
      <c r="H1006" s="4">
        <v>0.05</v>
      </c>
      <c r="I1006" s="2">
        <v>21850</v>
      </c>
      <c r="J1006" t="s">
        <v>257</v>
      </c>
      <c r="K1006" t="s">
        <v>254</v>
      </c>
      <c r="M1006" t="str">
        <f>_xlfn.XLOOKUP(E1006,tPacotes[ID_Pacote],tPacotes[Pacote])</f>
        <v>Orlando Parques</v>
      </c>
      <c r="N1006" t="str">
        <f>_xlfn.XLOOKUP(E1006,tPacotes[ID_Pacote],tPacotes[Categoria])</f>
        <v>Parques</v>
      </c>
      <c r="O1006" t="str">
        <f>_xlfn.XLOOKUP(D1006,tClientes[ID_Cliente],tClientes[UF])</f>
        <v>SP</v>
      </c>
    </row>
    <row r="1007" spans="1:15" x14ac:dyDescent="0.3">
      <c r="A1007">
        <v>1006</v>
      </c>
      <c r="B1007" s="3">
        <v>46139</v>
      </c>
      <c r="C1007" s="3">
        <v>46222</v>
      </c>
      <c r="D1007">
        <v>51</v>
      </c>
      <c r="E1007">
        <v>4</v>
      </c>
      <c r="F1007">
        <v>2</v>
      </c>
      <c r="G1007" s="2">
        <v>13800</v>
      </c>
      <c r="H1007" s="4">
        <v>0</v>
      </c>
      <c r="I1007" s="2">
        <v>13800</v>
      </c>
      <c r="J1007" t="s">
        <v>256</v>
      </c>
      <c r="K1007" t="s">
        <v>254</v>
      </c>
      <c r="L1007">
        <v>5</v>
      </c>
      <c r="M1007" t="str">
        <f>_xlfn.XLOOKUP(E1007,tPacotes[ID_Pacote],tPacotes[Pacote])</f>
        <v>Fernando de Noronha</v>
      </c>
      <c r="N1007" t="str">
        <f>_xlfn.XLOOKUP(E1007,tPacotes[ID_Pacote],tPacotes[Categoria])</f>
        <v>Praia</v>
      </c>
      <c r="O1007" t="str">
        <f>_xlfn.XLOOKUP(D1007,tClientes[ID_Cliente],tClientes[UF])</f>
        <v>RJ</v>
      </c>
    </row>
    <row r="1008" spans="1:15" x14ac:dyDescent="0.3">
      <c r="A1008">
        <v>1007</v>
      </c>
      <c r="B1008" s="3">
        <v>46141</v>
      </c>
      <c r="C1008" s="3">
        <v>46168</v>
      </c>
      <c r="D1008">
        <v>2</v>
      </c>
      <c r="E1008">
        <v>3</v>
      </c>
      <c r="F1008">
        <v>4</v>
      </c>
      <c r="G1008" s="2">
        <v>10400</v>
      </c>
      <c r="H1008" s="4">
        <v>0</v>
      </c>
      <c r="I1008" s="2">
        <v>10400</v>
      </c>
      <c r="J1008" t="s">
        <v>253</v>
      </c>
      <c r="K1008" t="s">
        <v>254</v>
      </c>
      <c r="L1008">
        <v>3</v>
      </c>
      <c r="M1008" t="str">
        <f>_xlfn.XLOOKUP(E1008,tPacotes[ID_Pacote],tPacotes[Pacote])</f>
        <v>Serra Gaúcha</v>
      </c>
      <c r="N1008" t="str">
        <f>_xlfn.XLOOKUP(E1008,tPacotes[ID_Pacote],tPacotes[Categoria])</f>
        <v>Inverno</v>
      </c>
      <c r="O1008" t="str">
        <f>_xlfn.XLOOKUP(D1008,tClientes[ID_Cliente],tClientes[UF])</f>
        <v>RJ</v>
      </c>
    </row>
    <row r="1009" spans="1:15" x14ac:dyDescent="0.3">
      <c r="A1009">
        <v>1008</v>
      </c>
      <c r="B1009" s="3">
        <v>46141</v>
      </c>
      <c r="C1009" s="3">
        <v>46160</v>
      </c>
      <c r="D1009">
        <v>38</v>
      </c>
      <c r="E1009">
        <v>7</v>
      </c>
      <c r="F1009">
        <v>2</v>
      </c>
      <c r="G1009" s="2">
        <v>8400</v>
      </c>
      <c r="H1009" s="4">
        <v>0</v>
      </c>
      <c r="I1009" s="2">
        <v>8400</v>
      </c>
      <c r="J1009" t="s">
        <v>253</v>
      </c>
      <c r="K1009" t="s">
        <v>254</v>
      </c>
      <c r="L1009">
        <v>5</v>
      </c>
      <c r="M1009" t="str">
        <f>_xlfn.XLOOKUP(E1009,tPacotes[ID_Pacote],tPacotes[Pacote])</f>
        <v>Buenos Aires Clássica</v>
      </c>
      <c r="N1009" t="str">
        <f>_xlfn.XLOOKUP(E1009,tPacotes[ID_Pacote],tPacotes[Categoria])</f>
        <v>Cultural</v>
      </c>
      <c r="O1009" t="str">
        <f>_xlfn.XLOOKUP(D1009,tClientes[ID_Cliente],tClientes[UF])</f>
        <v>SP</v>
      </c>
    </row>
    <row r="1010" spans="1:15" x14ac:dyDescent="0.3">
      <c r="A1010">
        <v>1009</v>
      </c>
      <c r="B1010" s="3">
        <v>46141</v>
      </c>
      <c r="C1010" s="3">
        <v>46217</v>
      </c>
      <c r="D1010">
        <v>53</v>
      </c>
      <c r="E1010">
        <v>6</v>
      </c>
      <c r="F1010">
        <v>1</v>
      </c>
      <c r="G1010" s="2">
        <v>2100</v>
      </c>
      <c r="H1010" s="4">
        <v>0</v>
      </c>
      <c r="I1010" s="2">
        <v>2100</v>
      </c>
      <c r="J1010" t="s">
        <v>256</v>
      </c>
      <c r="K1010" t="s">
        <v>254</v>
      </c>
      <c r="L1010">
        <v>5</v>
      </c>
      <c r="M1010" t="str">
        <f>_xlfn.XLOOKUP(E1010,tPacotes[ID_Pacote],tPacotes[Pacote])</f>
        <v>Foz do Iguaçu</v>
      </c>
      <c r="N1010" t="str">
        <f>_xlfn.XLOOKUP(E1010,tPacotes[ID_Pacote],tPacotes[Categoria])</f>
        <v>Natureza</v>
      </c>
      <c r="O1010" t="str">
        <f>_xlfn.XLOOKUP(D1010,tClientes[ID_Cliente],tClientes[UF])</f>
        <v>RJ</v>
      </c>
    </row>
    <row r="1011" spans="1:15" x14ac:dyDescent="0.3">
      <c r="A1011">
        <v>1010</v>
      </c>
      <c r="B1011" s="3">
        <v>46141</v>
      </c>
      <c r="C1011" s="3">
        <v>46175</v>
      </c>
      <c r="D1011">
        <v>39</v>
      </c>
      <c r="E1011">
        <v>1</v>
      </c>
      <c r="F1011">
        <v>5</v>
      </c>
      <c r="G1011" s="2">
        <v>16000</v>
      </c>
      <c r="H1011" s="4">
        <v>0</v>
      </c>
      <c r="I1011" s="2">
        <v>16000</v>
      </c>
      <c r="J1011" t="s">
        <v>253</v>
      </c>
      <c r="K1011" t="s">
        <v>258</v>
      </c>
      <c r="M1011" t="str">
        <f>_xlfn.XLOOKUP(E1011,tPacotes[ID_Pacote],tPacotes[Pacote])</f>
        <v>Nordeste Encantado</v>
      </c>
      <c r="N1011" t="str">
        <f>_xlfn.XLOOKUP(E1011,tPacotes[ID_Pacote],tPacotes[Categoria])</f>
        <v>Praia</v>
      </c>
      <c r="O1011" t="str">
        <f>_xlfn.XLOOKUP(D1011,tClientes[ID_Cliente],tClientes[UF])</f>
        <v>RJ</v>
      </c>
    </row>
    <row r="1012" spans="1:15" x14ac:dyDescent="0.3">
      <c r="A1012">
        <v>1011</v>
      </c>
      <c r="B1012" s="3">
        <v>46142</v>
      </c>
      <c r="C1012" s="3">
        <v>46159</v>
      </c>
      <c r="D1012">
        <v>17</v>
      </c>
      <c r="E1012">
        <v>2</v>
      </c>
      <c r="F1012">
        <v>2</v>
      </c>
      <c r="G1012" s="2">
        <v>3600</v>
      </c>
      <c r="H1012" s="4">
        <v>0.05</v>
      </c>
      <c r="I1012" s="2">
        <v>3420</v>
      </c>
      <c r="J1012" t="s">
        <v>255</v>
      </c>
      <c r="K1012" t="s">
        <v>254</v>
      </c>
      <c r="L1012">
        <v>4</v>
      </c>
      <c r="M1012" t="str">
        <f>_xlfn.XLOOKUP(E1012,tPacotes[ID_Pacote],tPacotes[Pacote])</f>
        <v>Rio Cidade Maravilhosa</v>
      </c>
      <c r="N1012" t="str">
        <f>_xlfn.XLOOKUP(E1012,tPacotes[ID_Pacote],tPacotes[Categoria])</f>
        <v>Cultural</v>
      </c>
      <c r="O1012" t="str">
        <f>_xlfn.XLOOKUP(D1012,tClientes[ID_Cliente],tClientes[UF])</f>
        <v>RJ</v>
      </c>
    </row>
    <row r="1013" spans="1:15" x14ac:dyDescent="0.3">
      <c r="A1013">
        <v>1012</v>
      </c>
      <c r="B1013" s="3">
        <v>46142</v>
      </c>
      <c r="C1013" s="3">
        <v>46209</v>
      </c>
      <c r="D1013">
        <v>12</v>
      </c>
      <c r="E1013">
        <v>15</v>
      </c>
      <c r="F1013">
        <v>5</v>
      </c>
      <c r="G1013" s="2">
        <v>15500</v>
      </c>
      <c r="H1013" s="4">
        <v>0.05</v>
      </c>
      <c r="I1013" s="2">
        <v>14725</v>
      </c>
      <c r="J1013" t="s">
        <v>257</v>
      </c>
      <c r="K1013" t="s">
        <v>254</v>
      </c>
      <c r="L1013">
        <v>5</v>
      </c>
      <c r="M1013" t="str">
        <f>_xlfn.XLOOKUP(E1013,tPacotes[ID_Pacote],tPacotes[Pacote])</f>
        <v>Jericoacoara</v>
      </c>
      <c r="N1013" t="str">
        <f>_xlfn.XLOOKUP(E1013,tPacotes[ID_Pacote],tPacotes[Categoria])</f>
        <v>Praia</v>
      </c>
      <c r="O1013" t="str">
        <f>_xlfn.XLOOKUP(D1013,tClientes[ID_Cliente],tClientes[UF])</f>
        <v>RJ</v>
      </c>
    </row>
    <row r="1014" spans="1:15" x14ac:dyDescent="0.3">
      <c r="A1014">
        <v>1013</v>
      </c>
      <c r="B1014" s="3">
        <v>46142</v>
      </c>
      <c r="C1014" s="3">
        <v>46219</v>
      </c>
      <c r="D1014">
        <v>18</v>
      </c>
      <c r="E1014">
        <v>1</v>
      </c>
      <c r="F1014">
        <v>3</v>
      </c>
      <c r="G1014" s="2">
        <v>9600</v>
      </c>
      <c r="H1014" s="4">
        <v>0.05</v>
      </c>
      <c r="I1014" s="2">
        <v>9120</v>
      </c>
      <c r="J1014" t="s">
        <v>257</v>
      </c>
      <c r="K1014" t="s">
        <v>258</v>
      </c>
      <c r="M1014" t="str">
        <f>_xlfn.XLOOKUP(E1014,tPacotes[ID_Pacote],tPacotes[Pacote])</f>
        <v>Nordeste Encantado</v>
      </c>
      <c r="N1014" t="str">
        <f>_xlfn.XLOOKUP(E1014,tPacotes[ID_Pacote],tPacotes[Categoria])</f>
        <v>Praia</v>
      </c>
      <c r="O1014" t="str">
        <f>_xlfn.XLOOKUP(D1014,tClientes[ID_Cliente],tClientes[UF])</f>
        <v>PR</v>
      </c>
    </row>
    <row r="1015" spans="1:15" x14ac:dyDescent="0.3">
      <c r="A1015">
        <v>1014</v>
      </c>
      <c r="B1015" s="3">
        <v>46142</v>
      </c>
      <c r="C1015" s="3">
        <v>46231</v>
      </c>
      <c r="D1015">
        <v>7</v>
      </c>
      <c r="E1015">
        <v>1</v>
      </c>
      <c r="F1015">
        <v>1</v>
      </c>
      <c r="G1015" s="2">
        <v>3200</v>
      </c>
      <c r="H1015" s="4">
        <v>0</v>
      </c>
      <c r="I1015" s="2">
        <v>3200</v>
      </c>
      <c r="J1015" t="s">
        <v>253</v>
      </c>
      <c r="K1015" t="s">
        <v>254</v>
      </c>
      <c r="L1015">
        <v>3</v>
      </c>
      <c r="M1015" t="str">
        <f>_xlfn.XLOOKUP(E1015,tPacotes[ID_Pacote],tPacotes[Pacote])</f>
        <v>Nordeste Encantado</v>
      </c>
      <c r="N1015" t="str">
        <f>_xlfn.XLOOKUP(E1015,tPacotes[ID_Pacote],tPacotes[Categoria])</f>
        <v>Praia</v>
      </c>
      <c r="O1015" t="str">
        <f>_xlfn.XLOOKUP(D1015,tClientes[ID_Cliente],tClientes[UF])</f>
        <v>SP</v>
      </c>
    </row>
    <row r="1016" spans="1:15" x14ac:dyDescent="0.3">
      <c r="A1016">
        <v>1015</v>
      </c>
      <c r="B1016" s="3">
        <v>46142</v>
      </c>
      <c r="C1016" s="3">
        <v>46160</v>
      </c>
      <c r="D1016">
        <v>63</v>
      </c>
      <c r="E1016">
        <v>15</v>
      </c>
      <c r="F1016">
        <v>3</v>
      </c>
      <c r="G1016" s="2">
        <v>9300</v>
      </c>
      <c r="H1016" s="4">
        <v>0</v>
      </c>
      <c r="I1016" s="2">
        <v>9300</v>
      </c>
      <c r="J1016" t="s">
        <v>253</v>
      </c>
      <c r="K1016" t="s">
        <v>254</v>
      </c>
      <c r="L1016">
        <v>5</v>
      </c>
      <c r="M1016" t="str">
        <f>_xlfn.XLOOKUP(E1016,tPacotes[ID_Pacote],tPacotes[Pacote])</f>
        <v>Jericoacoara</v>
      </c>
      <c r="N1016" t="str">
        <f>_xlfn.XLOOKUP(E1016,tPacotes[ID_Pacote],tPacotes[Categoria])</f>
        <v>Praia</v>
      </c>
      <c r="O1016" t="str">
        <f>_xlfn.XLOOKUP(D1016,tClientes[ID_Cliente],tClientes[UF])</f>
        <v>RS</v>
      </c>
    </row>
    <row r="1017" spans="1:15" x14ac:dyDescent="0.3">
      <c r="A1017">
        <v>1016</v>
      </c>
      <c r="B1017" s="3">
        <v>46144</v>
      </c>
      <c r="C1017" s="3">
        <v>46218</v>
      </c>
      <c r="D1017">
        <v>83</v>
      </c>
      <c r="E1017">
        <v>2</v>
      </c>
      <c r="F1017">
        <v>2</v>
      </c>
      <c r="G1017" s="2">
        <v>3600</v>
      </c>
      <c r="H1017" s="4">
        <v>0</v>
      </c>
      <c r="I1017" s="2">
        <v>3600</v>
      </c>
      <c r="J1017" t="s">
        <v>253</v>
      </c>
      <c r="K1017" t="s">
        <v>258</v>
      </c>
      <c r="M1017" t="str">
        <f>_xlfn.XLOOKUP(E1017,tPacotes[ID_Pacote],tPacotes[Pacote])</f>
        <v>Rio Cidade Maravilhosa</v>
      </c>
      <c r="N1017" t="str">
        <f>_xlfn.XLOOKUP(E1017,tPacotes[ID_Pacote],tPacotes[Categoria])</f>
        <v>Cultural</v>
      </c>
      <c r="O1017" t="str">
        <f>_xlfn.XLOOKUP(D1017,tClientes[ID_Cliente],tClientes[UF])</f>
        <v>SP</v>
      </c>
    </row>
    <row r="1018" spans="1:15" x14ac:dyDescent="0.3">
      <c r="A1018">
        <v>1017</v>
      </c>
      <c r="B1018" s="3">
        <v>46144</v>
      </c>
      <c r="C1018" s="3">
        <v>46285</v>
      </c>
      <c r="D1018">
        <v>47</v>
      </c>
      <c r="E1018">
        <v>6</v>
      </c>
      <c r="F1018">
        <v>1</v>
      </c>
      <c r="G1018" s="2">
        <v>2100</v>
      </c>
      <c r="H1018" s="4">
        <v>0.05</v>
      </c>
      <c r="I1018" s="2">
        <v>1995</v>
      </c>
      <c r="J1018" t="s">
        <v>253</v>
      </c>
      <c r="K1018" t="s">
        <v>254</v>
      </c>
      <c r="L1018">
        <v>5</v>
      </c>
      <c r="M1018" t="str">
        <f>_xlfn.XLOOKUP(E1018,tPacotes[ID_Pacote],tPacotes[Pacote])</f>
        <v>Foz do Iguaçu</v>
      </c>
      <c r="N1018" t="str">
        <f>_xlfn.XLOOKUP(E1018,tPacotes[ID_Pacote],tPacotes[Categoria])</f>
        <v>Natureza</v>
      </c>
      <c r="O1018" t="str">
        <f>_xlfn.XLOOKUP(D1018,tClientes[ID_Cliente],tClientes[UF])</f>
        <v>BA</v>
      </c>
    </row>
    <row r="1019" spans="1:15" x14ac:dyDescent="0.3">
      <c r="A1019">
        <v>1018</v>
      </c>
      <c r="B1019" s="3">
        <v>46144</v>
      </c>
      <c r="C1019" s="3">
        <v>46259</v>
      </c>
      <c r="D1019">
        <v>40</v>
      </c>
      <c r="E1019">
        <v>15</v>
      </c>
      <c r="F1019">
        <v>2</v>
      </c>
      <c r="G1019" s="2">
        <v>6200</v>
      </c>
      <c r="H1019" s="4">
        <v>0</v>
      </c>
      <c r="I1019" s="2">
        <v>6200</v>
      </c>
      <c r="J1019" t="s">
        <v>255</v>
      </c>
      <c r="K1019" t="s">
        <v>254</v>
      </c>
      <c r="L1019">
        <v>4</v>
      </c>
      <c r="M1019" t="str">
        <f>_xlfn.XLOOKUP(E1019,tPacotes[ID_Pacote],tPacotes[Pacote])</f>
        <v>Jericoacoara</v>
      </c>
      <c r="N1019" t="str">
        <f>_xlfn.XLOOKUP(E1019,tPacotes[ID_Pacote],tPacotes[Categoria])</f>
        <v>Praia</v>
      </c>
      <c r="O1019" t="str">
        <f>_xlfn.XLOOKUP(D1019,tClientes[ID_Cliente],tClientes[UF])</f>
        <v>RJ</v>
      </c>
    </row>
    <row r="1020" spans="1:15" x14ac:dyDescent="0.3">
      <c r="A1020">
        <v>1019</v>
      </c>
      <c r="B1020" s="3">
        <v>46144</v>
      </c>
      <c r="C1020" s="3">
        <v>46161</v>
      </c>
      <c r="D1020">
        <v>189</v>
      </c>
      <c r="E1020">
        <v>2</v>
      </c>
      <c r="F1020">
        <v>2</v>
      </c>
      <c r="G1020" s="2">
        <v>3600</v>
      </c>
      <c r="H1020" s="4">
        <v>0.1</v>
      </c>
      <c r="I1020" s="2">
        <v>3240</v>
      </c>
      <c r="J1020" t="s">
        <v>257</v>
      </c>
      <c r="K1020" t="s">
        <v>254</v>
      </c>
      <c r="L1020">
        <v>4</v>
      </c>
      <c r="M1020" t="str">
        <f>_xlfn.XLOOKUP(E1020,tPacotes[ID_Pacote],tPacotes[Pacote])</f>
        <v>Rio Cidade Maravilhosa</v>
      </c>
      <c r="N1020" t="str">
        <f>_xlfn.XLOOKUP(E1020,tPacotes[ID_Pacote],tPacotes[Categoria])</f>
        <v>Cultural</v>
      </c>
      <c r="O1020" t="str">
        <f>_xlfn.XLOOKUP(D1020,tClientes[ID_Cliente],tClientes[UF])</f>
        <v>SP</v>
      </c>
    </row>
    <row r="1021" spans="1:15" x14ac:dyDescent="0.3">
      <c r="A1021">
        <v>1020</v>
      </c>
      <c r="B1021" s="3">
        <v>46145</v>
      </c>
      <c r="C1021" s="3">
        <v>46180</v>
      </c>
      <c r="D1021">
        <v>183</v>
      </c>
      <c r="E1021">
        <v>6</v>
      </c>
      <c r="F1021">
        <v>3</v>
      </c>
      <c r="G1021" s="2">
        <v>6300</v>
      </c>
      <c r="H1021" s="4">
        <v>0</v>
      </c>
      <c r="I1021" s="2">
        <v>6300</v>
      </c>
      <c r="J1021" t="s">
        <v>253</v>
      </c>
      <c r="K1021" t="s">
        <v>254</v>
      </c>
      <c r="L1021">
        <v>5</v>
      </c>
      <c r="M1021" t="str">
        <f>_xlfn.XLOOKUP(E1021,tPacotes[ID_Pacote],tPacotes[Pacote])</f>
        <v>Foz do Iguaçu</v>
      </c>
      <c r="N1021" t="str">
        <f>_xlfn.XLOOKUP(E1021,tPacotes[ID_Pacote],tPacotes[Categoria])</f>
        <v>Natureza</v>
      </c>
      <c r="O1021" t="str">
        <f>_xlfn.XLOOKUP(D1021,tClientes[ID_Cliente],tClientes[UF])</f>
        <v>MG</v>
      </c>
    </row>
    <row r="1022" spans="1:15" x14ac:dyDescent="0.3">
      <c r="A1022">
        <v>1021</v>
      </c>
      <c r="B1022" s="3">
        <v>46145</v>
      </c>
      <c r="C1022" s="3">
        <v>46170</v>
      </c>
      <c r="D1022">
        <v>49</v>
      </c>
      <c r="E1022">
        <v>3</v>
      </c>
      <c r="F1022">
        <v>4</v>
      </c>
      <c r="G1022" s="2">
        <v>10400</v>
      </c>
      <c r="H1022" s="4">
        <v>0.15</v>
      </c>
      <c r="I1022" s="2">
        <v>8840</v>
      </c>
      <c r="J1022" t="s">
        <v>253</v>
      </c>
      <c r="K1022" t="s">
        <v>254</v>
      </c>
      <c r="L1022">
        <v>4</v>
      </c>
      <c r="M1022" t="str">
        <f>_xlfn.XLOOKUP(E1022,tPacotes[ID_Pacote],tPacotes[Pacote])</f>
        <v>Serra Gaúcha</v>
      </c>
      <c r="N1022" t="str">
        <f>_xlfn.XLOOKUP(E1022,tPacotes[ID_Pacote],tPacotes[Categoria])</f>
        <v>Inverno</v>
      </c>
      <c r="O1022" t="str">
        <f>_xlfn.XLOOKUP(D1022,tClientes[ID_Cliente],tClientes[UF])</f>
        <v>RJ</v>
      </c>
    </row>
    <row r="1023" spans="1:15" x14ac:dyDescent="0.3">
      <c r="A1023">
        <v>1022</v>
      </c>
      <c r="B1023" s="3">
        <v>46146</v>
      </c>
      <c r="C1023" s="3">
        <v>46284</v>
      </c>
      <c r="D1023">
        <v>66</v>
      </c>
      <c r="E1023">
        <v>1</v>
      </c>
      <c r="F1023">
        <v>3</v>
      </c>
      <c r="G1023" s="2">
        <v>9600</v>
      </c>
      <c r="H1023" s="4">
        <v>0</v>
      </c>
      <c r="I1023" s="2">
        <v>9600</v>
      </c>
      <c r="J1023" t="s">
        <v>253</v>
      </c>
      <c r="K1023" t="s">
        <v>254</v>
      </c>
      <c r="L1023">
        <v>4</v>
      </c>
      <c r="M1023" t="str">
        <f>_xlfn.XLOOKUP(E1023,tPacotes[ID_Pacote],tPacotes[Pacote])</f>
        <v>Nordeste Encantado</v>
      </c>
      <c r="N1023" t="str">
        <f>_xlfn.XLOOKUP(E1023,tPacotes[ID_Pacote],tPacotes[Categoria])</f>
        <v>Praia</v>
      </c>
      <c r="O1023" t="str">
        <f>_xlfn.XLOOKUP(D1023,tClientes[ID_Cliente],tClientes[UF])</f>
        <v>BA</v>
      </c>
    </row>
    <row r="1024" spans="1:15" x14ac:dyDescent="0.3">
      <c r="A1024">
        <v>1023</v>
      </c>
      <c r="B1024" s="3">
        <v>46147</v>
      </c>
      <c r="C1024" s="3">
        <v>46195</v>
      </c>
      <c r="D1024">
        <v>2</v>
      </c>
      <c r="E1024">
        <v>10</v>
      </c>
      <c r="F1024">
        <v>1</v>
      </c>
      <c r="G1024" s="2">
        <v>11500</v>
      </c>
      <c r="H1024" s="4">
        <v>0</v>
      </c>
      <c r="I1024" s="2">
        <v>11500</v>
      </c>
      <c r="J1024" t="s">
        <v>257</v>
      </c>
      <c r="K1024" t="s">
        <v>258</v>
      </c>
      <c r="M1024" t="str">
        <f>_xlfn.XLOOKUP(E1024,tPacotes[ID_Pacote],tPacotes[Pacote])</f>
        <v>Orlando Parques</v>
      </c>
      <c r="N1024" t="str">
        <f>_xlfn.XLOOKUP(E1024,tPacotes[ID_Pacote],tPacotes[Categoria])</f>
        <v>Parques</v>
      </c>
      <c r="O1024" t="str">
        <f>_xlfn.XLOOKUP(D1024,tClientes[ID_Cliente],tClientes[UF])</f>
        <v>RJ</v>
      </c>
    </row>
    <row r="1025" spans="1:15" x14ac:dyDescent="0.3">
      <c r="A1025">
        <v>1024</v>
      </c>
      <c r="B1025" s="3">
        <v>46147</v>
      </c>
      <c r="C1025" s="3">
        <v>46246</v>
      </c>
      <c r="D1025">
        <v>169</v>
      </c>
      <c r="E1025">
        <v>6</v>
      </c>
      <c r="F1025">
        <v>2</v>
      </c>
      <c r="G1025" s="2">
        <v>4200</v>
      </c>
      <c r="H1025" s="4">
        <v>0.05</v>
      </c>
      <c r="I1025" s="2">
        <v>3990</v>
      </c>
      <c r="J1025" t="s">
        <v>253</v>
      </c>
      <c r="K1025" t="s">
        <v>254</v>
      </c>
      <c r="L1025">
        <v>4</v>
      </c>
      <c r="M1025" t="str">
        <f>_xlfn.XLOOKUP(E1025,tPacotes[ID_Pacote],tPacotes[Pacote])</f>
        <v>Foz do Iguaçu</v>
      </c>
      <c r="N1025" t="str">
        <f>_xlfn.XLOOKUP(E1025,tPacotes[ID_Pacote],tPacotes[Categoria])</f>
        <v>Natureza</v>
      </c>
      <c r="O1025" t="str">
        <f>_xlfn.XLOOKUP(D1025,tClientes[ID_Cliente],tClientes[UF])</f>
        <v>BA</v>
      </c>
    </row>
    <row r="1026" spans="1:15" x14ac:dyDescent="0.3">
      <c r="A1026">
        <v>1025</v>
      </c>
      <c r="B1026" s="3">
        <v>46147</v>
      </c>
      <c r="C1026" s="3">
        <v>46165</v>
      </c>
      <c r="D1026">
        <v>39</v>
      </c>
      <c r="E1026">
        <v>4</v>
      </c>
      <c r="F1026">
        <v>3</v>
      </c>
      <c r="G1026" s="2">
        <v>20700</v>
      </c>
      <c r="H1026" s="4">
        <v>0</v>
      </c>
      <c r="I1026" s="2">
        <v>20700</v>
      </c>
      <c r="J1026" t="s">
        <v>253</v>
      </c>
      <c r="K1026" t="s">
        <v>254</v>
      </c>
      <c r="L1026">
        <v>3</v>
      </c>
      <c r="M1026" t="str">
        <f>_xlfn.XLOOKUP(E1026,tPacotes[ID_Pacote],tPacotes[Pacote])</f>
        <v>Fernando de Noronha</v>
      </c>
      <c r="N1026" t="str">
        <f>_xlfn.XLOOKUP(E1026,tPacotes[ID_Pacote],tPacotes[Categoria])</f>
        <v>Praia</v>
      </c>
      <c r="O1026" t="str">
        <f>_xlfn.XLOOKUP(D1026,tClientes[ID_Cliente],tClientes[UF])</f>
        <v>RJ</v>
      </c>
    </row>
    <row r="1027" spans="1:15" x14ac:dyDescent="0.3">
      <c r="A1027">
        <v>1026</v>
      </c>
      <c r="B1027" s="3">
        <v>46147</v>
      </c>
      <c r="C1027" s="3">
        <v>46199</v>
      </c>
      <c r="D1027">
        <v>42</v>
      </c>
      <c r="E1027">
        <v>10</v>
      </c>
      <c r="F1027">
        <v>2</v>
      </c>
      <c r="G1027" s="2">
        <v>23000</v>
      </c>
      <c r="H1027" s="4">
        <v>0</v>
      </c>
      <c r="I1027" s="2">
        <v>23000</v>
      </c>
      <c r="J1027" t="s">
        <v>253</v>
      </c>
      <c r="K1027" t="s">
        <v>254</v>
      </c>
      <c r="L1027">
        <v>4</v>
      </c>
      <c r="M1027" t="str">
        <f>_xlfn.XLOOKUP(E1027,tPacotes[ID_Pacote],tPacotes[Pacote])</f>
        <v>Orlando Parques</v>
      </c>
      <c r="N1027" t="str">
        <f>_xlfn.XLOOKUP(E1027,tPacotes[ID_Pacote],tPacotes[Categoria])</f>
        <v>Parques</v>
      </c>
      <c r="O1027" t="str">
        <f>_xlfn.XLOOKUP(D1027,tClientes[ID_Cliente],tClientes[UF])</f>
        <v>SP</v>
      </c>
    </row>
    <row r="1028" spans="1:15" x14ac:dyDescent="0.3">
      <c r="A1028">
        <v>1027</v>
      </c>
      <c r="B1028" s="3">
        <v>46148</v>
      </c>
      <c r="C1028" s="3">
        <v>46191</v>
      </c>
      <c r="D1028">
        <v>102</v>
      </c>
      <c r="E1028">
        <v>4</v>
      </c>
      <c r="F1028">
        <v>4</v>
      </c>
      <c r="G1028" s="2">
        <v>27600</v>
      </c>
      <c r="H1028" s="4">
        <v>0</v>
      </c>
      <c r="I1028" s="2">
        <v>27600</v>
      </c>
      <c r="J1028" t="s">
        <v>253</v>
      </c>
      <c r="K1028" t="s">
        <v>258</v>
      </c>
      <c r="M1028" t="str">
        <f>_xlfn.XLOOKUP(E1028,tPacotes[ID_Pacote],tPacotes[Pacote])</f>
        <v>Fernando de Noronha</v>
      </c>
      <c r="N1028" t="str">
        <f>_xlfn.XLOOKUP(E1028,tPacotes[ID_Pacote],tPacotes[Categoria])</f>
        <v>Praia</v>
      </c>
      <c r="O1028" t="str">
        <f>_xlfn.XLOOKUP(D1028,tClientes[ID_Cliente],tClientes[UF])</f>
        <v>PR</v>
      </c>
    </row>
    <row r="1029" spans="1:15" x14ac:dyDescent="0.3">
      <c r="A1029">
        <v>1028</v>
      </c>
      <c r="B1029" s="3">
        <v>46148</v>
      </c>
      <c r="C1029" s="3">
        <v>46155</v>
      </c>
      <c r="D1029">
        <v>53</v>
      </c>
      <c r="E1029">
        <v>15</v>
      </c>
      <c r="F1029">
        <v>1</v>
      </c>
      <c r="G1029" s="2">
        <v>3100</v>
      </c>
      <c r="H1029" s="4">
        <v>0</v>
      </c>
      <c r="I1029" s="2">
        <v>3100</v>
      </c>
      <c r="J1029" t="s">
        <v>256</v>
      </c>
      <c r="K1029" t="s">
        <v>258</v>
      </c>
      <c r="M1029" t="str">
        <f>_xlfn.XLOOKUP(E1029,tPacotes[ID_Pacote],tPacotes[Pacote])</f>
        <v>Jericoacoara</v>
      </c>
      <c r="N1029" t="str">
        <f>_xlfn.XLOOKUP(E1029,tPacotes[ID_Pacote],tPacotes[Categoria])</f>
        <v>Praia</v>
      </c>
      <c r="O1029" t="str">
        <f>_xlfn.XLOOKUP(D1029,tClientes[ID_Cliente],tClientes[UF])</f>
        <v>RJ</v>
      </c>
    </row>
    <row r="1030" spans="1:15" x14ac:dyDescent="0.3">
      <c r="A1030">
        <v>1029</v>
      </c>
      <c r="B1030" s="3">
        <v>46149</v>
      </c>
      <c r="C1030" s="3">
        <v>46226</v>
      </c>
      <c r="D1030">
        <v>6</v>
      </c>
      <c r="E1030">
        <v>2</v>
      </c>
      <c r="F1030">
        <v>1</v>
      </c>
      <c r="G1030" s="2">
        <v>1800</v>
      </c>
      <c r="H1030" s="4">
        <v>0</v>
      </c>
      <c r="I1030" s="2">
        <v>1800</v>
      </c>
      <c r="J1030" t="s">
        <v>253</v>
      </c>
      <c r="K1030" t="s">
        <v>258</v>
      </c>
      <c r="M1030" t="str">
        <f>_xlfn.XLOOKUP(E1030,tPacotes[ID_Pacote],tPacotes[Pacote])</f>
        <v>Rio Cidade Maravilhosa</v>
      </c>
      <c r="N1030" t="str">
        <f>_xlfn.XLOOKUP(E1030,tPacotes[ID_Pacote],tPacotes[Categoria])</f>
        <v>Cultural</v>
      </c>
      <c r="O1030" t="str">
        <f>_xlfn.XLOOKUP(D1030,tClientes[ID_Cliente],tClientes[UF])</f>
        <v>SP</v>
      </c>
    </row>
    <row r="1031" spans="1:15" x14ac:dyDescent="0.3">
      <c r="A1031">
        <v>1030</v>
      </c>
      <c r="B1031" s="3">
        <v>46150</v>
      </c>
      <c r="C1031" s="3">
        <v>46155</v>
      </c>
      <c r="D1031">
        <v>160</v>
      </c>
      <c r="E1031">
        <v>3</v>
      </c>
      <c r="F1031">
        <v>2</v>
      </c>
      <c r="G1031" s="2">
        <v>5200</v>
      </c>
      <c r="H1031" s="4">
        <v>0</v>
      </c>
      <c r="I1031" s="2">
        <v>5200</v>
      </c>
      <c r="J1031" t="s">
        <v>255</v>
      </c>
      <c r="K1031" t="s">
        <v>254</v>
      </c>
      <c r="L1031">
        <v>3</v>
      </c>
      <c r="M1031" t="str">
        <f>_xlfn.XLOOKUP(E1031,tPacotes[ID_Pacote],tPacotes[Pacote])</f>
        <v>Serra Gaúcha</v>
      </c>
      <c r="N1031" t="str">
        <f>_xlfn.XLOOKUP(E1031,tPacotes[ID_Pacote],tPacotes[Categoria])</f>
        <v>Inverno</v>
      </c>
      <c r="O1031" t="str">
        <f>_xlfn.XLOOKUP(D1031,tClientes[ID_Cliente],tClientes[UF])</f>
        <v>RJ</v>
      </c>
    </row>
    <row r="1032" spans="1:15" x14ac:dyDescent="0.3">
      <c r="A1032">
        <v>1031</v>
      </c>
      <c r="B1032" s="3">
        <v>46151</v>
      </c>
      <c r="C1032" s="3">
        <v>46161</v>
      </c>
      <c r="D1032">
        <v>63</v>
      </c>
      <c r="E1032">
        <v>6</v>
      </c>
      <c r="F1032">
        <v>2</v>
      </c>
      <c r="G1032" s="2">
        <v>4200</v>
      </c>
      <c r="H1032" s="4">
        <v>0.05</v>
      </c>
      <c r="I1032" s="2">
        <v>3990</v>
      </c>
      <c r="J1032" t="s">
        <v>255</v>
      </c>
      <c r="K1032" t="s">
        <v>254</v>
      </c>
      <c r="L1032">
        <v>4</v>
      </c>
      <c r="M1032" t="str">
        <f>_xlfn.XLOOKUP(E1032,tPacotes[ID_Pacote],tPacotes[Pacote])</f>
        <v>Foz do Iguaçu</v>
      </c>
      <c r="N1032" t="str">
        <f>_xlfn.XLOOKUP(E1032,tPacotes[ID_Pacote],tPacotes[Categoria])</f>
        <v>Natureza</v>
      </c>
      <c r="O1032" t="str">
        <f>_xlfn.XLOOKUP(D1032,tClientes[ID_Cliente],tClientes[UF])</f>
        <v>RS</v>
      </c>
    </row>
    <row r="1033" spans="1:15" x14ac:dyDescent="0.3">
      <c r="A1033">
        <v>1032</v>
      </c>
      <c r="B1033" s="3">
        <v>46152</v>
      </c>
      <c r="C1033" s="3">
        <v>46264</v>
      </c>
      <c r="D1033">
        <v>3</v>
      </c>
      <c r="E1033">
        <v>10</v>
      </c>
      <c r="F1033">
        <v>2</v>
      </c>
      <c r="G1033" s="2">
        <v>23000</v>
      </c>
      <c r="H1033" s="4">
        <v>0</v>
      </c>
      <c r="I1033" s="2">
        <v>23000</v>
      </c>
      <c r="J1033" t="s">
        <v>257</v>
      </c>
      <c r="K1033" t="s">
        <v>254</v>
      </c>
      <c r="L1033">
        <v>5</v>
      </c>
      <c r="M1033" t="str">
        <f>_xlfn.XLOOKUP(E1033,tPacotes[ID_Pacote],tPacotes[Pacote])</f>
        <v>Orlando Parques</v>
      </c>
      <c r="N1033" t="str">
        <f>_xlfn.XLOOKUP(E1033,tPacotes[ID_Pacote],tPacotes[Categoria])</f>
        <v>Parques</v>
      </c>
      <c r="O1033" t="str">
        <f>_xlfn.XLOOKUP(D1033,tClientes[ID_Cliente],tClientes[UF])</f>
        <v>SP</v>
      </c>
    </row>
    <row r="1034" spans="1:15" x14ac:dyDescent="0.3">
      <c r="A1034">
        <v>1033</v>
      </c>
      <c r="B1034" s="3">
        <v>46152</v>
      </c>
      <c r="C1034" s="3">
        <v>46171</v>
      </c>
      <c r="D1034">
        <v>9</v>
      </c>
      <c r="E1034">
        <v>7</v>
      </c>
      <c r="F1034">
        <v>2</v>
      </c>
      <c r="G1034" s="2">
        <v>8400</v>
      </c>
      <c r="H1034" s="4">
        <v>0.15</v>
      </c>
      <c r="I1034" s="2">
        <v>7140</v>
      </c>
      <c r="J1034" t="s">
        <v>255</v>
      </c>
      <c r="K1034" t="s">
        <v>254</v>
      </c>
      <c r="L1034">
        <v>4</v>
      </c>
      <c r="M1034" t="str">
        <f>_xlfn.XLOOKUP(E1034,tPacotes[ID_Pacote],tPacotes[Pacote])</f>
        <v>Buenos Aires Clássica</v>
      </c>
      <c r="N1034" t="str">
        <f>_xlfn.XLOOKUP(E1034,tPacotes[ID_Pacote],tPacotes[Categoria])</f>
        <v>Cultural</v>
      </c>
      <c r="O1034" t="str">
        <f>_xlfn.XLOOKUP(D1034,tClientes[ID_Cliente],tClientes[UF])</f>
        <v>MG</v>
      </c>
    </row>
    <row r="1035" spans="1:15" x14ac:dyDescent="0.3">
      <c r="A1035">
        <v>1034</v>
      </c>
      <c r="B1035" s="3">
        <v>46153</v>
      </c>
      <c r="C1035" s="3">
        <v>46202</v>
      </c>
      <c r="D1035">
        <v>44</v>
      </c>
      <c r="E1035">
        <v>1</v>
      </c>
      <c r="F1035">
        <v>2</v>
      </c>
      <c r="G1035" s="2">
        <v>6400</v>
      </c>
      <c r="H1035" s="4">
        <v>0</v>
      </c>
      <c r="I1035" s="2">
        <v>6400</v>
      </c>
      <c r="J1035" t="s">
        <v>253</v>
      </c>
      <c r="K1035" t="s">
        <v>254</v>
      </c>
      <c r="L1035">
        <v>1</v>
      </c>
      <c r="M1035" t="str">
        <f>_xlfn.XLOOKUP(E1035,tPacotes[ID_Pacote],tPacotes[Pacote])</f>
        <v>Nordeste Encantado</v>
      </c>
      <c r="N1035" t="str">
        <f>_xlfn.XLOOKUP(E1035,tPacotes[ID_Pacote],tPacotes[Categoria])</f>
        <v>Praia</v>
      </c>
      <c r="O1035" t="str">
        <f>_xlfn.XLOOKUP(D1035,tClientes[ID_Cliente],tClientes[UF])</f>
        <v>DF</v>
      </c>
    </row>
    <row r="1036" spans="1:15" x14ac:dyDescent="0.3">
      <c r="A1036">
        <v>1035</v>
      </c>
      <c r="B1036" s="3">
        <v>46153</v>
      </c>
      <c r="C1036" s="3">
        <v>46159</v>
      </c>
      <c r="D1036">
        <v>20</v>
      </c>
      <c r="E1036">
        <v>15</v>
      </c>
      <c r="F1036">
        <v>1</v>
      </c>
      <c r="G1036" s="2">
        <v>3100</v>
      </c>
      <c r="H1036" s="4">
        <v>0.1</v>
      </c>
      <c r="I1036" s="2">
        <v>2790</v>
      </c>
      <c r="J1036" t="s">
        <v>255</v>
      </c>
      <c r="K1036" t="s">
        <v>254</v>
      </c>
      <c r="L1036">
        <v>4</v>
      </c>
      <c r="M1036" t="str">
        <f>_xlfn.XLOOKUP(E1036,tPacotes[ID_Pacote],tPacotes[Pacote])</f>
        <v>Jericoacoara</v>
      </c>
      <c r="N1036" t="str">
        <f>_xlfn.XLOOKUP(E1036,tPacotes[ID_Pacote],tPacotes[Categoria])</f>
        <v>Praia</v>
      </c>
      <c r="O1036" t="str">
        <f>_xlfn.XLOOKUP(D1036,tClientes[ID_Cliente],tClientes[UF])</f>
        <v>PR</v>
      </c>
    </row>
    <row r="1037" spans="1:15" x14ac:dyDescent="0.3">
      <c r="A1037">
        <v>1036</v>
      </c>
      <c r="B1037" s="3">
        <v>46154</v>
      </c>
      <c r="C1037" s="3">
        <v>46190</v>
      </c>
      <c r="D1037">
        <v>53</v>
      </c>
      <c r="E1037">
        <v>11</v>
      </c>
      <c r="F1037">
        <v>1</v>
      </c>
      <c r="G1037" s="2">
        <v>15800</v>
      </c>
      <c r="H1037" s="4">
        <v>0.05</v>
      </c>
      <c r="I1037" s="2">
        <v>15010</v>
      </c>
      <c r="J1037" t="s">
        <v>256</v>
      </c>
      <c r="K1037" t="s">
        <v>254</v>
      </c>
      <c r="L1037">
        <v>3</v>
      </c>
      <c r="M1037" t="str">
        <f>_xlfn.XLOOKUP(E1037,tPacotes[ID_Pacote],tPacotes[Pacote])</f>
        <v>Paris e Londres</v>
      </c>
      <c r="N1037" t="str">
        <f>_xlfn.XLOOKUP(E1037,tPacotes[ID_Pacote],tPacotes[Categoria])</f>
        <v>Cultural</v>
      </c>
      <c r="O1037" t="str">
        <f>_xlfn.XLOOKUP(D1037,tClientes[ID_Cliente],tClientes[UF])</f>
        <v>RJ</v>
      </c>
    </row>
    <row r="1038" spans="1:15" x14ac:dyDescent="0.3">
      <c r="A1038">
        <v>1037</v>
      </c>
      <c r="B1038" s="3">
        <v>46154</v>
      </c>
      <c r="C1038" s="3">
        <v>46209</v>
      </c>
      <c r="D1038">
        <v>103</v>
      </c>
      <c r="E1038">
        <v>7</v>
      </c>
      <c r="F1038">
        <v>2</v>
      </c>
      <c r="G1038" s="2">
        <v>8400</v>
      </c>
      <c r="H1038" s="4">
        <v>0</v>
      </c>
      <c r="I1038" s="2">
        <v>8400</v>
      </c>
      <c r="J1038" t="s">
        <v>253</v>
      </c>
      <c r="K1038" t="s">
        <v>258</v>
      </c>
      <c r="M1038" t="str">
        <f>_xlfn.XLOOKUP(E1038,tPacotes[ID_Pacote],tPacotes[Pacote])</f>
        <v>Buenos Aires Clássica</v>
      </c>
      <c r="N1038" t="str">
        <f>_xlfn.XLOOKUP(E1038,tPacotes[ID_Pacote],tPacotes[Categoria])</f>
        <v>Cultural</v>
      </c>
      <c r="O1038" t="str">
        <f>_xlfn.XLOOKUP(D1038,tClientes[ID_Cliente],tClientes[UF])</f>
        <v>SP</v>
      </c>
    </row>
    <row r="1039" spans="1:15" x14ac:dyDescent="0.3">
      <c r="A1039">
        <v>1038</v>
      </c>
      <c r="B1039" s="3">
        <v>46154</v>
      </c>
      <c r="C1039" s="3">
        <v>46200</v>
      </c>
      <c r="D1039">
        <v>21</v>
      </c>
      <c r="E1039">
        <v>14</v>
      </c>
      <c r="F1039">
        <v>3</v>
      </c>
      <c r="G1039" s="2">
        <v>8700</v>
      </c>
      <c r="H1039" s="4">
        <v>0</v>
      </c>
      <c r="I1039" s="2">
        <v>8700</v>
      </c>
      <c r="J1039" t="s">
        <v>253</v>
      </c>
      <c r="K1039" t="s">
        <v>254</v>
      </c>
      <c r="L1039">
        <v>5</v>
      </c>
      <c r="M1039" t="str">
        <f>_xlfn.XLOOKUP(E1039,tPacotes[ID_Pacote],tPacotes[Pacote])</f>
        <v>Lençóis Maranhenses</v>
      </c>
      <c r="N1039" t="str">
        <f>_xlfn.XLOOKUP(E1039,tPacotes[ID_Pacote],tPacotes[Categoria])</f>
        <v>Natureza</v>
      </c>
      <c r="O1039" t="str">
        <f>_xlfn.XLOOKUP(D1039,tClientes[ID_Cliente],tClientes[UF])</f>
        <v>MG</v>
      </c>
    </row>
    <row r="1040" spans="1:15" x14ac:dyDescent="0.3">
      <c r="A1040">
        <v>1039</v>
      </c>
      <c r="B1040" s="3">
        <v>46156</v>
      </c>
      <c r="C1040" s="3">
        <v>46213</v>
      </c>
      <c r="D1040">
        <v>81</v>
      </c>
      <c r="E1040">
        <v>8</v>
      </c>
      <c r="F1040">
        <v>2</v>
      </c>
      <c r="G1040" s="2">
        <v>11800</v>
      </c>
      <c r="H1040" s="4">
        <v>0.15</v>
      </c>
      <c r="I1040" s="2">
        <v>10030</v>
      </c>
      <c r="J1040" t="s">
        <v>253</v>
      </c>
      <c r="K1040" t="s">
        <v>254</v>
      </c>
      <c r="L1040">
        <v>5</v>
      </c>
      <c r="M1040" t="str">
        <f>_xlfn.XLOOKUP(E1040,tPacotes[ID_Pacote],tPacotes[Pacote])</f>
        <v>Santiago e Neve</v>
      </c>
      <c r="N1040" t="str">
        <f>_xlfn.XLOOKUP(E1040,tPacotes[ID_Pacote],tPacotes[Categoria])</f>
        <v>Inverno</v>
      </c>
      <c r="O1040" t="str">
        <f>_xlfn.XLOOKUP(D1040,tClientes[ID_Cliente],tClientes[UF])</f>
        <v>SP</v>
      </c>
    </row>
    <row r="1041" spans="1:15" x14ac:dyDescent="0.3">
      <c r="A1041">
        <v>1040</v>
      </c>
      <c r="B1041" s="3">
        <v>46156</v>
      </c>
      <c r="C1041" s="3">
        <v>46203</v>
      </c>
      <c r="D1041">
        <v>34</v>
      </c>
      <c r="E1041">
        <v>1</v>
      </c>
      <c r="F1041">
        <v>2</v>
      </c>
      <c r="G1041" s="2">
        <v>6400</v>
      </c>
      <c r="H1041" s="4">
        <v>0</v>
      </c>
      <c r="I1041" s="2">
        <v>6400</v>
      </c>
      <c r="J1041" t="s">
        <v>253</v>
      </c>
      <c r="K1041" t="s">
        <v>254</v>
      </c>
      <c r="L1041">
        <v>5</v>
      </c>
      <c r="M1041" t="str">
        <f>_xlfn.XLOOKUP(E1041,tPacotes[ID_Pacote],tPacotes[Pacote])</f>
        <v>Nordeste Encantado</v>
      </c>
      <c r="N1041" t="str">
        <f>_xlfn.XLOOKUP(E1041,tPacotes[ID_Pacote],tPacotes[Categoria])</f>
        <v>Praia</v>
      </c>
      <c r="O1041" t="str">
        <f>_xlfn.XLOOKUP(D1041,tClientes[ID_Cliente],tClientes[UF])</f>
        <v>SP</v>
      </c>
    </row>
    <row r="1042" spans="1:15" x14ac:dyDescent="0.3">
      <c r="A1042">
        <v>1041</v>
      </c>
      <c r="B1042" s="3">
        <v>46156</v>
      </c>
      <c r="C1042" s="3">
        <v>46196</v>
      </c>
      <c r="D1042">
        <v>175</v>
      </c>
      <c r="E1042">
        <v>15</v>
      </c>
      <c r="F1042">
        <v>2</v>
      </c>
      <c r="G1042" s="2">
        <v>6200</v>
      </c>
      <c r="H1042" s="4">
        <v>0.05</v>
      </c>
      <c r="I1042" s="2">
        <v>5890</v>
      </c>
      <c r="J1042" t="s">
        <v>256</v>
      </c>
      <c r="K1042" t="s">
        <v>254</v>
      </c>
      <c r="L1042">
        <v>5</v>
      </c>
      <c r="M1042" t="str">
        <f>_xlfn.XLOOKUP(E1042,tPacotes[ID_Pacote],tPacotes[Pacote])</f>
        <v>Jericoacoara</v>
      </c>
      <c r="N1042" t="str">
        <f>_xlfn.XLOOKUP(E1042,tPacotes[ID_Pacote],tPacotes[Categoria])</f>
        <v>Praia</v>
      </c>
      <c r="O1042" t="str">
        <f>_xlfn.XLOOKUP(D1042,tClientes[ID_Cliente],tClientes[UF])</f>
        <v>BA</v>
      </c>
    </row>
    <row r="1043" spans="1:15" x14ac:dyDescent="0.3">
      <c r="A1043">
        <v>1042</v>
      </c>
      <c r="B1043" s="3">
        <v>46157</v>
      </c>
      <c r="C1043" s="3">
        <v>46229</v>
      </c>
      <c r="D1043">
        <v>83</v>
      </c>
      <c r="E1043">
        <v>5</v>
      </c>
      <c r="F1043">
        <v>1</v>
      </c>
      <c r="G1043" s="2">
        <v>3400</v>
      </c>
      <c r="H1043" s="4">
        <v>0</v>
      </c>
      <c r="I1043" s="2">
        <v>3400</v>
      </c>
      <c r="J1043" t="s">
        <v>257</v>
      </c>
      <c r="K1043" t="s">
        <v>254</v>
      </c>
      <c r="L1043">
        <v>3</v>
      </c>
      <c r="M1043" t="str">
        <f>_xlfn.XLOOKUP(E1043,tPacotes[ID_Pacote],tPacotes[Pacote])</f>
        <v>Bonito Aventura</v>
      </c>
      <c r="N1043" t="str">
        <f>_xlfn.XLOOKUP(E1043,tPacotes[ID_Pacote],tPacotes[Categoria])</f>
        <v>Aventura</v>
      </c>
      <c r="O1043" t="str">
        <f>_xlfn.XLOOKUP(D1043,tClientes[ID_Cliente],tClientes[UF])</f>
        <v>SP</v>
      </c>
    </row>
    <row r="1044" spans="1:15" x14ac:dyDescent="0.3">
      <c r="A1044">
        <v>1043</v>
      </c>
      <c r="B1044" s="3">
        <v>46157</v>
      </c>
      <c r="C1044" s="3">
        <v>46320</v>
      </c>
      <c r="D1044">
        <v>49</v>
      </c>
      <c r="E1044">
        <v>7</v>
      </c>
      <c r="F1044">
        <v>2</v>
      </c>
      <c r="G1044" s="2">
        <v>8400</v>
      </c>
      <c r="H1044" s="4">
        <v>0</v>
      </c>
      <c r="I1044" s="2">
        <v>8400</v>
      </c>
      <c r="J1044" t="s">
        <v>255</v>
      </c>
      <c r="K1044" t="s">
        <v>254</v>
      </c>
      <c r="M1044" t="str">
        <f>_xlfn.XLOOKUP(E1044,tPacotes[ID_Pacote],tPacotes[Pacote])</f>
        <v>Buenos Aires Clássica</v>
      </c>
      <c r="N1044" t="str">
        <f>_xlfn.XLOOKUP(E1044,tPacotes[ID_Pacote],tPacotes[Categoria])</f>
        <v>Cultural</v>
      </c>
      <c r="O1044" t="str">
        <f>_xlfn.XLOOKUP(D1044,tClientes[ID_Cliente],tClientes[UF])</f>
        <v>RJ</v>
      </c>
    </row>
    <row r="1045" spans="1:15" x14ac:dyDescent="0.3">
      <c r="A1045">
        <v>1044</v>
      </c>
      <c r="B1045" s="3">
        <v>46157</v>
      </c>
      <c r="C1045" s="3">
        <v>46200</v>
      </c>
      <c r="D1045">
        <v>83</v>
      </c>
      <c r="E1045">
        <v>12</v>
      </c>
      <c r="F1045">
        <v>2</v>
      </c>
      <c r="G1045" s="2">
        <v>24800</v>
      </c>
      <c r="H1045" s="4">
        <v>0</v>
      </c>
      <c r="I1045" s="2">
        <v>24800</v>
      </c>
      <c r="J1045" t="s">
        <v>253</v>
      </c>
      <c r="K1045" t="s">
        <v>254</v>
      </c>
      <c r="L1045">
        <v>1</v>
      </c>
      <c r="M1045" t="str">
        <f>_xlfn.XLOOKUP(E1045,tPacotes[ID_Pacote],tPacotes[Pacote])</f>
        <v>Lisboa e Porto</v>
      </c>
      <c r="N1045" t="str">
        <f>_xlfn.XLOOKUP(E1045,tPacotes[ID_Pacote],tPacotes[Categoria])</f>
        <v>Cultural</v>
      </c>
      <c r="O1045" t="str">
        <f>_xlfn.XLOOKUP(D1045,tClientes[ID_Cliente],tClientes[UF])</f>
        <v>SP</v>
      </c>
    </row>
    <row r="1046" spans="1:15" x14ac:dyDescent="0.3">
      <c r="A1046">
        <v>1045</v>
      </c>
      <c r="B1046" s="3">
        <v>46158</v>
      </c>
      <c r="C1046" s="3">
        <v>46200</v>
      </c>
      <c r="D1046">
        <v>37</v>
      </c>
      <c r="E1046">
        <v>9</v>
      </c>
      <c r="F1046">
        <v>4</v>
      </c>
      <c r="G1046" s="2">
        <v>35600</v>
      </c>
      <c r="H1046" s="4">
        <v>0</v>
      </c>
      <c r="I1046" s="2">
        <v>35600</v>
      </c>
      <c r="J1046" t="s">
        <v>257</v>
      </c>
      <c r="K1046" t="s">
        <v>254</v>
      </c>
      <c r="L1046">
        <v>4</v>
      </c>
      <c r="M1046" t="str">
        <f>_xlfn.XLOOKUP(E1046,tPacotes[ID_Pacote],tPacotes[Pacote])</f>
        <v>Cancún All Inclusive</v>
      </c>
      <c r="N1046" t="str">
        <f>_xlfn.XLOOKUP(E1046,tPacotes[ID_Pacote],tPacotes[Categoria])</f>
        <v>Praia</v>
      </c>
      <c r="O1046" t="str">
        <f>_xlfn.XLOOKUP(D1046,tClientes[ID_Cliente],tClientes[UF])</f>
        <v>DF</v>
      </c>
    </row>
    <row r="1047" spans="1:15" x14ac:dyDescent="0.3">
      <c r="A1047">
        <v>1046</v>
      </c>
      <c r="B1047" s="3">
        <v>46158</v>
      </c>
      <c r="C1047" s="3">
        <v>46180</v>
      </c>
      <c r="D1047">
        <v>8</v>
      </c>
      <c r="E1047">
        <v>6</v>
      </c>
      <c r="F1047">
        <v>2</v>
      </c>
      <c r="G1047" s="2">
        <v>4200</v>
      </c>
      <c r="H1047" s="4">
        <v>0.1</v>
      </c>
      <c r="I1047" s="2">
        <v>3780</v>
      </c>
      <c r="J1047" t="s">
        <v>255</v>
      </c>
      <c r="K1047" t="s">
        <v>254</v>
      </c>
      <c r="L1047">
        <v>5</v>
      </c>
      <c r="M1047" t="str">
        <f>_xlfn.XLOOKUP(E1047,tPacotes[ID_Pacote],tPacotes[Pacote])</f>
        <v>Foz do Iguaçu</v>
      </c>
      <c r="N1047" t="str">
        <f>_xlfn.XLOOKUP(E1047,tPacotes[ID_Pacote],tPacotes[Categoria])</f>
        <v>Natureza</v>
      </c>
      <c r="O1047" t="str">
        <f>_xlfn.XLOOKUP(D1047,tClientes[ID_Cliente],tClientes[UF])</f>
        <v>SP</v>
      </c>
    </row>
    <row r="1048" spans="1:15" x14ac:dyDescent="0.3">
      <c r="A1048">
        <v>1047</v>
      </c>
      <c r="B1048" s="3">
        <v>46158</v>
      </c>
      <c r="C1048" s="3">
        <v>46172</v>
      </c>
      <c r="D1048">
        <v>49</v>
      </c>
      <c r="E1048">
        <v>14</v>
      </c>
      <c r="F1048">
        <v>3</v>
      </c>
      <c r="G1048" s="2">
        <v>8700</v>
      </c>
      <c r="H1048" s="4">
        <v>0</v>
      </c>
      <c r="I1048" s="2">
        <v>8700</v>
      </c>
      <c r="J1048" t="s">
        <v>253</v>
      </c>
      <c r="K1048" t="s">
        <v>254</v>
      </c>
      <c r="L1048">
        <v>5</v>
      </c>
      <c r="M1048" t="str">
        <f>_xlfn.XLOOKUP(E1048,tPacotes[ID_Pacote],tPacotes[Pacote])</f>
        <v>Lençóis Maranhenses</v>
      </c>
      <c r="N1048" t="str">
        <f>_xlfn.XLOOKUP(E1048,tPacotes[ID_Pacote],tPacotes[Categoria])</f>
        <v>Natureza</v>
      </c>
      <c r="O1048" t="str">
        <f>_xlfn.XLOOKUP(D1048,tClientes[ID_Cliente],tClientes[UF])</f>
        <v>RJ</v>
      </c>
    </row>
    <row r="1049" spans="1:15" x14ac:dyDescent="0.3">
      <c r="A1049">
        <v>1048</v>
      </c>
      <c r="B1049" s="3">
        <v>46159</v>
      </c>
      <c r="C1049" s="3">
        <v>46268</v>
      </c>
      <c r="D1049">
        <v>96</v>
      </c>
      <c r="E1049">
        <v>9</v>
      </c>
      <c r="F1049">
        <v>2</v>
      </c>
      <c r="G1049" s="2">
        <v>17800</v>
      </c>
      <c r="H1049" s="4">
        <v>0.05</v>
      </c>
      <c r="I1049" s="2">
        <v>16910</v>
      </c>
      <c r="J1049" t="s">
        <v>255</v>
      </c>
      <c r="K1049" t="s">
        <v>254</v>
      </c>
      <c r="L1049">
        <v>5</v>
      </c>
      <c r="M1049" t="str">
        <f>_xlfn.XLOOKUP(E1049,tPacotes[ID_Pacote],tPacotes[Pacote])</f>
        <v>Cancún All Inclusive</v>
      </c>
      <c r="N1049" t="str">
        <f>_xlfn.XLOOKUP(E1049,tPacotes[ID_Pacote],tPacotes[Categoria])</f>
        <v>Praia</v>
      </c>
      <c r="O1049" t="str">
        <f>_xlfn.XLOOKUP(D1049,tClientes[ID_Cliente],tClientes[UF])</f>
        <v>MG</v>
      </c>
    </row>
    <row r="1050" spans="1:15" x14ac:dyDescent="0.3">
      <c r="A1050">
        <v>1049</v>
      </c>
      <c r="B1050" s="3">
        <v>46159</v>
      </c>
      <c r="C1050" s="3">
        <v>46180</v>
      </c>
      <c r="D1050">
        <v>141</v>
      </c>
      <c r="E1050">
        <v>7</v>
      </c>
      <c r="F1050">
        <v>3</v>
      </c>
      <c r="G1050" s="2">
        <v>12600</v>
      </c>
      <c r="H1050" s="4">
        <v>0</v>
      </c>
      <c r="I1050" s="2">
        <v>12600</v>
      </c>
      <c r="J1050" t="s">
        <v>255</v>
      </c>
      <c r="K1050" t="s">
        <v>258</v>
      </c>
      <c r="M1050" t="str">
        <f>_xlfn.XLOOKUP(E1050,tPacotes[ID_Pacote],tPacotes[Pacote])</f>
        <v>Buenos Aires Clássica</v>
      </c>
      <c r="N1050" t="str">
        <f>_xlfn.XLOOKUP(E1050,tPacotes[ID_Pacote],tPacotes[Categoria])</f>
        <v>Cultural</v>
      </c>
      <c r="O1050" t="str">
        <f>_xlfn.XLOOKUP(D1050,tClientes[ID_Cliente],tClientes[UF])</f>
        <v>DF</v>
      </c>
    </row>
    <row r="1051" spans="1:15" x14ac:dyDescent="0.3">
      <c r="A1051">
        <v>1050</v>
      </c>
      <c r="B1051" s="3">
        <v>46159</v>
      </c>
      <c r="C1051" s="3">
        <v>46170</v>
      </c>
      <c r="D1051">
        <v>74</v>
      </c>
      <c r="E1051">
        <v>11</v>
      </c>
      <c r="F1051">
        <v>2</v>
      </c>
      <c r="G1051" s="2">
        <v>31600</v>
      </c>
      <c r="H1051" s="4">
        <v>0.05</v>
      </c>
      <c r="I1051" s="2">
        <v>30020</v>
      </c>
      <c r="J1051" t="s">
        <v>253</v>
      </c>
      <c r="K1051" t="s">
        <v>254</v>
      </c>
      <c r="L1051">
        <v>5</v>
      </c>
      <c r="M1051" t="str">
        <f>_xlfn.XLOOKUP(E1051,tPacotes[ID_Pacote],tPacotes[Pacote])</f>
        <v>Paris e Londres</v>
      </c>
      <c r="N1051" t="str">
        <f>_xlfn.XLOOKUP(E1051,tPacotes[ID_Pacote],tPacotes[Categoria])</f>
        <v>Cultural</v>
      </c>
      <c r="O1051" t="str">
        <f>_xlfn.XLOOKUP(D1051,tClientes[ID_Cliente],tClientes[UF])</f>
        <v>SP</v>
      </c>
    </row>
    <row r="1052" spans="1:15" x14ac:dyDescent="0.3">
      <c r="A1052">
        <v>1051</v>
      </c>
      <c r="B1052" s="3">
        <v>46161</v>
      </c>
      <c r="C1052" s="3">
        <v>46194</v>
      </c>
      <c r="D1052">
        <v>55</v>
      </c>
      <c r="E1052">
        <v>9</v>
      </c>
      <c r="F1052">
        <v>2</v>
      </c>
      <c r="G1052" s="2">
        <v>17800</v>
      </c>
      <c r="H1052" s="4">
        <v>0</v>
      </c>
      <c r="I1052" s="2">
        <v>17800</v>
      </c>
      <c r="J1052" t="s">
        <v>255</v>
      </c>
      <c r="K1052" t="s">
        <v>254</v>
      </c>
      <c r="L1052">
        <v>5</v>
      </c>
      <c r="M1052" t="str">
        <f>_xlfn.XLOOKUP(E1052,tPacotes[ID_Pacote],tPacotes[Pacote])</f>
        <v>Cancún All Inclusive</v>
      </c>
      <c r="N1052" t="str">
        <f>_xlfn.XLOOKUP(E1052,tPacotes[ID_Pacote],tPacotes[Categoria])</f>
        <v>Praia</v>
      </c>
      <c r="O1052" t="str">
        <f>_xlfn.XLOOKUP(D1052,tClientes[ID_Cliente],tClientes[UF])</f>
        <v>BA</v>
      </c>
    </row>
    <row r="1053" spans="1:15" x14ac:dyDescent="0.3">
      <c r="A1053">
        <v>1052</v>
      </c>
      <c r="B1053" s="3">
        <v>46162</v>
      </c>
      <c r="C1053" s="3">
        <v>46334</v>
      </c>
      <c r="D1053">
        <v>105</v>
      </c>
      <c r="E1053">
        <v>1</v>
      </c>
      <c r="F1053">
        <v>2</v>
      </c>
      <c r="G1053" s="2">
        <v>6400</v>
      </c>
      <c r="H1053" s="4">
        <v>0.1</v>
      </c>
      <c r="I1053" s="2">
        <v>5760</v>
      </c>
      <c r="J1053" t="s">
        <v>253</v>
      </c>
      <c r="K1053" t="s">
        <v>254</v>
      </c>
      <c r="M1053" t="str">
        <f>_xlfn.XLOOKUP(E1053,tPacotes[ID_Pacote],tPacotes[Pacote])</f>
        <v>Nordeste Encantado</v>
      </c>
      <c r="N1053" t="str">
        <f>_xlfn.XLOOKUP(E1053,tPacotes[ID_Pacote],tPacotes[Categoria])</f>
        <v>Praia</v>
      </c>
      <c r="O1053" t="str">
        <f>_xlfn.XLOOKUP(D1053,tClientes[ID_Cliente],tClientes[UF])</f>
        <v>BA</v>
      </c>
    </row>
    <row r="1054" spans="1:15" x14ac:dyDescent="0.3">
      <c r="A1054">
        <v>1053</v>
      </c>
      <c r="B1054" s="3">
        <v>46163</v>
      </c>
      <c r="C1054" s="3">
        <v>46235</v>
      </c>
      <c r="D1054">
        <v>32</v>
      </c>
      <c r="E1054">
        <v>1</v>
      </c>
      <c r="F1054">
        <v>2</v>
      </c>
      <c r="G1054" s="2">
        <v>6400</v>
      </c>
      <c r="H1054" s="4">
        <v>0.05</v>
      </c>
      <c r="I1054" s="2">
        <v>6080</v>
      </c>
      <c r="J1054" t="s">
        <v>253</v>
      </c>
      <c r="K1054" t="s">
        <v>254</v>
      </c>
      <c r="L1054">
        <v>4</v>
      </c>
      <c r="M1054" t="str">
        <f>_xlfn.XLOOKUP(E1054,tPacotes[ID_Pacote],tPacotes[Pacote])</f>
        <v>Nordeste Encantado</v>
      </c>
      <c r="N1054" t="str">
        <f>_xlfn.XLOOKUP(E1054,tPacotes[ID_Pacote],tPacotes[Categoria])</f>
        <v>Praia</v>
      </c>
      <c r="O1054" t="str">
        <f>_xlfn.XLOOKUP(D1054,tClientes[ID_Cliente],tClientes[UF])</f>
        <v>PR</v>
      </c>
    </row>
    <row r="1055" spans="1:15" x14ac:dyDescent="0.3">
      <c r="A1055">
        <v>1054</v>
      </c>
      <c r="B1055" s="3">
        <v>46163</v>
      </c>
      <c r="C1055" s="3">
        <v>46169</v>
      </c>
      <c r="D1055">
        <v>191</v>
      </c>
      <c r="E1055">
        <v>7</v>
      </c>
      <c r="F1055">
        <v>2</v>
      </c>
      <c r="G1055" s="2">
        <v>8400</v>
      </c>
      <c r="H1055" s="4">
        <v>0</v>
      </c>
      <c r="I1055" s="2">
        <v>8400</v>
      </c>
      <c r="J1055" t="s">
        <v>253</v>
      </c>
      <c r="K1055" t="s">
        <v>254</v>
      </c>
      <c r="L1055">
        <v>5</v>
      </c>
      <c r="M1055" t="str">
        <f>_xlfn.XLOOKUP(E1055,tPacotes[ID_Pacote],tPacotes[Pacote])</f>
        <v>Buenos Aires Clássica</v>
      </c>
      <c r="N1055" t="str">
        <f>_xlfn.XLOOKUP(E1055,tPacotes[ID_Pacote],tPacotes[Categoria])</f>
        <v>Cultural</v>
      </c>
      <c r="O1055" t="str">
        <f>_xlfn.XLOOKUP(D1055,tClientes[ID_Cliente],tClientes[UF])</f>
        <v>SP</v>
      </c>
    </row>
    <row r="1056" spans="1:15" x14ac:dyDescent="0.3">
      <c r="A1056">
        <v>1055</v>
      </c>
      <c r="B1056" s="3">
        <v>46163</v>
      </c>
      <c r="C1056" s="3">
        <v>46168</v>
      </c>
      <c r="D1056">
        <v>50</v>
      </c>
      <c r="E1056">
        <v>1</v>
      </c>
      <c r="F1056">
        <v>2</v>
      </c>
      <c r="G1056" s="2">
        <v>6400</v>
      </c>
      <c r="H1056" s="4">
        <v>0</v>
      </c>
      <c r="I1056" s="2">
        <v>6400</v>
      </c>
      <c r="J1056" t="s">
        <v>255</v>
      </c>
      <c r="K1056" t="s">
        <v>258</v>
      </c>
      <c r="M1056" t="str">
        <f>_xlfn.XLOOKUP(E1056,tPacotes[ID_Pacote],tPacotes[Pacote])</f>
        <v>Nordeste Encantado</v>
      </c>
      <c r="N1056" t="str">
        <f>_xlfn.XLOOKUP(E1056,tPacotes[ID_Pacote],tPacotes[Categoria])</f>
        <v>Praia</v>
      </c>
      <c r="O1056" t="str">
        <f>_xlfn.XLOOKUP(D1056,tClientes[ID_Cliente],tClientes[UF])</f>
        <v>SP</v>
      </c>
    </row>
    <row r="1057" spans="1:15" x14ac:dyDescent="0.3">
      <c r="A1057">
        <v>1056</v>
      </c>
      <c r="B1057" s="3">
        <v>46163</v>
      </c>
      <c r="C1057" s="3">
        <v>46180</v>
      </c>
      <c r="D1057">
        <v>17</v>
      </c>
      <c r="E1057">
        <v>5</v>
      </c>
      <c r="F1057">
        <v>5</v>
      </c>
      <c r="G1057" s="2">
        <v>17000</v>
      </c>
      <c r="H1057" s="4">
        <v>0.05</v>
      </c>
      <c r="I1057" s="2">
        <v>16150</v>
      </c>
      <c r="J1057" t="s">
        <v>255</v>
      </c>
      <c r="K1057" t="s">
        <v>254</v>
      </c>
      <c r="L1057">
        <v>3</v>
      </c>
      <c r="M1057" t="str">
        <f>_xlfn.XLOOKUP(E1057,tPacotes[ID_Pacote],tPacotes[Pacote])</f>
        <v>Bonito Aventura</v>
      </c>
      <c r="N1057" t="str">
        <f>_xlfn.XLOOKUP(E1057,tPacotes[ID_Pacote],tPacotes[Categoria])</f>
        <v>Aventura</v>
      </c>
      <c r="O1057" t="str">
        <f>_xlfn.XLOOKUP(D1057,tClientes[ID_Cliente],tClientes[UF])</f>
        <v>RJ</v>
      </c>
    </row>
    <row r="1058" spans="1:15" x14ac:dyDescent="0.3">
      <c r="A1058">
        <v>1057</v>
      </c>
      <c r="B1058" s="3">
        <v>46163</v>
      </c>
      <c r="C1058" s="3">
        <v>46166</v>
      </c>
      <c r="D1058">
        <v>47</v>
      </c>
      <c r="E1058">
        <v>7</v>
      </c>
      <c r="F1058">
        <v>1</v>
      </c>
      <c r="G1058" s="2">
        <v>4200</v>
      </c>
      <c r="H1058" s="4">
        <v>0</v>
      </c>
      <c r="I1058" s="2">
        <v>4200</v>
      </c>
      <c r="J1058" t="s">
        <v>256</v>
      </c>
      <c r="K1058" t="s">
        <v>258</v>
      </c>
      <c r="M1058" t="str">
        <f>_xlfn.XLOOKUP(E1058,tPacotes[ID_Pacote],tPacotes[Pacote])</f>
        <v>Buenos Aires Clássica</v>
      </c>
      <c r="N1058" t="str">
        <f>_xlfn.XLOOKUP(E1058,tPacotes[ID_Pacote],tPacotes[Categoria])</f>
        <v>Cultural</v>
      </c>
      <c r="O1058" t="str">
        <f>_xlfn.XLOOKUP(D1058,tClientes[ID_Cliente],tClientes[UF])</f>
        <v>BA</v>
      </c>
    </row>
    <row r="1059" spans="1:15" x14ac:dyDescent="0.3">
      <c r="A1059">
        <v>1058</v>
      </c>
      <c r="B1059" s="3">
        <v>46164</v>
      </c>
      <c r="C1059" s="3">
        <v>46221</v>
      </c>
      <c r="D1059">
        <v>132</v>
      </c>
      <c r="E1059">
        <v>7</v>
      </c>
      <c r="F1059">
        <v>4</v>
      </c>
      <c r="G1059" s="2">
        <v>16800</v>
      </c>
      <c r="H1059" s="4">
        <v>0</v>
      </c>
      <c r="I1059" s="2">
        <v>16800</v>
      </c>
      <c r="J1059" t="s">
        <v>255</v>
      </c>
      <c r="K1059" t="s">
        <v>254</v>
      </c>
      <c r="L1059">
        <v>5</v>
      </c>
      <c r="M1059" t="str">
        <f>_xlfn.XLOOKUP(E1059,tPacotes[ID_Pacote],tPacotes[Pacote])</f>
        <v>Buenos Aires Clássica</v>
      </c>
      <c r="N1059" t="str">
        <f>_xlfn.XLOOKUP(E1059,tPacotes[ID_Pacote],tPacotes[Categoria])</f>
        <v>Cultural</v>
      </c>
      <c r="O1059" t="str">
        <f>_xlfn.XLOOKUP(D1059,tClientes[ID_Cliente],tClientes[UF])</f>
        <v>RS</v>
      </c>
    </row>
    <row r="1060" spans="1:15" x14ac:dyDescent="0.3">
      <c r="A1060">
        <v>1059</v>
      </c>
      <c r="B1060" s="3">
        <v>46165</v>
      </c>
      <c r="C1060" s="3">
        <v>46271</v>
      </c>
      <c r="D1060">
        <v>12</v>
      </c>
      <c r="E1060">
        <v>9</v>
      </c>
      <c r="F1060">
        <v>1</v>
      </c>
      <c r="G1060" s="2">
        <v>8900</v>
      </c>
      <c r="H1060" s="4">
        <v>0</v>
      </c>
      <c r="I1060" s="2">
        <v>8900</v>
      </c>
      <c r="J1060" t="s">
        <v>257</v>
      </c>
      <c r="K1060" t="s">
        <v>254</v>
      </c>
      <c r="L1060">
        <v>3</v>
      </c>
      <c r="M1060" t="str">
        <f>_xlfn.XLOOKUP(E1060,tPacotes[ID_Pacote],tPacotes[Pacote])</f>
        <v>Cancún All Inclusive</v>
      </c>
      <c r="N1060" t="str">
        <f>_xlfn.XLOOKUP(E1060,tPacotes[ID_Pacote],tPacotes[Categoria])</f>
        <v>Praia</v>
      </c>
      <c r="O1060" t="str">
        <f>_xlfn.XLOOKUP(D1060,tClientes[ID_Cliente],tClientes[UF])</f>
        <v>RJ</v>
      </c>
    </row>
    <row r="1061" spans="1:15" x14ac:dyDescent="0.3">
      <c r="A1061">
        <v>1060</v>
      </c>
      <c r="B1061" s="3">
        <v>46165</v>
      </c>
      <c r="C1061" s="3">
        <v>46311</v>
      </c>
      <c r="D1061">
        <v>37</v>
      </c>
      <c r="E1061">
        <v>12</v>
      </c>
      <c r="F1061">
        <v>5</v>
      </c>
      <c r="G1061" s="2">
        <v>62000</v>
      </c>
      <c r="H1061" s="4">
        <v>0.15</v>
      </c>
      <c r="I1061" s="2">
        <v>52700</v>
      </c>
      <c r="J1061" t="s">
        <v>257</v>
      </c>
      <c r="K1061" t="s">
        <v>254</v>
      </c>
      <c r="M1061" t="str">
        <f>_xlfn.XLOOKUP(E1061,tPacotes[ID_Pacote],tPacotes[Pacote])</f>
        <v>Lisboa e Porto</v>
      </c>
      <c r="N1061" t="str">
        <f>_xlfn.XLOOKUP(E1061,tPacotes[ID_Pacote],tPacotes[Categoria])</f>
        <v>Cultural</v>
      </c>
      <c r="O1061" t="str">
        <f>_xlfn.XLOOKUP(D1061,tClientes[ID_Cliente],tClientes[UF])</f>
        <v>DF</v>
      </c>
    </row>
    <row r="1062" spans="1:15" x14ac:dyDescent="0.3">
      <c r="A1062">
        <v>1061</v>
      </c>
      <c r="B1062" s="3">
        <v>46165</v>
      </c>
      <c r="C1062" s="3">
        <v>46169</v>
      </c>
      <c r="D1062">
        <v>163</v>
      </c>
      <c r="E1062">
        <v>1</v>
      </c>
      <c r="F1062">
        <v>2</v>
      </c>
      <c r="G1062" s="2">
        <v>6400</v>
      </c>
      <c r="H1062" s="4">
        <v>0.1</v>
      </c>
      <c r="I1062" s="2">
        <v>5760</v>
      </c>
      <c r="J1062" t="s">
        <v>257</v>
      </c>
      <c r="K1062" t="s">
        <v>258</v>
      </c>
      <c r="M1062" t="str">
        <f>_xlfn.XLOOKUP(E1062,tPacotes[ID_Pacote],tPacotes[Pacote])</f>
        <v>Nordeste Encantado</v>
      </c>
      <c r="N1062" t="str">
        <f>_xlfn.XLOOKUP(E1062,tPacotes[ID_Pacote],tPacotes[Categoria])</f>
        <v>Praia</v>
      </c>
      <c r="O1062" t="str">
        <f>_xlfn.XLOOKUP(D1062,tClientes[ID_Cliente],tClientes[UF])</f>
        <v>DF</v>
      </c>
    </row>
    <row r="1063" spans="1:15" x14ac:dyDescent="0.3">
      <c r="A1063">
        <v>1062</v>
      </c>
      <c r="B1063" s="3">
        <v>46166</v>
      </c>
      <c r="C1063" s="3">
        <v>46190</v>
      </c>
      <c r="D1063">
        <v>140</v>
      </c>
      <c r="E1063">
        <v>5</v>
      </c>
      <c r="F1063">
        <v>1</v>
      </c>
      <c r="G1063" s="2">
        <v>3400</v>
      </c>
      <c r="H1063" s="4">
        <v>0</v>
      </c>
      <c r="I1063" s="2">
        <v>3400</v>
      </c>
      <c r="J1063" t="s">
        <v>255</v>
      </c>
      <c r="K1063" t="s">
        <v>258</v>
      </c>
      <c r="M1063" t="str">
        <f>_xlfn.XLOOKUP(E1063,tPacotes[ID_Pacote],tPacotes[Pacote])</f>
        <v>Bonito Aventura</v>
      </c>
      <c r="N1063" t="str">
        <f>_xlfn.XLOOKUP(E1063,tPacotes[ID_Pacote],tPacotes[Categoria])</f>
        <v>Aventura</v>
      </c>
      <c r="O1063" t="str">
        <f>_xlfn.XLOOKUP(D1063,tClientes[ID_Cliente],tClientes[UF])</f>
        <v>RJ</v>
      </c>
    </row>
    <row r="1064" spans="1:15" x14ac:dyDescent="0.3">
      <c r="A1064">
        <v>1063</v>
      </c>
      <c r="B1064" s="3">
        <v>46166</v>
      </c>
      <c r="C1064" s="3">
        <v>46171</v>
      </c>
      <c r="D1064">
        <v>92</v>
      </c>
      <c r="E1064">
        <v>1</v>
      </c>
      <c r="F1064">
        <v>4</v>
      </c>
      <c r="G1064" s="2">
        <v>12800</v>
      </c>
      <c r="H1064" s="4">
        <v>0</v>
      </c>
      <c r="I1064" s="2">
        <v>12800</v>
      </c>
      <c r="J1064" t="s">
        <v>253</v>
      </c>
      <c r="K1064" t="s">
        <v>254</v>
      </c>
      <c r="L1064">
        <v>4</v>
      </c>
      <c r="M1064" t="str">
        <f>_xlfn.XLOOKUP(E1064,tPacotes[ID_Pacote],tPacotes[Pacote])</f>
        <v>Nordeste Encantado</v>
      </c>
      <c r="N1064" t="str">
        <f>_xlfn.XLOOKUP(E1064,tPacotes[ID_Pacote],tPacotes[Categoria])</f>
        <v>Praia</v>
      </c>
      <c r="O1064" t="str">
        <f>_xlfn.XLOOKUP(D1064,tClientes[ID_Cliente],tClientes[UF])</f>
        <v>SP</v>
      </c>
    </row>
    <row r="1065" spans="1:15" x14ac:dyDescent="0.3">
      <c r="A1065">
        <v>1064</v>
      </c>
      <c r="B1065" s="3">
        <v>46168</v>
      </c>
      <c r="C1065" s="3">
        <v>46218</v>
      </c>
      <c r="D1065">
        <v>89</v>
      </c>
      <c r="E1065">
        <v>2</v>
      </c>
      <c r="F1065">
        <v>3</v>
      </c>
      <c r="G1065" s="2">
        <v>5400</v>
      </c>
      <c r="H1065" s="4">
        <v>0.05</v>
      </c>
      <c r="I1065" s="2">
        <v>5130</v>
      </c>
      <c r="J1065" t="s">
        <v>253</v>
      </c>
      <c r="K1065" t="s">
        <v>254</v>
      </c>
      <c r="L1065">
        <v>5</v>
      </c>
      <c r="M1065" t="str">
        <f>_xlfn.XLOOKUP(E1065,tPacotes[ID_Pacote],tPacotes[Pacote])</f>
        <v>Rio Cidade Maravilhosa</v>
      </c>
      <c r="N1065" t="str">
        <f>_xlfn.XLOOKUP(E1065,tPacotes[ID_Pacote],tPacotes[Categoria])</f>
        <v>Cultural</v>
      </c>
      <c r="O1065" t="str">
        <f>_xlfn.XLOOKUP(D1065,tClientes[ID_Cliente],tClientes[UF])</f>
        <v>MG</v>
      </c>
    </row>
    <row r="1066" spans="1:15" x14ac:dyDescent="0.3">
      <c r="A1066">
        <v>1065</v>
      </c>
      <c r="B1066" s="3">
        <v>46168</v>
      </c>
      <c r="C1066" s="3">
        <v>46198</v>
      </c>
      <c r="D1066">
        <v>36</v>
      </c>
      <c r="E1066">
        <v>9</v>
      </c>
      <c r="F1066">
        <v>3</v>
      </c>
      <c r="G1066" s="2">
        <v>26700</v>
      </c>
      <c r="H1066" s="4">
        <v>0</v>
      </c>
      <c r="I1066" s="2">
        <v>26700</v>
      </c>
      <c r="J1066" t="s">
        <v>255</v>
      </c>
      <c r="K1066" t="s">
        <v>258</v>
      </c>
      <c r="M1066" t="str">
        <f>_xlfn.XLOOKUP(E1066,tPacotes[ID_Pacote],tPacotes[Pacote])</f>
        <v>Cancún All Inclusive</v>
      </c>
      <c r="N1066" t="str">
        <f>_xlfn.XLOOKUP(E1066,tPacotes[ID_Pacote],tPacotes[Categoria])</f>
        <v>Praia</v>
      </c>
      <c r="O1066" t="str">
        <f>_xlfn.XLOOKUP(D1066,tClientes[ID_Cliente],tClientes[UF])</f>
        <v>SP</v>
      </c>
    </row>
    <row r="1067" spans="1:15" x14ac:dyDescent="0.3">
      <c r="A1067">
        <v>1066</v>
      </c>
      <c r="B1067" s="3">
        <v>46168</v>
      </c>
      <c r="C1067" s="3">
        <v>46172</v>
      </c>
      <c r="D1067">
        <v>188</v>
      </c>
      <c r="E1067">
        <v>15</v>
      </c>
      <c r="F1067">
        <v>1</v>
      </c>
      <c r="G1067" s="2">
        <v>3100</v>
      </c>
      <c r="H1067" s="4">
        <v>0</v>
      </c>
      <c r="I1067" s="2">
        <v>3100</v>
      </c>
      <c r="J1067" t="s">
        <v>256</v>
      </c>
      <c r="K1067" t="s">
        <v>254</v>
      </c>
      <c r="L1067">
        <v>5</v>
      </c>
      <c r="M1067" t="str">
        <f>_xlfn.XLOOKUP(E1067,tPacotes[ID_Pacote],tPacotes[Pacote])</f>
        <v>Jericoacoara</v>
      </c>
      <c r="N1067" t="str">
        <f>_xlfn.XLOOKUP(E1067,tPacotes[ID_Pacote],tPacotes[Categoria])</f>
        <v>Praia</v>
      </c>
      <c r="O1067" t="str">
        <f>_xlfn.XLOOKUP(D1067,tClientes[ID_Cliente],tClientes[UF])</f>
        <v>SP</v>
      </c>
    </row>
    <row r="1068" spans="1:15" x14ac:dyDescent="0.3">
      <c r="A1068">
        <v>1067</v>
      </c>
      <c r="B1068" s="3">
        <v>46169</v>
      </c>
      <c r="C1068" s="3">
        <v>46177</v>
      </c>
      <c r="D1068">
        <v>77</v>
      </c>
      <c r="E1068">
        <v>5</v>
      </c>
      <c r="F1068">
        <v>2</v>
      </c>
      <c r="G1068" s="2">
        <v>6800</v>
      </c>
      <c r="H1068" s="4">
        <v>0</v>
      </c>
      <c r="I1068" s="2">
        <v>6800</v>
      </c>
      <c r="J1068" t="s">
        <v>253</v>
      </c>
      <c r="K1068" t="s">
        <v>254</v>
      </c>
      <c r="L1068">
        <v>4</v>
      </c>
      <c r="M1068" t="str">
        <f>_xlfn.XLOOKUP(E1068,tPacotes[ID_Pacote],tPacotes[Pacote])</f>
        <v>Bonito Aventura</v>
      </c>
      <c r="N1068" t="str">
        <f>_xlfn.XLOOKUP(E1068,tPacotes[ID_Pacote],tPacotes[Categoria])</f>
        <v>Aventura</v>
      </c>
      <c r="O1068" t="str">
        <f>_xlfn.XLOOKUP(D1068,tClientes[ID_Cliente],tClientes[UF])</f>
        <v>RJ</v>
      </c>
    </row>
    <row r="1069" spans="1:15" x14ac:dyDescent="0.3">
      <c r="A1069">
        <v>1068</v>
      </c>
      <c r="B1069" s="3">
        <v>46169</v>
      </c>
      <c r="C1069" s="3">
        <v>46221</v>
      </c>
      <c r="D1069">
        <v>97</v>
      </c>
      <c r="E1069">
        <v>7</v>
      </c>
      <c r="F1069">
        <v>3</v>
      </c>
      <c r="G1069" s="2">
        <v>12600</v>
      </c>
      <c r="H1069" s="4">
        <v>0</v>
      </c>
      <c r="I1069" s="2">
        <v>12600</v>
      </c>
      <c r="J1069" t="s">
        <v>257</v>
      </c>
      <c r="K1069" t="s">
        <v>254</v>
      </c>
      <c r="L1069">
        <v>1</v>
      </c>
      <c r="M1069" t="str">
        <f>_xlfn.XLOOKUP(E1069,tPacotes[ID_Pacote],tPacotes[Pacote])</f>
        <v>Buenos Aires Clássica</v>
      </c>
      <c r="N1069" t="str">
        <f>_xlfn.XLOOKUP(E1069,tPacotes[ID_Pacote],tPacotes[Categoria])</f>
        <v>Cultural</v>
      </c>
      <c r="O1069" t="str">
        <f>_xlfn.XLOOKUP(D1069,tClientes[ID_Cliente],tClientes[UF])</f>
        <v>SP</v>
      </c>
    </row>
    <row r="1070" spans="1:15" x14ac:dyDescent="0.3">
      <c r="A1070">
        <v>1069</v>
      </c>
      <c r="B1070" s="3">
        <v>46169</v>
      </c>
      <c r="C1070" s="3">
        <v>46231</v>
      </c>
      <c r="D1070">
        <v>64</v>
      </c>
      <c r="E1070">
        <v>1</v>
      </c>
      <c r="F1070">
        <v>2</v>
      </c>
      <c r="G1070" s="2">
        <v>6400</v>
      </c>
      <c r="H1070" s="4">
        <v>0.05</v>
      </c>
      <c r="I1070" s="2">
        <v>6080</v>
      </c>
      <c r="J1070" t="s">
        <v>257</v>
      </c>
      <c r="K1070" t="s">
        <v>254</v>
      </c>
      <c r="L1070">
        <v>3</v>
      </c>
      <c r="M1070" t="str">
        <f>_xlfn.XLOOKUP(E1070,tPacotes[ID_Pacote],tPacotes[Pacote])</f>
        <v>Nordeste Encantado</v>
      </c>
      <c r="N1070" t="str">
        <f>_xlfn.XLOOKUP(E1070,tPacotes[ID_Pacote],tPacotes[Categoria])</f>
        <v>Praia</v>
      </c>
      <c r="O1070" t="str">
        <f>_xlfn.XLOOKUP(D1070,tClientes[ID_Cliente],tClientes[UF])</f>
        <v>PE</v>
      </c>
    </row>
    <row r="1071" spans="1:15" x14ac:dyDescent="0.3">
      <c r="A1071">
        <v>1070</v>
      </c>
      <c r="B1071" s="3">
        <v>46170</v>
      </c>
      <c r="C1071" s="3">
        <v>46178</v>
      </c>
      <c r="D1071">
        <v>43</v>
      </c>
      <c r="E1071">
        <v>3</v>
      </c>
      <c r="F1071">
        <v>1</v>
      </c>
      <c r="G1071" s="2">
        <v>2600</v>
      </c>
      <c r="H1071" s="4">
        <v>0</v>
      </c>
      <c r="I1071" s="2">
        <v>2600</v>
      </c>
      <c r="J1071" t="s">
        <v>256</v>
      </c>
      <c r="K1071" t="s">
        <v>258</v>
      </c>
      <c r="M1071" t="str">
        <f>_xlfn.XLOOKUP(E1071,tPacotes[ID_Pacote],tPacotes[Pacote])</f>
        <v>Serra Gaúcha</v>
      </c>
      <c r="N1071" t="str">
        <f>_xlfn.XLOOKUP(E1071,tPacotes[ID_Pacote],tPacotes[Categoria])</f>
        <v>Inverno</v>
      </c>
      <c r="O1071" t="str">
        <f>_xlfn.XLOOKUP(D1071,tClientes[ID_Cliente],tClientes[UF])</f>
        <v>PR</v>
      </c>
    </row>
    <row r="1072" spans="1:15" x14ac:dyDescent="0.3">
      <c r="A1072">
        <v>1071</v>
      </c>
      <c r="B1072" s="3">
        <v>46170</v>
      </c>
      <c r="C1072" s="3">
        <v>46182</v>
      </c>
      <c r="D1072">
        <v>48</v>
      </c>
      <c r="E1072">
        <v>13</v>
      </c>
      <c r="F1072">
        <v>2</v>
      </c>
      <c r="G1072" s="2">
        <v>14600</v>
      </c>
      <c r="H1072" s="4">
        <v>0.05</v>
      </c>
      <c r="I1072" s="2">
        <v>13870</v>
      </c>
      <c r="J1072" t="s">
        <v>255</v>
      </c>
      <c r="K1072" t="s">
        <v>254</v>
      </c>
      <c r="L1072">
        <v>4</v>
      </c>
      <c r="M1072" t="str">
        <f>_xlfn.XLOOKUP(E1072,tPacotes[ID_Pacote],tPacotes[Pacote])</f>
        <v>Machu Picchu</v>
      </c>
      <c r="N1072" t="str">
        <f>_xlfn.XLOOKUP(E1072,tPacotes[ID_Pacote],tPacotes[Categoria])</f>
        <v>Aventura</v>
      </c>
      <c r="O1072" t="str">
        <f>_xlfn.XLOOKUP(D1072,tClientes[ID_Cliente],tClientes[UF])</f>
        <v>SP</v>
      </c>
    </row>
    <row r="1073" spans="1:15" x14ac:dyDescent="0.3">
      <c r="A1073">
        <v>1072</v>
      </c>
      <c r="B1073" s="3">
        <v>46171</v>
      </c>
      <c r="C1073" s="3">
        <v>46180</v>
      </c>
      <c r="D1073">
        <v>9</v>
      </c>
      <c r="E1073">
        <v>2</v>
      </c>
      <c r="F1073">
        <v>2</v>
      </c>
      <c r="G1073" s="2">
        <v>3600</v>
      </c>
      <c r="H1073" s="4">
        <v>0</v>
      </c>
      <c r="I1073" s="2">
        <v>3600</v>
      </c>
      <c r="J1073" t="s">
        <v>257</v>
      </c>
      <c r="K1073" t="s">
        <v>258</v>
      </c>
      <c r="M1073" t="str">
        <f>_xlfn.XLOOKUP(E1073,tPacotes[ID_Pacote],tPacotes[Pacote])</f>
        <v>Rio Cidade Maravilhosa</v>
      </c>
      <c r="N1073" t="str">
        <f>_xlfn.XLOOKUP(E1073,tPacotes[ID_Pacote],tPacotes[Categoria])</f>
        <v>Cultural</v>
      </c>
      <c r="O1073" t="str">
        <f>_xlfn.XLOOKUP(D1073,tClientes[ID_Cliente],tClientes[UF])</f>
        <v>MG</v>
      </c>
    </row>
    <row r="1074" spans="1:15" x14ac:dyDescent="0.3">
      <c r="A1074">
        <v>1073</v>
      </c>
      <c r="B1074" s="3">
        <v>46172</v>
      </c>
      <c r="C1074" s="3">
        <v>46180</v>
      </c>
      <c r="D1074">
        <v>165</v>
      </c>
      <c r="E1074">
        <v>9</v>
      </c>
      <c r="F1074">
        <v>5</v>
      </c>
      <c r="G1074" s="2">
        <v>44500</v>
      </c>
      <c r="H1074" s="4">
        <v>0</v>
      </c>
      <c r="I1074" s="2">
        <v>44500</v>
      </c>
      <c r="J1074" t="s">
        <v>257</v>
      </c>
      <c r="K1074" t="s">
        <v>254</v>
      </c>
      <c r="L1074">
        <v>5</v>
      </c>
      <c r="M1074" t="str">
        <f>_xlfn.XLOOKUP(E1074,tPacotes[ID_Pacote],tPacotes[Pacote])</f>
        <v>Cancún All Inclusive</v>
      </c>
      <c r="N1074" t="str">
        <f>_xlfn.XLOOKUP(E1074,tPacotes[ID_Pacote],tPacotes[Categoria])</f>
        <v>Praia</v>
      </c>
      <c r="O1074" t="str">
        <f>_xlfn.XLOOKUP(D1074,tClientes[ID_Cliente],tClientes[UF])</f>
        <v>SP</v>
      </c>
    </row>
    <row r="1075" spans="1:15" x14ac:dyDescent="0.3">
      <c r="A1075">
        <v>1074</v>
      </c>
      <c r="B1075" s="3">
        <v>46172</v>
      </c>
      <c r="C1075" s="3">
        <v>46264</v>
      </c>
      <c r="D1075">
        <v>34</v>
      </c>
      <c r="E1075">
        <v>4</v>
      </c>
      <c r="F1075">
        <v>1</v>
      </c>
      <c r="G1075" s="2">
        <v>6900</v>
      </c>
      <c r="H1075" s="4">
        <v>0.05</v>
      </c>
      <c r="I1075" s="2">
        <v>6555</v>
      </c>
      <c r="J1075" t="s">
        <v>255</v>
      </c>
      <c r="K1075" t="s">
        <v>254</v>
      </c>
      <c r="L1075">
        <v>4</v>
      </c>
      <c r="M1075" t="str">
        <f>_xlfn.XLOOKUP(E1075,tPacotes[ID_Pacote],tPacotes[Pacote])</f>
        <v>Fernando de Noronha</v>
      </c>
      <c r="N1075" t="str">
        <f>_xlfn.XLOOKUP(E1075,tPacotes[ID_Pacote],tPacotes[Categoria])</f>
        <v>Praia</v>
      </c>
      <c r="O1075" t="str">
        <f>_xlfn.XLOOKUP(D1075,tClientes[ID_Cliente],tClientes[UF])</f>
        <v>SP</v>
      </c>
    </row>
    <row r="1076" spans="1:15" x14ac:dyDescent="0.3">
      <c r="A1076">
        <v>1075</v>
      </c>
      <c r="B1076" s="3">
        <v>46174</v>
      </c>
      <c r="C1076" s="3">
        <v>46179</v>
      </c>
      <c r="D1076">
        <v>96</v>
      </c>
      <c r="E1076">
        <v>3</v>
      </c>
      <c r="F1076">
        <v>2</v>
      </c>
      <c r="G1076" s="2">
        <v>5200</v>
      </c>
      <c r="H1076" s="4">
        <v>0</v>
      </c>
      <c r="I1076" s="2">
        <v>5200</v>
      </c>
      <c r="J1076" t="s">
        <v>253</v>
      </c>
      <c r="K1076" t="s">
        <v>254</v>
      </c>
      <c r="L1076">
        <v>3</v>
      </c>
      <c r="M1076" t="str">
        <f>_xlfn.XLOOKUP(E1076,tPacotes[ID_Pacote],tPacotes[Pacote])</f>
        <v>Serra Gaúcha</v>
      </c>
      <c r="N1076" t="str">
        <f>_xlfn.XLOOKUP(E1076,tPacotes[ID_Pacote],tPacotes[Categoria])</f>
        <v>Inverno</v>
      </c>
      <c r="O1076" t="str">
        <f>_xlfn.XLOOKUP(D1076,tClientes[ID_Cliente],tClientes[UF])</f>
        <v>MG</v>
      </c>
    </row>
    <row r="1077" spans="1:15" x14ac:dyDescent="0.3">
      <c r="A1077">
        <v>1076</v>
      </c>
      <c r="B1077" s="3">
        <v>46174</v>
      </c>
      <c r="C1077" s="3">
        <v>46209</v>
      </c>
      <c r="D1077">
        <v>71</v>
      </c>
      <c r="E1077">
        <v>4</v>
      </c>
      <c r="F1077">
        <v>2</v>
      </c>
      <c r="G1077" s="2">
        <v>13800</v>
      </c>
      <c r="H1077" s="4">
        <v>0.15</v>
      </c>
      <c r="I1077" s="2">
        <v>11730</v>
      </c>
      <c r="J1077" t="s">
        <v>257</v>
      </c>
      <c r="K1077" t="s">
        <v>254</v>
      </c>
      <c r="L1077">
        <v>3</v>
      </c>
      <c r="M1077" t="str">
        <f>_xlfn.XLOOKUP(E1077,tPacotes[ID_Pacote],tPacotes[Pacote])</f>
        <v>Fernando de Noronha</v>
      </c>
      <c r="N1077" t="str">
        <f>_xlfn.XLOOKUP(E1077,tPacotes[ID_Pacote],tPacotes[Categoria])</f>
        <v>Praia</v>
      </c>
      <c r="O1077" t="str">
        <f>_xlfn.XLOOKUP(D1077,tClientes[ID_Cliente],tClientes[UF])</f>
        <v>RJ</v>
      </c>
    </row>
    <row r="1078" spans="1:15" x14ac:dyDescent="0.3">
      <c r="A1078">
        <v>1077</v>
      </c>
      <c r="B1078" s="3">
        <v>46174</v>
      </c>
      <c r="C1078" s="3">
        <v>46206</v>
      </c>
      <c r="D1078">
        <v>185</v>
      </c>
      <c r="E1078">
        <v>1</v>
      </c>
      <c r="F1078">
        <v>1</v>
      </c>
      <c r="G1078" s="2">
        <v>3200</v>
      </c>
      <c r="H1078" s="4">
        <v>0.1</v>
      </c>
      <c r="I1078" s="2">
        <v>2880</v>
      </c>
      <c r="J1078" t="s">
        <v>257</v>
      </c>
      <c r="K1078" t="s">
        <v>254</v>
      </c>
      <c r="L1078">
        <v>5</v>
      </c>
      <c r="M1078" t="str">
        <f>_xlfn.XLOOKUP(E1078,tPacotes[ID_Pacote],tPacotes[Pacote])</f>
        <v>Nordeste Encantado</v>
      </c>
      <c r="N1078" t="str">
        <f>_xlfn.XLOOKUP(E1078,tPacotes[ID_Pacote],tPacotes[Categoria])</f>
        <v>Praia</v>
      </c>
      <c r="O1078" t="str">
        <f>_xlfn.XLOOKUP(D1078,tClientes[ID_Cliente],tClientes[UF])</f>
        <v>SP</v>
      </c>
    </row>
    <row r="1079" spans="1:15" x14ac:dyDescent="0.3">
      <c r="A1079">
        <v>1078</v>
      </c>
      <c r="B1079" s="3">
        <v>46174</v>
      </c>
      <c r="C1079" s="3">
        <v>46190</v>
      </c>
      <c r="D1079">
        <v>58</v>
      </c>
      <c r="E1079">
        <v>1</v>
      </c>
      <c r="F1079">
        <v>1</v>
      </c>
      <c r="G1079" s="2">
        <v>3200</v>
      </c>
      <c r="H1079" s="4">
        <v>0.1</v>
      </c>
      <c r="I1079" s="2">
        <v>2880</v>
      </c>
      <c r="J1079" t="s">
        <v>256</v>
      </c>
      <c r="K1079" t="s">
        <v>254</v>
      </c>
      <c r="L1079">
        <v>5</v>
      </c>
      <c r="M1079" t="str">
        <f>_xlfn.XLOOKUP(E1079,tPacotes[ID_Pacote],tPacotes[Pacote])</f>
        <v>Nordeste Encantado</v>
      </c>
      <c r="N1079" t="str">
        <f>_xlfn.XLOOKUP(E1079,tPacotes[ID_Pacote],tPacotes[Categoria])</f>
        <v>Praia</v>
      </c>
      <c r="O1079" t="str">
        <f>_xlfn.XLOOKUP(D1079,tClientes[ID_Cliente],tClientes[UF])</f>
        <v>SP</v>
      </c>
    </row>
    <row r="1080" spans="1:15" x14ac:dyDescent="0.3">
      <c r="A1080">
        <v>1079</v>
      </c>
      <c r="B1080" s="3">
        <v>46174</v>
      </c>
      <c r="C1080" s="3">
        <v>46248</v>
      </c>
      <c r="D1080">
        <v>33</v>
      </c>
      <c r="E1080">
        <v>3</v>
      </c>
      <c r="F1080">
        <v>2</v>
      </c>
      <c r="G1080" s="2">
        <v>5200</v>
      </c>
      <c r="H1080" s="4">
        <v>0.05</v>
      </c>
      <c r="I1080" s="2">
        <v>4940</v>
      </c>
      <c r="J1080" t="s">
        <v>253</v>
      </c>
      <c r="K1080" t="s">
        <v>254</v>
      </c>
      <c r="L1080">
        <v>4</v>
      </c>
      <c r="M1080" t="str">
        <f>_xlfn.XLOOKUP(E1080,tPacotes[ID_Pacote],tPacotes[Pacote])</f>
        <v>Serra Gaúcha</v>
      </c>
      <c r="N1080" t="str">
        <f>_xlfn.XLOOKUP(E1080,tPacotes[ID_Pacote],tPacotes[Categoria])</f>
        <v>Inverno</v>
      </c>
      <c r="O1080" t="str">
        <f>_xlfn.XLOOKUP(D1080,tClientes[ID_Cliente],tClientes[UF])</f>
        <v>PR</v>
      </c>
    </row>
    <row r="1081" spans="1:15" x14ac:dyDescent="0.3">
      <c r="A1081">
        <v>1080</v>
      </c>
      <c r="B1081" s="3">
        <v>46175</v>
      </c>
      <c r="C1081" s="3">
        <v>46189</v>
      </c>
      <c r="D1081">
        <v>99</v>
      </c>
      <c r="E1081">
        <v>7</v>
      </c>
      <c r="F1081">
        <v>3</v>
      </c>
      <c r="G1081" s="2">
        <v>12600</v>
      </c>
      <c r="H1081" s="4">
        <v>0.1</v>
      </c>
      <c r="I1081" s="2">
        <v>11340</v>
      </c>
      <c r="J1081" t="s">
        <v>257</v>
      </c>
      <c r="K1081" t="s">
        <v>258</v>
      </c>
      <c r="M1081" t="str">
        <f>_xlfn.XLOOKUP(E1081,tPacotes[ID_Pacote],tPacotes[Pacote])</f>
        <v>Buenos Aires Clássica</v>
      </c>
      <c r="N1081" t="str">
        <f>_xlfn.XLOOKUP(E1081,tPacotes[ID_Pacote],tPacotes[Categoria])</f>
        <v>Cultural</v>
      </c>
      <c r="O1081" t="str">
        <f>_xlfn.XLOOKUP(D1081,tClientes[ID_Cliente],tClientes[UF])</f>
        <v>SP</v>
      </c>
    </row>
    <row r="1082" spans="1:15" x14ac:dyDescent="0.3">
      <c r="A1082">
        <v>1081</v>
      </c>
      <c r="B1082" s="3">
        <v>46175</v>
      </c>
      <c r="C1082" s="3">
        <v>46185</v>
      </c>
      <c r="D1082">
        <v>31</v>
      </c>
      <c r="E1082">
        <v>8</v>
      </c>
      <c r="F1082">
        <v>2</v>
      </c>
      <c r="G1082" s="2">
        <v>11800</v>
      </c>
      <c r="H1082" s="4">
        <v>0.05</v>
      </c>
      <c r="I1082" s="2">
        <v>11210</v>
      </c>
      <c r="J1082" t="s">
        <v>253</v>
      </c>
      <c r="K1082" t="s">
        <v>254</v>
      </c>
      <c r="L1082">
        <v>5</v>
      </c>
      <c r="M1082" t="str">
        <f>_xlfn.XLOOKUP(E1082,tPacotes[ID_Pacote],tPacotes[Pacote])</f>
        <v>Santiago e Neve</v>
      </c>
      <c r="N1082" t="str">
        <f>_xlfn.XLOOKUP(E1082,tPacotes[ID_Pacote],tPacotes[Categoria])</f>
        <v>Inverno</v>
      </c>
      <c r="O1082" t="str">
        <f>_xlfn.XLOOKUP(D1082,tClientes[ID_Cliente],tClientes[UF])</f>
        <v>SP</v>
      </c>
    </row>
    <row r="1083" spans="1:15" x14ac:dyDescent="0.3">
      <c r="A1083">
        <v>1082</v>
      </c>
      <c r="B1083" s="3">
        <v>46176</v>
      </c>
      <c r="C1083" s="3">
        <v>46267</v>
      </c>
      <c r="D1083">
        <v>115</v>
      </c>
      <c r="E1083">
        <v>5</v>
      </c>
      <c r="F1083">
        <v>2</v>
      </c>
      <c r="G1083" s="2">
        <v>6800</v>
      </c>
      <c r="H1083" s="4">
        <v>0</v>
      </c>
      <c r="I1083" s="2">
        <v>6800</v>
      </c>
      <c r="J1083" t="s">
        <v>253</v>
      </c>
      <c r="K1083" t="s">
        <v>254</v>
      </c>
      <c r="L1083">
        <v>5</v>
      </c>
      <c r="M1083" t="str">
        <f>_xlfn.XLOOKUP(E1083,tPacotes[ID_Pacote],tPacotes[Pacote])</f>
        <v>Bonito Aventura</v>
      </c>
      <c r="N1083" t="str">
        <f>_xlfn.XLOOKUP(E1083,tPacotes[ID_Pacote],tPacotes[Categoria])</f>
        <v>Aventura</v>
      </c>
      <c r="O1083" t="str">
        <f>_xlfn.XLOOKUP(D1083,tClientes[ID_Cliente],tClientes[UF])</f>
        <v>SP</v>
      </c>
    </row>
    <row r="1084" spans="1:15" x14ac:dyDescent="0.3">
      <c r="A1084">
        <v>1083</v>
      </c>
      <c r="B1084" s="3">
        <v>46176</v>
      </c>
      <c r="C1084" s="3">
        <v>46333</v>
      </c>
      <c r="D1084">
        <v>42</v>
      </c>
      <c r="E1084">
        <v>10</v>
      </c>
      <c r="F1084">
        <v>2</v>
      </c>
      <c r="G1084" s="2">
        <v>23000</v>
      </c>
      <c r="H1084" s="4">
        <v>0</v>
      </c>
      <c r="I1084" s="2">
        <v>23000</v>
      </c>
      <c r="J1084" t="s">
        <v>256</v>
      </c>
      <c r="K1084" t="s">
        <v>254</v>
      </c>
      <c r="M1084" t="str">
        <f>_xlfn.XLOOKUP(E1084,tPacotes[ID_Pacote],tPacotes[Pacote])</f>
        <v>Orlando Parques</v>
      </c>
      <c r="N1084" t="str">
        <f>_xlfn.XLOOKUP(E1084,tPacotes[ID_Pacote],tPacotes[Categoria])</f>
        <v>Parques</v>
      </c>
      <c r="O1084" t="str">
        <f>_xlfn.XLOOKUP(D1084,tClientes[ID_Cliente],tClientes[UF])</f>
        <v>SP</v>
      </c>
    </row>
    <row r="1085" spans="1:15" x14ac:dyDescent="0.3">
      <c r="A1085">
        <v>1084</v>
      </c>
      <c r="B1085" s="3">
        <v>46177</v>
      </c>
      <c r="C1085" s="3">
        <v>46183</v>
      </c>
      <c r="D1085">
        <v>167</v>
      </c>
      <c r="E1085">
        <v>7</v>
      </c>
      <c r="F1085">
        <v>1</v>
      </c>
      <c r="G1085" s="2">
        <v>4200</v>
      </c>
      <c r="H1085" s="4">
        <v>0</v>
      </c>
      <c r="I1085" s="2">
        <v>4200</v>
      </c>
      <c r="J1085" t="s">
        <v>255</v>
      </c>
      <c r="K1085" t="s">
        <v>254</v>
      </c>
      <c r="L1085">
        <v>4</v>
      </c>
      <c r="M1085" t="str">
        <f>_xlfn.XLOOKUP(E1085,tPacotes[ID_Pacote],tPacotes[Pacote])</f>
        <v>Buenos Aires Clássica</v>
      </c>
      <c r="N1085" t="str">
        <f>_xlfn.XLOOKUP(E1085,tPacotes[ID_Pacote],tPacotes[Categoria])</f>
        <v>Cultural</v>
      </c>
      <c r="O1085" t="str">
        <f>_xlfn.XLOOKUP(D1085,tClientes[ID_Cliente],tClientes[UF])</f>
        <v>SP</v>
      </c>
    </row>
    <row r="1086" spans="1:15" x14ac:dyDescent="0.3">
      <c r="A1086">
        <v>1085</v>
      </c>
      <c r="B1086" s="3">
        <v>46177</v>
      </c>
      <c r="C1086" s="3">
        <v>46194</v>
      </c>
      <c r="D1086">
        <v>107</v>
      </c>
      <c r="E1086">
        <v>1</v>
      </c>
      <c r="F1086">
        <v>3</v>
      </c>
      <c r="G1086" s="2">
        <v>9600</v>
      </c>
      <c r="H1086" s="4">
        <v>0.05</v>
      </c>
      <c r="I1086" s="2">
        <v>9120</v>
      </c>
      <c r="J1086" t="s">
        <v>253</v>
      </c>
      <c r="K1086" t="s">
        <v>258</v>
      </c>
      <c r="M1086" t="str">
        <f>_xlfn.XLOOKUP(E1086,tPacotes[ID_Pacote],tPacotes[Pacote])</f>
        <v>Nordeste Encantado</v>
      </c>
      <c r="N1086" t="str">
        <f>_xlfn.XLOOKUP(E1086,tPacotes[ID_Pacote],tPacotes[Categoria])</f>
        <v>Praia</v>
      </c>
      <c r="O1086" t="str">
        <f>_xlfn.XLOOKUP(D1086,tClientes[ID_Cliente],tClientes[UF])</f>
        <v>DF</v>
      </c>
    </row>
    <row r="1087" spans="1:15" x14ac:dyDescent="0.3">
      <c r="A1087">
        <v>1086</v>
      </c>
      <c r="B1087" s="3">
        <v>46177</v>
      </c>
      <c r="C1087" s="3">
        <v>46264</v>
      </c>
      <c r="D1087">
        <v>173</v>
      </c>
      <c r="E1087">
        <v>6</v>
      </c>
      <c r="F1087">
        <v>2</v>
      </c>
      <c r="G1087" s="2">
        <v>4200</v>
      </c>
      <c r="H1087" s="4">
        <v>0</v>
      </c>
      <c r="I1087" s="2">
        <v>4200</v>
      </c>
      <c r="J1087" t="s">
        <v>256</v>
      </c>
      <c r="K1087" t="s">
        <v>254</v>
      </c>
      <c r="L1087">
        <v>5</v>
      </c>
      <c r="M1087" t="str">
        <f>_xlfn.XLOOKUP(E1087,tPacotes[ID_Pacote],tPacotes[Pacote])</f>
        <v>Foz do Iguaçu</v>
      </c>
      <c r="N1087" t="str">
        <f>_xlfn.XLOOKUP(E1087,tPacotes[ID_Pacote],tPacotes[Categoria])</f>
        <v>Natureza</v>
      </c>
      <c r="O1087" t="str">
        <f>_xlfn.XLOOKUP(D1087,tClientes[ID_Cliente],tClientes[UF])</f>
        <v>BA</v>
      </c>
    </row>
    <row r="1088" spans="1:15" x14ac:dyDescent="0.3">
      <c r="A1088">
        <v>1087</v>
      </c>
      <c r="B1088" s="3">
        <v>46178</v>
      </c>
      <c r="C1088" s="3">
        <v>46327</v>
      </c>
      <c r="D1088">
        <v>135</v>
      </c>
      <c r="E1088">
        <v>15</v>
      </c>
      <c r="F1088">
        <v>3</v>
      </c>
      <c r="G1088" s="2">
        <v>9300</v>
      </c>
      <c r="H1088" s="4">
        <v>0.1</v>
      </c>
      <c r="I1088" s="2">
        <v>8370</v>
      </c>
      <c r="J1088" t="s">
        <v>257</v>
      </c>
      <c r="K1088" t="s">
        <v>254</v>
      </c>
      <c r="M1088" t="str">
        <f>_xlfn.XLOOKUP(E1088,tPacotes[ID_Pacote],tPacotes[Pacote])</f>
        <v>Jericoacoara</v>
      </c>
      <c r="N1088" t="str">
        <f>_xlfn.XLOOKUP(E1088,tPacotes[ID_Pacote],tPacotes[Categoria])</f>
        <v>Praia</v>
      </c>
      <c r="O1088" t="str">
        <f>_xlfn.XLOOKUP(D1088,tClientes[ID_Cliente],tClientes[UF])</f>
        <v>RJ</v>
      </c>
    </row>
    <row r="1089" spans="1:15" x14ac:dyDescent="0.3">
      <c r="A1089">
        <v>1088</v>
      </c>
      <c r="B1089" s="3">
        <v>46178</v>
      </c>
      <c r="C1089" s="3">
        <v>46344</v>
      </c>
      <c r="D1089">
        <v>121</v>
      </c>
      <c r="E1089">
        <v>5</v>
      </c>
      <c r="F1089">
        <v>4</v>
      </c>
      <c r="G1089" s="2">
        <v>13600</v>
      </c>
      <c r="H1089" s="4">
        <v>0</v>
      </c>
      <c r="I1089" s="2">
        <v>13600</v>
      </c>
      <c r="J1089" t="s">
        <v>255</v>
      </c>
      <c r="K1089" t="s">
        <v>254</v>
      </c>
      <c r="M1089" t="str">
        <f>_xlfn.XLOOKUP(E1089,tPacotes[ID_Pacote],tPacotes[Pacote])</f>
        <v>Bonito Aventura</v>
      </c>
      <c r="N1089" t="str">
        <f>_xlfn.XLOOKUP(E1089,tPacotes[ID_Pacote],tPacotes[Categoria])</f>
        <v>Aventura</v>
      </c>
      <c r="O1089" t="str">
        <f>_xlfn.XLOOKUP(D1089,tClientes[ID_Cliente],tClientes[UF])</f>
        <v>RS</v>
      </c>
    </row>
    <row r="1090" spans="1:15" x14ac:dyDescent="0.3">
      <c r="A1090">
        <v>1089</v>
      </c>
      <c r="B1090" s="3">
        <v>46178</v>
      </c>
      <c r="C1090" s="3">
        <v>46227</v>
      </c>
      <c r="D1090">
        <v>114</v>
      </c>
      <c r="E1090">
        <v>1</v>
      </c>
      <c r="F1090">
        <v>1</v>
      </c>
      <c r="G1090" s="2">
        <v>3200</v>
      </c>
      <c r="H1090" s="4">
        <v>0.05</v>
      </c>
      <c r="I1090" s="2">
        <v>3040</v>
      </c>
      <c r="J1090" t="s">
        <v>256</v>
      </c>
      <c r="K1090" t="s">
        <v>254</v>
      </c>
      <c r="L1090">
        <v>5</v>
      </c>
      <c r="M1090" t="str">
        <f>_xlfn.XLOOKUP(E1090,tPacotes[ID_Pacote],tPacotes[Pacote])</f>
        <v>Nordeste Encantado</v>
      </c>
      <c r="N1090" t="str">
        <f>_xlfn.XLOOKUP(E1090,tPacotes[ID_Pacote],tPacotes[Categoria])</f>
        <v>Praia</v>
      </c>
      <c r="O1090" t="str">
        <f>_xlfn.XLOOKUP(D1090,tClientes[ID_Cliente],tClientes[UF])</f>
        <v>SP</v>
      </c>
    </row>
    <row r="1091" spans="1:15" x14ac:dyDescent="0.3">
      <c r="A1091">
        <v>1090</v>
      </c>
      <c r="B1091" s="3">
        <v>46178</v>
      </c>
      <c r="C1091" s="3">
        <v>46189</v>
      </c>
      <c r="D1091">
        <v>153</v>
      </c>
      <c r="E1091">
        <v>6</v>
      </c>
      <c r="F1091">
        <v>1</v>
      </c>
      <c r="G1091" s="2">
        <v>2100</v>
      </c>
      <c r="H1091" s="4">
        <v>0</v>
      </c>
      <c r="I1091" s="2">
        <v>2100</v>
      </c>
      <c r="J1091" t="s">
        <v>256</v>
      </c>
      <c r="K1091" t="s">
        <v>254</v>
      </c>
      <c r="L1091">
        <v>2</v>
      </c>
      <c r="M1091" t="str">
        <f>_xlfn.XLOOKUP(E1091,tPacotes[ID_Pacote],tPacotes[Pacote])</f>
        <v>Foz do Iguaçu</v>
      </c>
      <c r="N1091" t="str">
        <f>_xlfn.XLOOKUP(E1091,tPacotes[ID_Pacote],tPacotes[Categoria])</f>
        <v>Natureza</v>
      </c>
      <c r="O1091" t="str">
        <f>_xlfn.XLOOKUP(D1091,tClientes[ID_Cliente],tClientes[UF])</f>
        <v>SP</v>
      </c>
    </row>
    <row r="1092" spans="1:15" x14ac:dyDescent="0.3">
      <c r="A1092">
        <v>1091</v>
      </c>
      <c r="B1092" s="3">
        <v>46178</v>
      </c>
      <c r="C1092" s="3">
        <v>46200</v>
      </c>
      <c r="D1092">
        <v>6</v>
      </c>
      <c r="E1092">
        <v>7</v>
      </c>
      <c r="F1092">
        <v>2</v>
      </c>
      <c r="G1092" s="2">
        <v>8400</v>
      </c>
      <c r="H1092" s="4">
        <v>0.05</v>
      </c>
      <c r="I1092" s="2">
        <v>7980</v>
      </c>
      <c r="J1092" t="s">
        <v>256</v>
      </c>
      <c r="K1092" t="s">
        <v>254</v>
      </c>
      <c r="L1092">
        <v>5</v>
      </c>
      <c r="M1092" t="str">
        <f>_xlfn.XLOOKUP(E1092,tPacotes[ID_Pacote],tPacotes[Pacote])</f>
        <v>Buenos Aires Clássica</v>
      </c>
      <c r="N1092" t="str">
        <f>_xlfn.XLOOKUP(E1092,tPacotes[ID_Pacote],tPacotes[Categoria])</f>
        <v>Cultural</v>
      </c>
      <c r="O1092" t="str">
        <f>_xlfn.XLOOKUP(D1092,tClientes[ID_Cliente],tClientes[UF])</f>
        <v>SP</v>
      </c>
    </row>
    <row r="1093" spans="1:15" x14ac:dyDescent="0.3">
      <c r="A1093">
        <v>1092</v>
      </c>
      <c r="B1093" s="3">
        <v>46179</v>
      </c>
      <c r="C1093" s="3">
        <v>46221</v>
      </c>
      <c r="D1093">
        <v>121</v>
      </c>
      <c r="E1093">
        <v>14</v>
      </c>
      <c r="F1093">
        <v>1</v>
      </c>
      <c r="G1093" s="2">
        <v>2900</v>
      </c>
      <c r="H1093" s="4">
        <v>0</v>
      </c>
      <c r="I1093" s="2">
        <v>2900</v>
      </c>
      <c r="J1093" t="s">
        <v>253</v>
      </c>
      <c r="K1093" t="s">
        <v>254</v>
      </c>
      <c r="L1093">
        <v>4</v>
      </c>
      <c r="M1093" t="str">
        <f>_xlfn.XLOOKUP(E1093,tPacotes[ID_Pacote],tPacotes[Pacote])</f>
        <v>Lençóis Maranhenses</v>
      </c>
      <c r="N1093" t="str">
        <f>_xlfn.XLOOKUP(E1093,tPacotes[ID_Pacote],tPacotes[Categoria])</f>
        <v>Natureza</v>
      </c>
      <c r="O1093" t="str">
        <f>_xlfn.XLOOKUP(D1093,tClientes[ID_Cliente],tClientes[UF])</f>
        <v>RS</v>
      </c>
    </row>
    <row r="1094" spans="1:15" x14ac:dyDescent="0.3">
      <c r="A1094">
        <v>1093</v>
      </c>
      <c r="B1094" s="3">
        <v>46180</v>
      </c>
      <c r="C1094" s="3">
        <v>46221</v>
      </c>
      <c r="D1094">
        <v>176</v>
      </c>
      <c r="E1094">
        <v>3</v>
      </c>
      <c r="F1094">
        <v>1</v>
      </c>
      <c r="G1094" s="2">
        <v>2600</v>
      </c>
      <c r="H1094" s="4">
        <v>0</v>
      </c>
      <c r="I1094" s="2">
        <v>2600</v>
      </c>
      <c r="J1094" t="s">
        <v>257</v>
      </c>
      <c r="K1094" t="s">
        <v>254</v>
      </c>
      <c r="L1094">
        <v>3</v>
      </c>
      <c r="M1094" t="str">
        <f>_xlfn.XLOOKUP(E1094,tPacotes[ID_Pacote],tPacotes[Pacote])</f>
        <v>Serra Gaúcha</v>
      </c>
      <c r="N1094" t="str">
        <f>_xlfn.XLOOKUP(E1094,tPacotes[ID_Pacote],tPacotes[Categoria])</f>
        <v>Inverno</v>
      </c>
      <c r="O1094" t="str">
        <f>_xlfn.XLOOKUP(D1094,tClientes[ID_Cliente],tClientes[UF])</f>
        <v>SP</v>
      </c>
    </row>
    <row r="1095" spans="1:15" x14ac:dyDescent="0.3">
      <c r="A1095">
        <v>1094</v>
      </c>
      <c r="B1095" s="3">
        <v>46181</v>
      </c>
      <c r="C1095" s="3">
        <v>46293</v>
      </c>
      <c r="D1095">
        <v>140</v>
      </c>
      <c r="E1095">
        <v>7</v>
      </c>
      <c r="F1095">
        <v>1</v>
      </c>
      <c r="G1095" s="2">
        <v>4200</v>
      </c>
      <c r="H1095" s="4">
        <v>0</v>
      </c>
      <c r="I1095" s="2">
        <v>4200</v>
      </c>
      <c r="J1095" t="s">
        <v>253</v>
      </c>
      <c r="K1095" t="s">
        <v>254</v>
      </c>
      <c r="M1095" t="str">
        <f>_xlfn.XLOOKUP(E1095,tPacotes[ID_Pacote],tPacotes[Pacote])</f>
        <v>Buenos Aires Clássica</v>
      </c>
      <c r="N1095" t="str">
        <f>_xlfn.XLOOKUP(E1095,tPacotes[ID_Pacote],tPacotes[Categoria])</f>
        <v>Cultural</v>
      </c>
      <c r="O1095" t="str">
        <f>_xlfn.XLOOKUP(D1095,tClientes[ID_Cliente],tClientes[UF])</f>
        <v>RJ</v>
      </c>
    </row>
    <row r="1096" spans="1:15" x14ac:dyDescent="0.3">
      <c r="A1096">
        <v>1095</v>
      </c>
      <c r="B1096" s="3">
        <v>46181</v>
      </c>
      <c r="C1096" s="3">
        <v>46205</v>
      </c>
      <c r="D1096">
        <v>14</v>
      </c>
      <c r="E1096">
        <v>2</v>
      </c>
      <c r="F1096">
        <v>3</v>
      </c>
      <c r="G1096" s="2">
        <v>5400</v>
      </c>
      <c r="H1096" s="4">
        <v>0</v>
      </c>
      <c r="I1096" s="2">
        <v>5400</v>
      </c>
      <c r="J1096" t="s">
        <v>255</v>
      </c>
      <c r="K1096" t="s">
        <v>254</v>
      </c>
      <c r="L1096">
        <v>4</v>
      </c>
      <c r="M1096" t="str">
        <f>_xlfn.XLOOKUP(E1096,tPacotes[ID_Pacote],tPacotes[Pacote])</f>
        <v>Rio Cidade Maravilhosa</v>
      </c>
      <c r="N1096" t="str">
        <f>_xlfn.XLOOKUP(E1096,tPacotes[ID_Pacote],tPacotes[Categoria])</f>
        <v>Cultural</v>
      </c>
      <c r="O1096" t="str">
        <f>_xlfn.XLOOKUP(D1096,tClientes[ID_Cliente],tClientes[UF])</f>
        <v>PE</v>
      </c>
    </row>
    <row r="1097" spans="1:15" x14ac:dyDescent="0.3">
      <c r="A1097">
        <v>1096</v>
      </c>
      <c r="B1097" s="3">
        <v>46181</v>
      </c>
      <c r="C1097" s="3">
        <v>46201</v>
      </c>
      <c r="D1097">
        <v>182</v>
      </c>
      <c r="E1097">
        <v>1</v>
      </c>
      <c r="F1097">
        <v>2</v>
      </c>
      <c r="G1097" s="2">
        <v>6400</v>
      </c>
      <c r="H1097" s="4">
        <v>0.15</v>
      </c>
      <c r="I1097" s="2">
        <v>5440</v>
      </c>
      <c r="J1097" t="s">
        <v>253</v>
      </c>
      <c r="K1097" t="s">
        <v>254</v>
      </c>
      <c r="L1097">
        <v>2</v>
      </c>
      <c r="M1097" t="str">
        <f>_xlfn.XLOOKUP(E1097,tPacotes[ID_Pacote],tPacotes[Pacote])</f>
        <v>Nordeste Encantado</v>
      </c>
      <c r="N1097" t="str">
        <f>_xlfn.XLOOKUP(E1097,tPacotes[ID_Pacote],tPacotes[Categoria])</f>
        <v>Praia</v>
      </c>
      <c r="O1097" t="str">
        <f>_xlfn.XLOOKUP(D1097,tClientes[ID_Cliente],tClientes[UF])</f>
        <v>MG</v>
      </c>
    </row>
    <row r="1098" spans="1:15" x14ac:dyDescent="0.3">
      <c r="A1098">
        <v>1097</v>
      </c>
      <c r="B1098" s="3">
        <v>46181</v>
      </c>
      <c r="C1098" s="3">
        <v>46262</v>
      </c>
      <c r="D1098">
        <v>99</v>
      </c>
      <c r="E1098">
        <v>14</v>
      </c>
      <c r="F1098">
        <v>2</v>
      </c>
      <c r="G1098" s="2">
        <v>5800</v>
      </c>
      <c r="H1098" s="4">
        <v>0</v>
      </c>
      <c r="I1098" s="2">
        <v>5800</v>
      </c>
      <c r="J1098" t="s">
        <v>255</v>
      </c>
      <c r="K1098" t="s">
        <v>254</v>
      </c>
      <c r="L1098">
        <v>4</v>
      </c>
      <c r="M1098" t="str">
        <f>_xlfn.XLOOKUP(E1098,tPacotes[ID_Pacote],tPacotes[Pacote])</f>
        <v>Lençóis Maranhenses</v>
      </c>
      <c r="N1098" t="str">
        <f>_xlfn.XLOOKUP(E1098,tPacotes[ID_Pacote],tPacotes[Categoria])</f>
        <v>Natureza</v>
      </c>
      <c r="O1098" t="str">
        <f>_xlfn.XLOOKUP(D1098,tClientes[ID_Cliente],tClientes[UF])</f>
        <v>SP</v>
      </c>
    </row>
    <row r="1099" spans="1:15" x14ac:dyDescent="0.3">
      <c r="A1099">
        <v>1098</v>
      </c>
      <c r="B1099" s="3">
        <v>46181</v>
      </c>
      <c r="C1099" s="3">
        <v>46247</v>
      </c>
      <c r="D1099">
        <v>30</v>
      </c>
      <c r="E1099">
        <v>8</v>
      </c>
      <c r="F1099">
        <v>4</v>
      </c>
      <c r="G1099" s="2">
        <v>23600</v>
      </c>
      <c r="H1099" s="4">
        <v>0.05</v>
      </c>
      <c r="I1099" s="2">
        <v>22420</v>
      </c>
      <c r="J1099" t="s">
        <v>253</v>
      </c>
      <c r="K1099" t="s">
        <v>258</v>
      </c>
      <c r="M1099" t="str">
        <f>_xlfn.XLOOKUP(E1099,tPacotes[ID_Pacote],tPacotes[Pacote])</f>
        <v>Santiago e Neve</v>
      </c>
      <c r="N1099" t="str">
        <f>_xlfn.XLOOKUP(E1099,tPacotes[ID_Pacote],tPacotes[Categoria])</f>
        <v>Inverno</v>
      </c>
      <c r="O1099" t="str">
        <f>_xlfn.XLOOKUP(D1099,tClientes[ID_Cliente],tClientes[UF])</f>
        <v>SP</v>
      </c>
    </row>
    <row r="1100" spans="1:15" x14ac:dyDescent="0.3">
      <c r="A1100">
        <v>1099</v>
      </c>
      <c r="B1100" s="3">
        <v>46182</v>
      </c>
      <c r="C1100" s="3">
        <v>46341</v>
      </c>
      <c r="D1100">
        <v>174</v>
      </c>
      <c r="E1100">
        <v>10</v>
      </c>
      <c r="F1100">
        <v>4</v>
      </c>
      <c r="G1100" s="2">
        <v>46000</v>
      </c>
      <c r="H1100" s="4">
        <v>0</v>
      </c>
      <c r="I1100" s="2">
        <v>46000</v>
      </c>
      <c r="J1100" t="s">
        <v>257</v>
      </c>
      <c r="K1100" t="s">
        <v>254</v>
      </c>
      <c r="M1100" t="str">
        <f>_xlfn.XLOOKUP(E1100,tPacotes[ID_Pacote],tPacotes[Pacote])</f>
        <v>Orlando Parques</v>
      </c>
      <c r="N1100" t="str">
        <f>_xlfn.XLOOKUP(E1100,tPacotes[ID_Pacote],tPacotes[Categoria])</f>
        <v>Parques</v>
      </c>
      <c r="O1100" t="str">
        <f>_xlfn.XLOOKUP(D1100,tClientes[ID_Cliente],tClientes[UF])</f>
        <v>SP</v>
      </c>
    </row>
    <row r="1101" spans="1:15" x14ac:dyDescent="0.3">
      <c r="A1101">
        <v>1100</v>
      </c>
      <c r="B1101" s="3">
        <v>46182</v>
      </c>
      <c r="C1101" s="3">
        <v>46186</v>
      </c>
      <c r="D1101">
        <v>191</v>
      </c>
      <c r="E1101">
        <v>8</v>
      </c>
      <c r="F1101">
        <v>1</v>
      </c>
      <c r="G1101" s="2">
        <v>5900</v>
      </c>
      <c r="H1101" s="4">
        <v>0</v>
      </c>
      <c r="I1101" s="2">
        <v>5900</v>
      </c>
      <c r="J1101" t="s">
        <v>257</v>
      </c>
      <c r="K1101" t="s">
        <v>254</v>
      </c>
      <c r="L1101">
        <v>1</v>
      </c>
      <c r="M1101" t="str">
        <f>_xlfn.XLOOKUP(E1101,tPacotes[ID_Pacote],tPacotes[Pacote])</f>
        <v>Santiago e Neve</v>
      </c>
      <c r="N1101" t="str">
        <f>_xlfn.XLOOKUP(E1101,tPacotes[ID_Pacote],tPacotes[Categoria])</f>
        <v>Inverno</v>
      </c>
      <c r="O1101" t="str">
        <f>_xlfn.XLOOKUP(D1101,tClientes[ID_Cliente],tClientes[UF])</f>
        <v>SP</v>
      </c>
    </row>
    <row r="1102" spans="1:15" x14ac:dyDescent="0.3">
      <c r="A1102">
        <v>1101</v>
      </c>
      <c r="B1102" s="3">
        <v>46182</v>
      </c>
      <c r="C1102" s="3">
        <v>46224</v>
      </c>
      <c r="D1102">
        <v>97</v>
      </c>
      <c r="E1102">
        <v>4</v>
      </c>
      <c r="F1102">
        <v>3</v>
      </c>
      <c r="G1102" s="2">
        <v>20700</v>
      </c>
      <c r="H1102" s="4">
        <v>0</v>
      </c>
      <c r="I1102" s="2">
        <v>20700</v>
      </c>
      <c r="J1102" t="s">
        <v>257</v>
      </c>
      <c r="K1102" t="s">
        <v>258</v>
      </c>
      <c r="M1102" t="str">
        <f>_xlfn.XLOOKUP(E1102,tPacotes[ID_Pacote],tPacotes[Pacote])</f>
        <v>Fernando de Noronha</v>
      </c>
      <c r="N1102" t="str">
        <f>_xlfn.XLOOKUP(E1102,tPacotes[ID_Pacote],tPacotes[Categoria])</f>
        <v>Praia</v>
      </c>
      <c r="O1102" t="str">
        <f>_xlfn.XLOOKUP(D1102,tClientes[ID_Cliente],tClientes[UF])</f>
        <v>SP</v>
      </c>
    </row>
    <row r="1103" spans="1:15" x14ac:dyDescent="0.3">
      <c r="A1103">
        <v>1102</v>
      </c>
      <c r="B1103" s="3">
        <v>46183</v>
      </c>
      <c r="C1103" s="3">
        <v>46239</v>
      </c>
      <c r="D1103">
        <v>172</v>
      </c>
      <c r="E1103">
        <v>1</v>
      </c>
      <c r="F1103">
        <v>1</v>
      </c>
      <c r="G1103" s="2">
        <v>3200</v>
      </c>
      <c r="H1103" s="4">
        <v>0.15</v>
      </c>
      <c r="I1103" s="2">
        <v>2720</v>
      </c>
      <c r="J1103" t="s">
        <v>255</v>
      </c>
      <c r="K1103" t="s">
        <v>254</v>
      </c>
      <c r="L1103">
        <v>4</v>
      </c>
      <c r="M1103" t="str">
        <f>_xlfn.XLOOKUP(E1103,tPacotes[ID_Pacote],tPacotes[Pacote])</f>
        <v>Nordeste Encantado</v>
      </c>
      <c r="N1103" t="str">
        <f>_xlfn.XLOOKUP(E1103,tPacotes[ID_Pacote],tPacotes[Categoria])</f>
        <v>Praia</v>
      </c>
      <c r="O1103" t="str">
        <f>_xlfn.XLOOKUP(D1103,tClientes[ID_Cliente],tClientes[UF])</f>
        <v>DF</v>
      </c>
    </row>
    <row r="1104" spans="1:15" x14ac:dyDescent="0.3">
      <c r="A1104">
        <v>1103</v>
      </c>
      <c r="B1104" s="3">
        <v>46183</v>
      </c>
      <c r="C1104" s="3">
        <v>46328</v>
      </c>
      <c r="D1104">
        <v>115</v>
      </c>
      <c r="E1104">
        <v>7</v>
      </c>
      <c r="F1104">
        <v>2</v>
      </c>
      <c r="G1104" s="2">
        <v>8400</v>
      </c>
      <c r="H1104" s="4">
        <v>0.1</v>
      </c>
      <c r="I1104" s="2">
        <v>7560</v>
      </c>
      <c r="J1104" t="s">
        <v>255</v>
      </c>
      <c r="K1104" t="s">
        <v>258</v>
      </c>
      <c r="M1104" t="str">
        <f>_xlfn.XLOOKUP(E1104,tPacotes[ID_Pacote],tPacotes[Pacote])</f>
        <v>Buenos Aires Clássica</v>
      </c>
      <c r="N1104" t="str">
        <f>_xlfn.XLOOKUP(E1104,tPacotes[ID_Pacote],tPacotes[Categoria])</f>
        <v>Cultural</v>
      </c>
      <c r="O1104" t="str">
        <f>_xlfn.XLOOKUP(D1104,tClientes[ID_Cliente],tClientes[UF])</f>
        <v>SP</v>
      </c>
    </row>
    <row r="1105" spans="1:15" x14ac:dyDescent="0.3">
      <c r="A1105">
        <v>1104</v>
      </c>
      <c r="B1105" s="3">
        <v>46183</v>
      </c>
      <c r="C1105" s="3">
        <v>46259</v>
      </c>
      <c r="D1105">
        <v>43</v>
      </c>
      <c r="E1105">
        <v>5</v>
      </c>
      <c r="F1105">
        <v>1</v>
      </c>
      <c r="G1105" s="2">
        <v>3400</v>
      </c>
      <c r="H1105" s="4">
        <v>0</v>
      </c>
      <c r="I1105" s="2">
        <v>3400</v>
      </c>
      <c r="J1105" t="s">
        <v>256</v>
      </c>
      <c r="K1105" t="s">
        <v>254</v>
      </c>
      <c r="L1105">
        <v>2</v>
      </c>
      <c r="M1105" t="str">
        <f>_xlfn.XLOOKUP(E1105,tPacotes[ID_Pacote],tPacotes[Pacote])</f>
        <v>Bonito Aventura</v>
      </c>
      <c r="N1105" t="str">
        <f>_xlfn.XLOOKUP(E1105,tPacotes[ID_Pacote],tPacotes[Categoria])</f>
        <v>Aventura</v>
      </c>
      <c r="O1105" t="str">
        <f>_xlfn.XLOOKUP(D1105,tClientes[ID_Cliente],tClientes[UF])</f>
        <v>PR</v>
      </c>
    </row>
    <row r="1106" spans="1:15" x14ac:dyDescent="0.3">
      <c r="A1106">
        <v>1105</v>
      </c>
      <c r="B1106" s="3">
        <v>46183</v>
      </c>
      <c r="C1106" s="3">
        <v>46231</v>
      </c>
      <c r="D1106">
        <v>154</v>
      </c>
      <c r="E1106">
        <v>3</v>
      </c>
      <c r="F1106">
        <v>4</v>
      </c>
      <c r="G1106" s="2">
        <v>10400</v>
      </c>
      <c r="H1106" s="4">
        <v>0.1</v>
      </c>
      <c r="I1106" s="2">
        <v>9360</v>
      </c>
      <c r="J1106" t="s">
        <v>255</v>
      </c>
      <c r="K1106" t="s">
        <v>254</v>
      </c>
      <c r="L1106">
        <v>4</v>
      </c>
      <c r="M1106" t="str">
        <f>_xlfn.XLOOKUP(E1106,tPacotes[ID_Pacote],tPacotes[Pacote])</f>
        <v>Serra Gaúcha</v>
      </c>
      <c r="N1106" t="str">
        <f>_xlfn.XLOOKUP(E1106,tPacotes[ID_Pacote],tPacotes[Categoria])</f>
        <v>Inverno</v>
      </c>
      <c r="O1106" t="str">
        <f>_xlfn.XLOOKUP(D1106,tClientes[ID_Cliente],tClientes[UF])</f>
        <v>DF</v>
      </c>
    </row>
    <row r="1107" spans="1:15" x14ac:dyDescent="0.3">
      <c r="A1107">
        <v>1106</v>
      </c>
      <c r="B1107" s="3">
        <v>46183</v>
      </c>
      <c r="C1107" s="3">
        <v>46189</v>
      </c>
      <c r="D1107">
        <v>45</v>
      </c>
      <c r="E1107">
        <v>7</v>
      </c>
      <c r="F1107">
        <v>4</v>
      </c>
      <c r="G1107" s="2">
        <v>16800</v>
      </c>
      <c r="H1107" s="4">
        <v>0</v>
      </c>
      <c r="I1107" s="2">
        <v>16800</v>
      </c>
      <c r="J1107" t="s">
        <v>253</v>
      </c>
      <c r="K1107" t="s">
        <v>254</v>
      </c>
      <c r="L1107">
        <v>4</v>
      </c>
      <c r="M1107" t="str">
        <f>_xlfn.XLOOKUP(E1107,tPacotes[ID_Pacote],tPacotes[Pacote])</f>
        <v>Buenos Aires Clássica</v>
      </c>
      <c r="N1107" t="str">
        <f>_xlfn.XLOOKUP(E1107,tPacotes[ID_Pacote],tPacotes[Categoria])</f>
        <v>Cultural</v>
      </c>
      <c r="O1107" t="str">
        <f>_xlfn.XLOOKUP(D1107,tClientes[ID_Cliente],tClientes[UF])</f>
        <v>SP</v>
      </c>
    </row>
    <row r="1108" spans="1:15" x14ac:dyDescent="0.3">
      <c r="A1108">
        <v>1107</v>
      </c>
      <c r="B1108" s="3">
        <v>46183</v>
      </c>
      <c r="C1108" s="3">
        <v>46193</v>
      </c>
      <c r="D1108">
        <v>134</v>
      </c>
      <c r="E1108">
        <v>1</v>
      </c>
      <c r="F1108">
        <v>3</v>
      </c>
      <c r="G1108" s="2">
        <v>9600</v>
      </c>
      <c r="H1108" s="4">
        <v>0</v>
      </c>
      <c r="I1108" s="2">
        <v>9600</v>
      </c>
      <c r="J1108" t="s">
        <v>253</v>
      </c>
      <c r="K1108" t="s">
        <v>254</v>
      </c>
      <c r="L1108">
        <v>4</v>
      </c>
      <c r="M1108" t="str">
        <f>_xlfn.XLOOKUP(E1108,tPacotes[ID_Pacote],tPacotes[Pacote])</f>
        <v>Nordeste Encantado</v>
      </c>
      <c r="N1108" t="str">
        <f>_xlfn.XLOOKUP(E1108,tPacotes[ID_Pacote],tPacotes[Categoria])</f>
        <v>Praia</v>
      </c>
      <c r="O1108" t="str">
        <f>_xlfn.XLOOKUP(D1108,tClientes[ID_Cliente],tClientes[UF])</f>
        <v>MG</v>
      </c>
    </row>
    <row r="1109" spans="1:15" x14ac:dyDescent="0.3">
      <c r="A1109">
        <v>1108</v>
      </c>
      <c r="B1109" s="3">
        <v>46183</v>
      </c>
      <c r="C1109" s="3">
        <v>46230</v>
      </c>
      <c r="D1109">
        <v>94</v>
      </c>
      <c r="E1109">
        <v>15</v>
      </c>
      <c r="F1109">
        <v>2</v>
      </c>
      <c r="G1109" s="2">
        <v>6200</v>
      </c>
      <c r="H1109" s="4">
        <v>0.1</v>
      </c>
      <c r="I1109" s="2">
        <v>5580</v>
      </c>
      <c r="J1109" t="s">
        <v>257</v>
      </c>
      <c r="K1109" t="s">
        <v>254</v>
      </c>
      <c r="L1109">
        <v>4</v>
      </c>
      <c r="M1109" t="str">
        <f>_xlfn.XLOOKUP(E1109,tPacotes[ID_Pacote],tPacotes[Pacote])</f>
        <v>Jericoacoara</v>
      </c>
      <c r="N1109" t="str">
        <f>_xlfn.XLOOKUP(E1109,tPacotes[ID_Pacote],tPacotes[Categoria])</f>
        <v>Praia</v>
      </c>
      <c r="O1109" t="str">
        <f>_xlfn.XLOOKUP(D1109,tClientes[ID_Cliente],tClientes[UF])</f>
        <v>RJ</v>
      </c>
    </row>
    <row r="1110" spans="1:15" x14ac:dyDescent="0.3">
      <c r="A1110">
        <v>1109</v>
      </c>
      <c r="B1110" s="3">
        <v>46184</v>
      </c>
      <c r="C1110" s="3">
        <v>46201</v>
      </c>
      <c r="D1110">
        <v>22</v>
      </c>
      <c r="E1110">
        <v>14</v>
      </c>
      <c r="F1110">
        <v>2</v>
      </c>
      <c r="G1110" s="2">
        <v>5800</v>
      </c>
      <c r="H1110" s="4">
        <v>0.1</v>
      </c>
      <c r="I1110" s="2">
        <v>5220</v>
      </c>
      <c r="J1110" t="s">
        <v>257</v>
      </c>
      <c r="K1110" t="s">
        <v>258</v>
      </c>
      <c r="M1110" t="str">
        <f>_xlfn.XLOOKUP(E1110,tPacotes[ID_Pacote],tPacotes[Pacote])</f>
        <v>Lençóis Maranhenses</v>
      </c>
      <c r="N1110" t="str">
        <f>_xlfn.XLOOKUP(E1110,tPacotes[ID_Pacote],tPacotes[Categoria])</f>
        <v>Natureza</v>
      </c>
      <c r="O1110" t="str">
        <f>_xlfn.XLOOKUP(D1110,tClientes[ID_Cliente],tClientes[UF])</f>
        <v>SP</v>
      </c>
    </row>
    <row r="1111" spans="1:15" x14ac:dyDescent="0.3">
      <c r="A1111">
        <v>1110</v>
      </c>
      <c r="B1111" s="3">
        <v>46184</v>
      </c>
      <c r="C1111" s="3">
        <v>46254</v>
      </c>
      <c r="D1111">
        <v>35</v>
      </c>
      <c r="E1111">
        <v>9</v>
      </c>
      <c r="F1111">
        <v>2</v>
      </c>
      <c r="G1111" s="2">
        <v>17800</v>
      </c>
      <c r="H1111" s="4">
        <v>0.15</v>
      </c>
      <c r="I1111" s="2">
        <v>15130</v>
      </c>
      <c r="J1111" t="s">
        <v>253</v>
      </c>
      <c r="K1111" t="s">
        <v>254</v>
      </c>
      <c r="L1111">
        <v>5</v>
      </c>
      <c r="M1111" t="str">
        <f>_xlfn.XLOOKUP(E1111,tPacotes[ID_Pacote],tPacotes[Pacote])</f>
        <v>Cancún All Inclusive</v>
      </c>
      <c r="N1111" t="str">
        <f>_xlfn.XLOOKUP(E1111,tPacotes[ID_Pacote],tPacotes[Categoria])</f>
        <v>Praia</v>
      </c>
      <c r="O1111" t="str">
        <f>_xlfn.XLOOKUP(D1111,tClientes[ID_Cliente],tClientes[UF])</f>
        <v>DF</v>
      </c>
    </row>
    <row r="1112" spans="1:15" x14ac:dyDescent="0.3">
      <c r="A1112">
        <v>1111</v>
      </c>
      <c r="B1112" s="3">
        <v>46184</v>
      </c>
      <c r="C1112" s="3">
        <v>46235</v>
      </c>
      <c r="D1112">
        <v>153</v>
      </c>
      <c r="E1112">
        <v>10</v>
      </c>
      <c r="F1112">
        <v>3</v>
      </c>
      <c r="G1112" s="2">
        <v>34500</v>
      </c>
      <c r="H1112" s="4">
        <v>0.1</v>
      </c>
      <c r="I1112" s="2">
        <v>31050</v>
      </c>
      <c r="J1112" t="s">
        <v>256</v>
      </c>
      <c r="K1112" t="s">
        <v>254</v>
      </c>
      <c r="L1112">
        <v>5</v>
      </c>
      <c r="M1112" t="str">
        <f>_xlfn.XLOOKUP(E1112,tPacotes[ID_Pacote],tPacotes[Pacote])</f>
        <v>Orlando Parques</v>
      </c>
      <c r="N1112" t="str">
        <f>_xlfn.XLOOKUP(E1112,tPacotes[ID_Pacote],tPacotes[Categoria])</f>
        <v>Parques</v>
      </c>
      <c r="O1112" t="str">
        <f>_xlfn.XLOOKUP(D1112,tClientes[ID_Cliente],tClientes[UF])</f>
        <v>SP</v>
      </c>
    </row>
    <row r="1113" spans="1:15" x14ac:dyDescent="0.3">
      <c r="A1113">
        <v>1112</v>
      </c>
      <c r="B1113" s="3">
        <v>46184</v>
      </c>
      <c r="C1113" s="3">
        <v>46257</v>
      </c>
      <c r="D1113">
        <v>75</v>
      </c>
      <c r="E1113">
        <v>15</v>
      </c>
      <c r="F1113">
        <v>2</v>
      </c>
      <c r="G1113" s="2">
        <v>6200</v>
      </c>
      <c r="H1113" s="4">
        <v>0.1</v>
      </c>
      <c r="I1113" s="2">
        <v>5580</v>
      </c>
      <c r="J1113" t="s">
        <v>256</v>
      </c>
      <c r="K1113" t="s">
        <v>254</v>
      </c>
      <c r="L1113">
        <v>5</v>
      </c>
      <c r="M1113" t="str">
        <f>_xlfn.XLOOKUP(E1113,tPacotes[ID_Pacote],tPacotes[Pacote])</f>
        <v>Jericoacoara</v>
      </c>
      <c r="N1113" t="str">
        <f>_xlfn.XLOOKUP(E1113,tPacotes[ID_Pacote],tPacotes[Categoria])</f>
        <v>Praia</v>
      </c>
      <c r="O1113" t="str">
        <f>_xlfn.XLOOKUP(D1113,tClientes[ID_Cliente],tClientes[UF])</f>
        <v>RS</v>
      </c>
    </row>
    <row r="1114" spans="1:15" x14ac:dyDescent="0.3">
      <c r="A1114">
        <v>1113</v>
      </c>
      <c r="B1114" s="3">
        <v>46184</v>
      </c>
      <c r="C1114" s="3">
        <v>46236</v>
      </c>
      <c r="D1114">
        <v>87</v>
      </c>
      <c r="E1114">
        <v>4</v>
      </c>
      <c r="F1114">
        <v>2</v>
      </c>
      <c r="G1114" s="2">
        <v>13800</v>
      </c>
      <c r="H1114" s="4">
        <v>0.1</v>
      </c>
      <c r="I1114" s="2">
        <v>12420</v>
      </c>
      <c r="J1114" t="s">
        <v>255</v>
      </c>
      <c r="K1114" t="s">
        <v>254</v>
      </c>
      <c r="L1114">
        <v>3</v>
      </c>
      <c r="M1114" t="str">
        <f>_xlfn.XLOOKUP(E1114,tPacotes[ID_Pacote],tPacotes[Pacote])</f>
        <v>Fernando de Noronha</v>
      </c>
      <c r="N1114" t="str">
        <f>_xlfn.XLOOKUP(E1114,tPacotes[ID_Pacote],tPacotes[Categoria])</f>
        <v>Praia</v>
      </c>
      <c r="O1114" t="str">
        <f>_xlfn.XLOOKUP(D1114,tClientes[ID_Cliente],tClientes[UF])</f>
        <v>SP</v>
      </c>
    </row>
    <row r="1115" spans="1:15" x14ac:dyDescent="0.3">
      <c r="A1115">
        <v>1114</v>
      </c>
      <c r="B1115" s="3">
        <v>46184</v>
      </c>
      <c r="C1115" s="3">
        <v>46201</v>
      </c>
      <c r="D1115">
        <v>200</v>
      </c>
      <c r="E1115">
        <v>3</v>
      </c>
      <c r="F1115">
        <v>2</v>
      </c>
      <c r="G1115" s="2">
        <v>5200</v>
      </c>
      <c r="H1115" s="4">
        <v>0.05</v>
      </c>
      <c r="I1115" s="2">
        <v>4940</v>
      </c>
      <c r="J1115" t="s">
        <v>257</v>
      </c>
      <c r="K1115" t="s">
        <v>254</v>
      </c>
      <c r="L1115">
        <v>5</v>
      </c>
      <c r="M1115" t="str">
        <f>_xlfn.XLOOKUP(E1115,tPacotes[ID_Pacote],tPacotes[Pacote])</f>
        <v>Serra Gaúcha</v>
      </c>
      <c r="N1115" t="str">
        <f>_xlfn.XLOOKUP(E1115,tPacotes[ID_Pacote],tPacotes[Categoria])</f>
        <v>Inverno</v>
      </c>
      <c r="O1115" t="str">
        <f>_xlfn.XLOOKUP(D1115,tClientes[ID_Cliente],tClientes[UF])</f>
        <v>PR</v>
      </c>
    </row>
    <row r="1116" spans="1:15" x14ac:dyDescent="0.3">
      <c r="A1116">
        <v>1115</v>
      </c>
      <c r="B1116" s="3">
        <v>46185</v>
      </c>
      <c r="C1116" s="3">
        <v>46200</v>
      </c>
      <c r="D1116">
        <v>176</v>
      </c>
      <c r="E1116">
        <v>1</v>
      </c>
      <c r="F1116">
        <v>2</v>
      </c>
      <c r="G1116" s="2">
        <v>6400</v>
      </c>
      <c r="H1116" s="4">
        <v>0</v>
      </c>
      <c r="I1116" s="2">
        <v>6400</v>
      </c>
      <c r="J1116" t="s">
        <v>255</v>
      </c>
      <c r="K1116" t="s">
        <v>254</v>
      </c>
      <c r="L1116">
        <v>2</v>
      </c>
      <c r="M1116" t="str">
        <f>_xlfn.XLOOKUP(E1116,tPacotes[ID_Pacote],tPacotes[Pacote])</f>
        <v>Nordeste Encantado</v>
      </c>
      <c r="N1116" t="str">
        <f>_xlfn.XLOOKUP(E1116,tPacotes[ID_Pacote],tPacotes[Categoria])</f>
        <v>Praia</v>
      </c>
      <c r="O1116" t="str">
        <f>_xlfn.XLOOKUP(D1116,tClientes[ID_Cliente],tClientes[UF])</f>
        <v>SP</v>
      </c>
    </row>
    <row r="1117" spans="1:15" x14ac:dyDescent="0.3">
      <c r="A1117">
        <v>1116</v>
      </c>
      <c r="B1117" s="3">
        <v>46185</v>
      </c>
      <c r="C1117" s="3">
        <v>46218</v>
      </c>
      <c r="D1117">
        <v>93</v>
      </c>
      <c r="E1117">
        <v>15</v>
      </c>
      <c r="F1117">
        <v>3</v>
      </c>
      <c r="G1117" s="2">
        <v>9300</v>
      </c>
      <c r="H1117" s="4">
        <v>0.15</v>
      </c>
      <c r="I1117" s="2">
        <v>7905</v>
      </c>
      <c r="J1117" t="s">
        <v>253</v>
      </c>
      <c r="K1117" t="s">
        <v>258</v>
      </c>
      <c r="M1117" t="str">
        <f>_xlfn.XLOOKUP(E1117,tPacotes[ID_Pacote],tPacotes[Pacote])</f>
        <v>Jericoacoara</v>
      </c>
      <c r="N1117" t="str">
        <f>_xlfn.XLOOKUP(E1117,tPacotes[ID_Pacote],tPacotes[Categoria])</f>
        <v>Praia</v>
      </c>
      <c r="O1117" t="str">
        <f>_xlfn.XLOOKUP(D1117,tClientes[ID_Cliente],tClientes[UF])</f>
        <v>DF</v>
      </c>
    </row>
    <row r="1118" spans="1:15" x14ac:dyDescent="0.3">
      <c r="A1118">
        <v>1117</v>
      </c>
      <c r="B1118" s="3">
        <v>46185</v>
      </c>
      <c r="C1118" s="3">
        <v>46361</v>
      </c>
      <c r="D1118">
        <v>54</v>
      </c>
      <c r="E1118">
        <v>3</v>
      </c>
      <c r="F1118">
        <v>4</v>
      </c>
      <c r="G1118" s="2">
        <v>10400</v>
      </c>
      <c r="H1118" s="4">
        <v>0.1</v>
      </c>
      <c r="I1118" s="2">
        <v>9360</v>
      </c>
      <c r="J1118" t="s">
        <v>255</v>
      </c>
      <c r="K1118" t="s">
        <v>254</v>
      </c>
      <c r="M1118" t="str">
        <f>_xlfn.XLOOKUP(E1118,tPacotes[ID_Pacote],tPacotes[Pacote])</f>
        <v>Serra Gaúcha</v>
      </c>
      <c r="N1118" t="str">
        <f>_xlfn.XLOOKUP(E1118,tPacotes[ID_Pacote],tPacotes[Categoria])</f>
        <v>Inverno</v>
      </c>
      <c r="O1118" t="str">
        <f>_xlfn.XLOOKUP(D1118,tClientes[ID_Cliente],tClientes[UF])</f>
        <v>RJ</v>
      </c>
    </row>
    <row r="1119" spans="1:15" x14ac:dyDescent="0.3">
      <c r="A1119">
        <v>1118</v>
      </c>
      <c r="B1119" s="3">
        <v>46185</v>
      </c>
      <c r="C1119" s="3">
        <v>46244</v>
      </c>
      <c r="D1119">
        <v>67</v>
      </c>
      <c r="E1119">
        <v>7</v>
      </c>
      <c r="F1119">
        <v>2</v>
      </c>
      <c r="G1119" s="2">
        <v>8400</v>
      </c>
      <c r="H1119" s="4">
        <v>0.05</v>
      </c>
      <c r="I1119" s="2">
        <v>7980</v>
      </c>
      <c r="J1119" t="s">
        <v>257</v>
      </c>
      <c r="K1119" t="s">
        <v>258</v>
      </c>
      <c r="M1119" t="str">
        <f>_xlfn.XLOOKUP(E1119,tPacotes[ID_Pacote],tPacotes[Pacote])</f>
        <v>Buenos Aires Clássica</v>
      </c>
      <c r="N1119" t="str">
        <f>_xlfn.XLOOKUP(E1119,tPacotes[ID_Pacote],tPacotes[Categoria])</f>
        <v>Cultural</v>
      </c>
      <c r="O1119" t="str">
        <f>_xlfn.XLOOKUP(D1119,tClientes[ID_Cliente],tClientes[UF])</f>
        <v>RJ</v>
      </c>
    </row>
    <row r="1120" spans="1:15" x14ac:dyDescent="0.3">
      <c r="A1120">
        <v>1119</v>
      </c>
      <c r="B1120" s="3">
        <v>46185</v>
      </c>
      <c r="C1120" s="3">
        <v>46209</v>
      </c>
      <c r="D1120">
        <v>27</v>
      </c>
      <c r="E1120">
        <v>6</v>
      </c>
      <c r="F1120">
        <v>1</v>
      </c>
      <c r="G1120" s="2">
        <v>2100</v>
      </c>
      <c r="H1120" s="4">
        <v>0.1</v>
      </c>
      <c r="I1120" s="2">
        <v>1890</v>
      </c>
      <c r="J1120" t="s">
        <v>256</v>
      </c>
      <c r="K1120" t="s">
        <v>254</v>
      </c>
      <c r="L1120">
        <v>2</v>
      </c>
      <c r="M1120" t="str">
        <f>_xlfn.XLOOKUP(E1120,tPacotes[ID_Pacote],tPacotes[Pacote])</f>
        <v>Foz do Iguaçu</v>
      </c>
      <c r="N1120" t="str">
        <f>_xlfn.XLOOKUP(E1120,tPacotes[ID_Pacote],tPacotes[Categoria])</f>
        <v>Natureza</v>
      </c>
      <c r="O1120" t="str">
        <f>_xlfn.XLOOKUP(D1120,tClientes[ID_Cliente],tClientes[UF])</f>
        <v>PR</v>
      </c>
    </row>
    <row r="1121" spans="1:15" x14ac:dyDescent="0.3">
      <c r="A1121">
        <v>1120</v>
      </c>
      <c r="B1121" s="3">
        <v>46185</v>
      </c>
      <c r="C1121" s="3">
        <v>46231</v>
      </c>
      <c r="D1121">
        <v>180</v>
      </c>
      <c r="E1121">
        <v>6</v>
      </c>
      <c r="F1121">
        <v>4</v>
      </c>
      <c r="G1121" s="2">
        <v>8400</v>
      </c>
      <c r="H1121" s="4">
        <v>0</v>
      </c>
      <c r="I1121" s="2">
        <v>8400</v>
      </c>
      <c r="J1121" t="s">
        <v>255</v>
      </c>
      <c r="K1121" t="s">
        <v>254</v>
      </c>
      <c r="L1121">
        <v>5</v>
      </c>
      <c r="M1121" t="str">
        <f>_xlfn.XLOOKUP(E1121,tPacotes[ID_Pacote],tPacotes[Pacote])</f>
        <v>Foz do Iguaçu</v>
      </c>
      <c r="N1121" t="str">
        <f>_xlfn.XLOOKUP(E1121,tPacotes[ID_Pacote],tPacotes[Categoria])</f>
        <v>Natureza</v>
      </c>
      <c r="O1121" t="str">
        <f>_xlfn.XLOOKUP(D1121,tClientes[ID_Cliente],tClientes[UF])</f>
        <v>PR</v>
      </c>
    </row>
    <row r="1122" spans="1:15" x14ac:dyDescent="0.3">
      <c r="A1122">
        <v>1121</v>
      </c>
      <c r="B1122" s="3">
        <v>46186</v>
      </c>
      <c r="C1122" s="3">
        <v>46287</v>
      </c>
      <c r="D1122">
        <v>59</v>
      </c>
      <c r="E1122">
        <v>6</v>
      </c>
      <c r="F1122">
        <v>4</v>
      </c>
      <c r="G1122" s="2">
        <v>8400</v>
      </c>
      <c r="H1122" s="4">
        <v>0</v>
      </c>
      <c r="I1122" s="2">
        <v>8400</v>
      </c>
      <c r="J1122" t="s">
        <v>253</v>
      </c>
      <c r="K1122" t="s">
        <v>254</v>
      </c>
      <c r="L1122">
        <v>5</v>
      </c>
      <c r="M1122" t="str">
        <f>_xlfn.XLOOKUP(E1122,tPacotes[ID_Pacote],tPacotes[Pacote])</f>
        <v>Foz do Iguaçu</v>
      </c>
      <c r="N1122" t="str">
        <f>_xlfn.XLOOKUP(E1122,tPacotes[ID_Pacote],tPacotes[Categoria])</f>
        <v>Natureza</v>
      </c>
      <c r="O1122" t="str">
        <f>_xlfn.XLOOKUP(D1122,tClientes[ID_Cliente],tClientes[UF])</f>
        <v>DF</v>
      </c>
    </row>
    <row r="1123" spans="1:15" x14ac:dyDescent="0.3">
      <c r="A1123">
        <v>1122</v>
      </c>
      <c r="B1123" s="3">
        <v>46186</v>
      </c>
      <c r="C1123" s="3">
        <v>46190</v>
      </c>
      <c r="D1123">
        <v>38</v>
      </c>
      <c r="E1123">
        <v>7</v>
      </c>
      <c r="F1123">
        <v>2</v>
      </c>
      <c r="G1123" s="2">
        <v>8400</v>
      </c>
      <c r="H1123" s="4">
        <v>0.05</v>
      </c>
      <c r="I1123" s="2">
        <v>7980</v>
      </c>
      <c r="J1123" t="s">
        <v>255</v>
      </c>
      <c r="K1123" t="s">
        <v>254</v>
      </c>
      <c r="L1123">
        <v>4</v>
      </c>
      <c r="M1123" t="str">
        <f>_xlfn.XLOOKUP(E1123,tPacotes[ID_Pacote],tPacotes[Pacote])</f>
        <v>Buenos Aires Clássica</v>
      </c>
      <c r="N1123" t="str">
        <f>_xlfn.XLOOKUP(E1123,tPacotes[ID_Pacote],tPacotes[Categoria])</f>
        <v>Cultural</v>
      </c>
      <c r="O1123" t="str">
        <f>_xlfn.XLOOKUP(D1123,tClientes[ID_Cliente],tClientes[UF])</f>
        <v>SP</v>
      </c>
    </row>
    <row r="1124" spans="1:15" x14ac:dyDescent="0.3">
      <c r="A1124">
        <v>1123</v>
      </c>
      <c r="B1124" s="3">
        <v>46186</v>
      </c>
      <c r="C1124" s="3">
        <v>46245</v>
      </c>
      <c r="D1124">
        <v>173</v>
      </c>
      <c r="E1124">
        <v>12</v>
      </c>
      <c r="F1124">
        <v>1</v>
      </c>
      <c r="G1124" s="2">
        <v>12400</v>
      </c>
      <c r="H1124" s="4">
        <v>0.05</v>
      </c>
      <c r="I1124" s="2">
        <v>11780</v>
      </c>
      <c r="J1124" t="s">
        <v>256</v>
      </c>
      <c r="K1124" t="s">
        <v>258</v>
      </c>
      <c r="M1124" t="str">
        <f>_xlfn.XLOOKUP(E1124,tPacotes[ID_Pacote],tPacotes[Pacote])</f>
        <v>Lisboa e Porto</v>
      </c>
      <c r="N1124" t="str">
        <f>_xlfn.XLOOKUP(E1124,tPacotes[ID_Pacote],tPacotes[Categoria])</f>
        <v>Cultural</v>
      </c>
      <c r="O1124" t="str">
        <f>_xlfn.XLOOKUP(D1124,tClientes[ID_Cliente],tClientes[UF])</f>
        <v>BA</v>
      </c>
    </row>
    <row r="1125" spans="1:15" x14ac:dyDescent="0.3">
      <c r="A1125">
        <v>1124</v>
      </c>
      <c r="B1125" s="3">
        <v>46186</v>
      </c>
      <c r="C1125" s="3">
        <v>46264</v>
      </c>
      <c r="D1125">
        <v>30</v>
      </c>
      <c r="E1125">
        <v>4</v>
      </c>
      <c r="F1125">
        <v>4</v>
      </c>
      <c r="G1125" s="2">
        <v>27600</v>
      </c>
      <c r="H1125" s="4">
        <v>0.05</v>
      </c>
      <c r="I1125" s="2">
        <v>26220</v>
      </c>
      <c r="J1125" t="s">
        <v>253</v>
      </c>
      <c r="K1125" t="s">
        <v>254</v>
      </c>
      <c r="L1125">
        <v>5</v>
      </c>
      <c r="M1125" t="str">
        <f>_xlfn.XLOOKUP(E1125,tPacotes[ID_Pacote],tPacotes[Pacote])</f>
        <v>Fernando de Noronha</v>
      </c>
      <c r="N1125" t="str">
        <f>_xlfn.XLOOKUP(E1125,tPacotes[ID_Pacote],tPacotes[Categoria])</f>
        <v>Praia</v>
      </c>
      <c r="O1125" t="str">
        <f>_xlfn.XLOOKUP(D1125,tClientes[ID_Cliente],tClientes[UF])</f>
        <v>SP</v>
      </c>
    </row>
    <row r="1126" spans="1:15" x14ac:dyDescent="0.3">
      <c r="A1126">
        <v>1125</v>
      </c>
      <c r="B1126" s="3">
        <v>46187</v>
      </c>
      <c r="C1126" s="3">
        <v>46191</v>
      </c>
      <c r="D1126">
        <v>64</v>
      </c>
      <c r="E1126">
        <v>13</v>
      </c>
      <c r="F1126">
        <v>2</v>
      </c>
      <c r="G1126" s="2">
        <v>14600</v>
      </c>
      <c r="H1126" s="4">
        <v>0</v>
      </c>
      <c r="I1126" s="2">
        <v>14600</v>
      </c>
      <c r="J1126" t="s">
        <v>257</v>
      </c>
      <c r="K1126" t="s">
        <v>254</v>
      </c>
      <c r="L1126">
        <v>2</v>
      </c>
      <c r="M1126" t="str">
        <f>_xlfn.XLOOKUP(E1126,tPacotes[ID_Pacote],tPacotes[Pacote])</f>
        <v>Machu Picchu</v>
      </c>
      <c r="N1126" t="str">
        <f>_xlfn.XLOOKUP(E1126,tPacotes[ID_Pacote],tPacotes[Categoria])</f>
        <v>Aventura</v>
      </c>
      <c r="O1126" t="str">
        <f>_xlfn.XLOOKUP(D1126,tClientes[ID_Cliente],tClientes[UF])</f>
        <v>PE</v>
      </c>
    </row>
    <row r="1127" spans="1:15" x14ac:dyDescent="0.3">
      <c r="A1127">
        <v>1126</v>
      </c>
      <c r="B1127" s="3">
        <v>46187</v>
      </c>
      <c r="C1127" s="3">
        <v>46325</v>
      </c>
      <c r="D1127">
        <v>137</v>
      </c>
      <c r="E1127">
        <v>6</v>
      </c>
      <c r="F1127">
        <v>1</v>
      </c>
      <c r="G1127" s="2">
        <v>2100</v>
      </c>
      <c r="H1127" s="4">
        <v>0.05</v>
      </c>
      <c r="I1127" s="2">
        <v>1995</v>
      </c>
      <c r="J1127" t="s">
        <v>255</v>
      </c>
      <c r="K1127" t="s">
        <v>254</v>
      </c>
      <c r="M1127" t="str">
        <f>_xlfn.XLOOKUP(E1127,tPacotes[ID_Pacote],tPacotes[Pacote])</f>
        <v>Foz do Iguaçu</v>
      </c>
      <c r="N1127" t="str">
        <f>_xlfn.XLOOKUP(E1127,tPacotes[ID_Pacote],tPacotes[Categoria])</f>
        <v>Natureza</v>
      </c>
      <c r="O1127" t="str">
        <f>_xlfn.XLOOKUP(D1127,tClientes[ID_Cliente],tClientes[UF])</f>
        <v>SP</v>
      </c>
    </row>
    <row r="1128" spans="1:15" x14ac:dyDescent="0.3">
      <c r="A1128">
        <v>1127</v>
      </c>
      <c r="B1128" s="3">
        <v>46188</v>
      </c>
      <c r="C1128" s="3">
        <v>46349</v>
      </c>
      <c r="D1128">
        <v>191</v>
      </c>
      <c r="E1128">
        <v>1</v>
      </c>
      <c r="F1128">
        <v>3</v>
      </c>
      <c r="G1128" s="2">
        <v>9600</v>
      </c>
      <c r="H1128" s="4">
        <v>0</v>
      </c>
      <c r="I1128" s="2">
        <v>9600</v>
      </c>
      <c r="J1128" t="s">
        <v>255</v>
      </c>
      <c r="K1128" t="s">
        <v>254</v>
      </c>
      <c r="M1128" t="str">
        <f>_xlfn.XLOOKUP(E1128,tPacotes[ID_Pacote],tPacotes[Pacote])</f>
        <v>Nordeste Encantado</v>
      </c>
      <c r="N1128" t="str">
        <f>_xlfn.XLOOKUP(E1128,tPacotes[ID_Pacote],tPacotes[Categoria])</f>
        <v>Praia</v>
      </c>
      <c r="O1128" t="str">
        <f>_xlfn.XLOOKUP(D1128,tClientes[ID_Cliente],tClientes[UF])</f>
        <v>SP</v>
      </c>
    </row>
    <row r="1129" spans="1:15" x14ac:dyDescent="0.3">
      <c r="A1129">
        <v>1128</v>
      </c>
      <c r="B1129" s="3">
        <v>46188</v>
      </c>
      <c r="C1129" s="3">
        <v>46266</v>
      </c>
      <c r="D1129">
        <v>120</v>
      </c>
      <c r="E1129">
        <v>1</v>
      </c>
      <c r="F1129">
        <v>2</v>
      </c>
      <c r="G1129" s="2">
        <v>6400</v>
      </c>
      <c r="H1129" s="4">
        <v>0.1</v>
      </c>
      <c r="I1129" s="2">
        <v>5760</v>
      </c>
      <c r="J1129" t="s">
        <v>253</v>
      </c>
      <c r="K1129" t="s">
        <v>254</v>
      </c>
      <c r="L1129">
        <v>4</v>
      </c>
      <c r="M1129" t="str">
        <f>_xlfn.XLOOKUP(E1129,tPacotes[ID_Pacote],tPacotes[Pacote])</f>
        <v>Nordeste Encantado</v>
      </c>
      <c r="N1129" t="str">
        <f>_xlfn.XLOOKUP(E1129,tPacotes[ID_Pacote],tPacotes[Categoria])</f>
        <v>Praia</v>
      </c>
      <c r="O1129" t="str">
        <f>_xlfn.XLOOKUP(D1129,tClientes[ID_Cliente],tClientes[UF])</f>
        <v>PR</v>
      </c>
    </row>
    <row r="1130" spans="1:15" x14ac:dyDescent="0.3">
      <c r="A1130">
        <v>1129</v>
      </c>
      <c r="B1130" s="3">
        <v>46189</v>
      </c>
      <c r="C1130" s="3">
        <v>46220</v>
      </c>
      <c r="D1130">
        <v>188</v>
      </c>
      <c r="E1130">
        <v>6</v>
      </c>
      <c r="F1130">
        <v>1</v>
      </c>
      <c r="G1130" s="2">
        <v>2100</v>
      </c>
      <c r="H1130" s="4">
        <v>0</v>
      </c>
      <c r="I1130" s="2">
        <v>2100</v>
      </c>
      <c r="J1130" t="s">
        <v>256</v>
      </c>
      <c r="K1130" t="s">
        <v>254</v>
      </c>
      <c r="L1130">
        <v>4</v>
      </c>
      <c r="M1130" t="str">
        <f>_xlfn.XLOOKUP(E1130,tPacotes[ID_Pacote],tPacotes[Pacote])</f>
        <v>Foz do Iguaçu</v>
      </c>
      <c r="N1130" t="str">
        <f>_xlfn.XLOOKUP(E1130,tPacotes[ID_Pacote],tPacotes[Categoria])</f>
        <v>Natureza</v>
      </c>
      <c r="O1130" t="str">
        <f>_xlfn.XLOOKUP(D1130,tClientes[ID_Cliente],tClientes[UF])</f>
        <v>SP</v>
      </c>
    </row>
    <row r="1131" spans="1:15" x14ac:dyDescent="0.3">
      <c r="A1131">
        <v>1130</v>
      </c>
      <c r="B1131" s="3">
        <v>46189</v>
      </c>
      <c r="C1131" s="3">
        <v>46366</v>
      </c>
      <c r="D1131">
        <v>121</v>
      </c>
      <c r="E1131">
        <v>15</v>
      </c>
      <c r="F1131">
        <v>2</v>
      </c>
      <c r="G1131" s="2">
        <v>6200</v>
      </c>
      <c r="H1131" s="4">
        <v>0.1</v>
      </c>
      <c r="I1131" s="2">
        <v>5580</v>
      </c>
      <c r="J1131" t="s">
        <v>253</v>
      </c>
      <c r="K1131" t="s">
        <v>258</v>
      </c>
      <c r="M1131" t="str">
        <f>_xlfn.XLOOKUP(E1131,tPacotes[ID_Pacote],tPacotes[Pacote])</f>
        <v>Jericoacoara</v>
      </c>
      <c r="N1131" t="str">
        <f>_xlfn.XLOOKUP(E1131,tPacotes[ID_Pacote],tPacotes[Categoria])</f>
        <v>Praia</v>
      </c>
      <c r="O1131" t="str">
        <f>_xlfn.XLOOKUP(D1131,tClientes[ID_Cliente],tClientes[UF])</f>
        <v>RS</v>
      </c>
    </row>
    <row r="1132" spans="1:15" x14ac:dyDescent="0.3">
      <c r="A1132">
        <v>1131</v>
      </c>
      <c r="B1132" s="3">
        <v>46189</v>
      </c>
      <c r="C1132" s="3">
        <v>46249</v>
      </c>
      <c r="D1132">
        <v>158</v>
      </c>
      <c r="E1132">
        <v>7</v>
      </c>
      <c r="F1132">
        <v>4</v>
      </c>
      <c r="G1132" s="2">
        <v>16800</v>
      </c>
      <c r="H1132" s="4">
        <v>0</v>
      </c>
      <c r="I1132" s="2">
        <v>16800</v>
      </c>
      <c r="J1132" t="s">
        <v>257</v>
      </c>
      <c r="K1132" t="s">
        <v>254</v>
      </c>
      <c r="L1132">
        <v>5</v>
      </c>
      <c r="M1132" t="str">
        <f>_xlfn.XLOOKUP(E1132,tPacotes[ID_Pacote],tPacotes[Pacote])</f>
        <v>Buenos Aires Clássica</v>
      </c>
      <c r="N1132" t="str">
        <f>_xlfn.XLOOKUP(E1132,tPacotes[ID_Pacote],tPacotes[Categoria])</f>
        <v>Cultural</v>
      </c>
      <c r="O1132" t="str">
        <f>_xlfn.XLOOKUP(D1132,tClientes[ID_Cliente],tClientes[UF])</f>
        <v>RS</v>
      </c>
    </row>
    <row r="1133" spans="1:15" x14ac:dyDescent="0.3">
      <c r="A1133">
        <v>1132</v>
      </c>
      <c r="B1133" s="3">
        <v>46189</v>
      </c>
      <c r="C1133" s="3">
        <v>46206</v>
      </c>
      <c r="D1133">
        <v>174</v>
      </c>
      <c r="E1133">
        <v>9</v>
      </c>
      <c r="F1133">
        <v>2</v>
      </c>
      <c r="G1133" s="2">
        <v>17800</v>
      </c>
      <c r="H1133" s="4">
        <v>0</v>
      </c>
      <c r="I1133" s="2">
        <v>17800</v>
      </c>
      <c r="J1133" t="s">
        <v>255</v>
      </c>
      <c r="K1133" t="s">
        <v>258</v>
      </c>
      <c r="M1133" t="str">
        <f>_xlfn.XLOOKUP(E1133,tPacotes[ID_Pacote],tPacotes[Pacote])</f>
        <v>Cancún All Inclusive</v>
      </c>
      <c r="N1133" t="str">
        <f>_xlfn.XLOOKUP(E1133,tPacotes[ID_Pacote],tPacotes[Categoria])</f>
        <v>Praia</v>
      </c>
      <c r="O1133" t="str">
        <f>_xlfn.XLOOKUP(D1133,tClientes[ID_Cliente],tClientes[UF])</f>
        <v>SP</v>
      </c>
    </row>
    <row r="1134" spans="1:15" x14ac:dyDescent="0.3">
      <c r="A1134">
        <v>1133</v>
      </c>
      <c r="B1134" s="3">
        <v>46190</v>
      </c>
      <c r="C1134" s="3">
        <v>46209</v>
      </c>
      <c r="D1134">
        <v>80</v>
      </c>
      <c r="E1134">
        <v>3</v>
      </c>
      <c r="F1134">
        <v>1</v>
      </c>
      <c r="G1134" s="2">
        <v>2600</v>
      </c>
      <c r="H1134" s="4">
        <v>0.05</v>
      </c>
      <c r="I1134" s="2">
        <v>2470</v>
      </c>
      <c r="J1134" t="s">
        <v>255</v>
      </c>
      <c r="K1134" t="s">
        <v>254</v>
      </c>
      <c r="L1134">
        <v>3</v>
      </c>
      <c r="M1134" t="str">
        <f>_xlfn.XLOOKUP(E1134,tPacotes[ID_Pacote],tPacotes[Pacote])</f>
        <v>Serra Gaúcha</v>
      </c>
      <c r="N1134" t="str">
        <f>_xlfn.XLOOKUP(E1134,tPacotes[ID_Pacote],tPacotes[Categoria])</f>
        <v>Inverno</v>
      </c>
      <c r="O1134" t="str">
        <f>_xlfn.XLOOKUP(D1134,tClientes[ID_Cliente],tClientes[UF])</f>
        <v>SP</v>
      </c>
    </row>
    <row r="1135" spans="1:15" x14ac:dyDescent="0.3">
      <c r="A1135">
        <v>1134</v>
      </c>
      <c r="B1135" s="3">
        <v>46190</v>
      </c>
      <c r="C1135" s="3">
        <v>46225</v>
      </c>
      <c r="D1135">
        <v>196</v>
      </c>
      <c r="E1135">
        <v>12</v>
      </c>
      <c r="F1135">
        <v>1</v>
      </c>
      <c r="G1135" s="2">
        <v>12400</v>
      </c>
      <c r="H1135" s="4">
        <v>0</v>
      </c>
      <c r="I1135" s="2">
        <v>12400</v>
      </c>
      <c r="J1135" t="s">
        <v>257</v>
      </c>
      <c r="K1135" t="s">
        <v>254</v>
      </c>
      <c r="L1135">
        <v>4</v>
      </c>
      <c r="M1135" t="str">
        <f>_xlfn.XLOOKUP(E1135,tPacotes[ID_Pacote],tPacotes[Pacote])</f>
        <v>Lisboa e Porto</v>
      </c>
      <c r="N1135" t="str">
        <f>_xlfn.XLOOKUP(E1135,tPacotes[ID_Pacote],tPacotes[Categoria])</f>
        <v>Cultural</v>
      </c>
      <c r="O1135" t="str">
        <f>_xlfn.XLOOKUP(D1135,tClientes[ID_Cliente],tClientes[UF])</f>
        <v>DF</v>
      </c>
    </row>
    <row r="1136" spans="1:15" x14ac:dyDescent="0.3">
      <c r="A1136">
        <v>1135</v>
      </c>
      <c r="B1136" s="3">
        <v>46191</v>
      </c>
      <c r="C1136" s="3">
        <v>46197</v>
      </c>
      <c r="D1136">
        <v>18</v>
      </c>
      <c r="E1136">
        <v>2</v>
      </c>
      <c r="F1136">
        <v>2</v>
      </c>
      <c r="G1136" s="2">
        <v>3600</v>
      </c>
      <c r="H1136" s="4">
        <v>0</v>
      </c>
      <c r="I1136" s="2">
        <v>3600</v>
      </c>
      <c r="J1136" t="s">
        <v>255</v>
      </c>
      <c r="K1136" t="s">
        <v>258</v>
      </c>
      <c r="M1136" t="str">
        <f>_xlfn.XLOOKUP(E1136,tPacotes[ID_Pacote],tPacotes[Pacote])</f>
        <v>Rio Cidade Maravilhosa</v>
      </c>
      <c r="N1136" t="str">
        <f>_xlfn.XLOOKUP(E1136,tPacotes[ID_Pacote],tPacotes[Categoria])</f>
        <v>Cultural</v>
      </c>
      <c r="O1136" t="str">
        <f>_xlfn.XLOOKUP(D1136,tClientes[ID_Cliente],tClientes[UF])</f>
        <v>PR</v>
      </c>
    </row>
    <row r="1137" spans="1:15" x14ac:dyDescent="0.3">
      <c r="A1137">
        <v>1136</v>
      </c>
      <c r="B1137" s="3">
        <v>46191</v>
      </c>
      <c r="C1137" s="3">
        <v>46249</v>
      </c>
      <c r="D1137">
        <v>80</v>
      </c>
      <c r="E1137">
        <v>2</v>
      </c>
      <c r="F1137">
        <v>3</v>
      </c>
      <c r="G1137" s="2">
        <v>5400</v>
      </c>
      <c r="H1137" s="4">
        <v>0.05</v>
      </c>
      <c r="I1137" s="2">
        <v>5130</v>
      </c>
      <c r="J1137" t="s">
        <v>253</v>
      </c>
      <c r="K1137" t="s">
        <v>254</v>
      </c>
      <c r="L1137">
        <v>5</v>
      </c>
      <c r="M1137" t="str">
        <f>_xlfn.XLOOKUP(E1137,tPacotes[ID_Pacote],tPacotes[Pacote])</f>
        <v>Rio Cidade Maravilhosa</v>
      </c>
      <c r="N1137" t="str">
        <f>_xlfn.XLOOKUP(E1137,tPacotes[ID_Pacote],tPacotes[Categoria])</f>
        <v>Cultural</v>
      </c>
      <c r="O1137" t="str">
        <f>_xlfn.XLOOKUP(D1137,tClientes[ID_Cliente],tClientes[UF])</f>
        <v>SP</v>
      </c>
    </row>
    <row r="1138" spans="1:15" x14ac:dyDescent="0.3">
      <c r="A1138">
        <v>1137</v>
      </c>
      <c r="B1138" s="3">
        <v>46191</v>
      </c>
      <c r="C1138" s="3">
        <v>46295</v>
      </c>
      <c r="D1138">
        <v>74</v>
      </c>
      <c r="E1138">
        <v>5</v>
      </c>
      <c r="F1138">
        <v>1</v>
      </c>
      <c r="G1138" s="2">
        <v>3400</v>
      </c>
      <c r="H1138" s="4">
        <v>0</v>
      </c>
      <c r="I1138" s="2">
        <v>3400</v>
      </c>
      <c r="J1138" t="s">
        <v>253</v>
      </c>
      <c r="K1138" t="s">
        <v>254</v>
      </c>
      <c r="M1138" t="str">
        <f>_xlfn.XLOOKUP(E1138,tPacotes[ID_Pacote],tPacotes[Pacote])</f>
        <v>Bonito Aventura</v>
      </c>
      <c r="N1138" t="str">
        <f>_xlfn.XLOOKUP(E1138,tPacotes[ID_Pacote],tPacotes[Categoria])</f>
        <v>Aventura</v>
      </c>
      <c r="O1138" t="str">
        <f>_xlfn.XLOOKUP(D1138,tClientes[ID_Cliente],tClientes[UF])</f>
        <v>SP</v>
      </c>
    </row>
    <row r="1139" spans="1:15" x14ac:dyDescent="0.3">
      <c r="A1139">
        <v>1138</v>
      </c>
      <c r="B1139" s="3">
        <v>46191</v>
      </c>
      <c r="C1139" s="3">
        <v>46200</v>
      </c>
      <c r="D1139">
        <v>184</v>
      </c>
      <c r="E1139">
        <v>10</v>
      </c>
      <c r="F1139">
        <v>2</v>
      </c>
      <c r="G1139" s="2">
        <v>23000</v>
      </c>
      <c r="H1139" s="4">
        <v>0</v>
      </c>
      <c r="I1139" s="2">
        <v>23000</v>
      </c>
      <c r="J1139" t="s">
        <v>253</v>
      </c>
      <c r="K1139" t="s">
        <v>254</v>
      </c>
      <c r="L1139">
        <v>4</v>
      </c>
      <c r="M1139" t="str">
        <f>_xlfn.XLOOKUP(E1139,tPacotes[ID_Pacote],tPacotes[Pacote])</f>
        <v>Orlando Parques</v>
      </c>
      <c r="N1139" t="str">
        <f>_xlfn.XLOOKUP(E1139,tPacotes[ID_Pacote],tPacotes[Categoria])</f>
        <v>Parques</v>
      </c>
      <c r="O1139" t="str">
        <f>_xlfn.XLOOKUP(D1139,tClientes[ID_Cliente],tClientes[UF])</f>
        <v>SP</v>
      </c>
    </row>
    <row r="1140" spans="1:15" x14ac:dyDescent="0.3">
      <c r="A1140">
        <v>1139</v>
      </c>
      <c r="B1140" s="3">
        <v>46191</v>
      </c>
      <c r="C1140" s="3">
        <v>46210</v>
      </c>
      <c r="D1140">
        <v>16</v>
      </c>
      <c r="E1140">
        <v>13</v>
      </c>
      <c r="F1140">
        <v>3</v>
      </c>
      <c r="G1140" s="2">
        <v>21900</v>
      </c>
      <c r="H1140" s="4">
        <v>0</v>
      </c>
      <c r="I1140" s="2">
        <v>21900</v>
      </c>
      <c r="J1140" t="s">
        <v>255</v>
      </c>
      <c r="K1140" t="s">
        <v>254</v>
      </c>
      <c r="L1140">
        <v>4</v>
      </c>
      <c r="M1140" t="str">
        <f>_xlfn.XLOOKUP(E1140,tPacotes[ID_Pacote],tPacotes[Pacote])</f>
        <v>Machu Picchu</v>
      </c>
      <c r="N1140" t="str">
        <f>_xlfn.XLOOKUP(E1140,tPacotes[ID_Pacote],tPacotes[Categoria])</f>
        <v>Aventura</v>
      </c>
      <c r="O1140" t="str">
        <f>_xlfn.XLOOKUP(D1140,tClientes[ID_Cliente],tClientes[UF])</f>
        <v>DF</v>
      </c>
    </row>
    <row r="1141" spans="1:15" x14ac:dyDescent="0.3">
      <c r="A1141">
        <v>1140</v>
      </c>
      <c r="B1141" s="3">
        <v>46191</v>
      </c>
      <c r="C1141" s="3">
        <v>46238</v>
      </c>
      <c r="D1141">
        <v>171</v>
      </c>
      <c r="E1141">
        <v>2</v>
      </c>
      <c r="F1141">
        <v>1</v>
      </c>
      <c r="G1141" s="2">
        <v>1800</v>
      </c>
      <c r="H1141" s="4">
        <v>0.1</v>
      </c>
      <c r="I1141" s="2">
        <v>1620</v>
      </c>
      <c r="J1141" t="s">
        <v>255</v>
      </c>
      <c r="K1141" t="s">
        <v>254</v>
      </c>
      <c r="L1141">
        <v>5</v>
      </c>
      <c r="M1141" t="str">
        <f>_xlfn.XLOOKUP(E1141,tPacotes[ID_Pacote],tPacotes[Pacote])</f>
        <v>Rio Cidade Maravilhosa</v>
      </c>
      <c r="N1141" t="str">
        <f>_xlfn.XLOOKUP(E1141,tPacotes[ID_Pacote],tPacotes[Categoria])</f>
        <v>Cultural</v>
      </c>
      <c r="O1141" t="str">
        <f>_xlfn.XLOOKUP(D1141,tClientes[ID_Cliente],tClientes[UF])</f>
        <v>SP</v>
      </c>
    </row>
    <row r="1142" spans="1:15" x14ac:dyDescent="0.3">
      <c r="A1142">
        <v>1141</v>
      </c>
      <c r="B1142" s="3">
        <v>46192</v>
      </c>
      <c r="C1142" s="3">
        <v>46201</v>
      </c>
      <c r="D1142">
        <v>130</v>
      </c>
      <c r="E1142">
        <v>3</v>
      </c>
      <c r="F1142">
        <v>1</v>
      </c>
      <c r="G1142" s="2">
        <v>2600</v>
      </c>
      <c r="H1142" s="4">
        <v>0</v>
      </c>
      <c r="I1142" s="2">
        <v>2600</v>
      </c>
      <c r="J1142" t="s">
        <v>255</v>
      </c>
      <c r="K1142" t="s">
        <v>254</v>
      </c>
      <c r="L1142">
        <v>4</v>
      </c>
      <c r="M1142" t="str">
        <f>_xlfn.XLOOKUP(E1142,tPacotes[ID_Pacote],tPacotes[Pacote])</f>
        <v>Serra Gaúcha</v>
      </c>
      <c r="N1142" t="str">
        <f>_xlfn.XLOOKUP(E1142,tPacotes[ID_Pacote],tPacotes[Categoria])</f>
        <v>Inverno</v>
      </c>
      <c r="O1142" t="str">
        <f>_xlfn.XLOOKUP(D1142,tClientes[ID_Cliente],tClientes[UF])</f>
        <v>SP</v>
      </c>
    </row>
    <row r="1143" spans="1:15" x14ac:dyDescent="0.3">
      <c r="A1143">
        <v>1142</v>
      </c>
      <c r="B1143" s="3">
        <v>46192</v>
      </c>
      <c r="C1143" s="3">
        <v>46221</v>
      </c>
      <c r="D1143">
        <v>19</v>
      </c>
      <c r="E1143">
        <v>7</v>
      </c>
      <c r="F1143">
        <v>2</v>
      </c>
      <c r="G1143" s="2">
        <v>8400</v>
      </c>
      <c r="H1143" s="4">
        <v>0.1</v>
      </c>
      <c r="I1143" s="2">
        <v>7560</v>
      </c>
      <c r="J1143" t="s">
        <v>253</v>
      </c>
      <c r="K1143" t="s">
        <v>254</v>
      </c>
      <c r="L1143">
        <v>4</v>
      </c>
      <c r="M1143" t="str">
        <f>_xlfn.XLOOKUP(E1143,tPacotes[ID_Pacote],tPacotes[Pacote])</f>
        <v>Buenos Aires Clássica</v>
      </c>
      <c r="N1143" t="str">
        <f>_xlfn.XLOOKUP(E1143,tPacotes[ID_Pacote],tPacotes[Categoria])</f>
        <v>Cultural</v>
      </c>
      <c r="O1143" t="str">
        <f>_xlfn.XLOOKUP(D1143,tClientes[ID_Cliente],tClientes[UF])</f>
        <v>SP</v>
      </c>
    </row>
    <row r="1144" spans="1:15" x14ac:dyDescent="0.3">
      <c r="A1144">
        <v>1143</v>
      </c>
      <c r="B1144" s="3">
        <v>46192</v>
      </c>
      <c r="C1144" s="3">
        <v>46356</v>
      </c>
      <c r="D1144">
        <v>82</v>
      </c>
      <c r="E1144">
        <v>14</v>
      </c>
      <c r="F1144">
        <v>2</v>
      </c>
      <c r="G1144" s="2">
        <v>5800</v>
      </c>
      <c r="H1144" s="4">
        <v>0</v>
      </c>
      <c r="I1144" s="2">
        <v>5800</v>
      </c>
      <c r="J1144" t="s">
        <v>253</v>
      </c>
      <c r="K1144" t="s">
        <v>254</v>
      </c>
      <c r="M1144" t="str">
        <f>_xlfn.XLOOKUP(E1144,tPacotes[ID_Pacote],tPacotes[Pacote])</f>
        <v>Lençóis Maranhenses</v>
      </c>
      <c r="N1144" t="str">
        <f>_xlfn.XLOOKUP(E1144,tPacotes[ID_Pacote],tPacotes[Categoria])</f>
        <v>Natureza</v>
      </c>
      <c r="O1144" t="str">
        <f>_xlfn.XLOOKUP(D1144,tClientes[ID_Cliente],tClientes[UF])</f>
        <v>SP</v>
      </c>
    </row>
    <row r="1145" spans="1:15" x14ac:dyDescent="0.3">
      <c r="A1145">
        <v>1144</v>
      </c>
      <c r="B1145" s="3">
        <v>46192</v>
      </c>
      <c r="C1145" s="3">
        <v>46231</v>
      </c>
      <c r="D1145">
        <v>37</v>
      </c>
      <c r="E1145">
        <v>2</v>
      </c>
      <c r="F1145">
        <v>4</v>
      </c>
      <c r="G1145" s="2">
        <v>7200</v>
      </c>
      <c r="H1145" s="4">
        <v>0</v>
      </c>
      <c r="I1145" s="2">
        <v>7200</v>
      </c>
      <c r="J1145" t="s">
        <v>253</v>
      </c>
      <c r="K1145" t="s">
        <v>254</v>
      </c>
      <c r="L1145">
        <v>5</v>
      </c>
      <c r="M1145" t="str">
        <f>_xlfn.XLOOKUP(E1145,tPacotes[ID_Pacote],tPacotes[Pacote])</f>
        <v>Rio Cidade Maravilhosa</v>
      </c>
      <c r="N1145" t="str">
        <f>_xlfn.XLOOKUP(E1145,tPacotes[ID_Pacote],tPacotes[Categoria])</f>
        <v>Cultural</v>
      </c>
      <c r="O1145" t="str">
        <f>_xlfn.XLOOKUP(D1145,tClientes[ID_Cliente],tClientes[UF])</f>
        <v>DF</v>
      </c>
    </row>
    <row r="1146" spans="1:15" x14ac:dyDescent="0.3">
      <c r="A1146">
        <v>1145</v>
      </c>
      <c r="B1146" s="3">
        <v>46192</v>
      </c>
      <c r="C1146" s="3">
        <v>46263</v>
      </c>
      <c r="D1146">
        <v>20</v>
      </c>
      <c r="E1146">
        <v>15</v>
      </c>
      <c r="F1146">
        <v>2</v>
      </c>
      <c r="G1146" s="2">
        <v>6200</v>
      </c>
      <c r="H1146" s="4">
        <v>0</v>
      </c>
      <c r="I1146" s="2">
        <v>6200</v>
      </c>
      <c r="J1146" t="s">
        <v>253</v>
      </c>
      <c r="K1146" t="s">
        <v>258</v>
      </c>
      <c r="M1146" t="str">
        <f>_xlfn.XLOOKUP(E1146,tPacotes[ID_Pacote],tPacotes[Pacote])</f>
        <v>Jericoacoara</v>
      </c>
      <c r="N1146" t="str">
        <f>_xlfn.XLOOKUP(E1146,tPacotes[ID_Pacote],tPacotes[Categoria])</f>
        <v>Praia</v>
      </c>
      <c r="O1146" t="str">
        <f>_xlfn.XLOOKUP(D1146,tClientes[ID_Cliente],tClientes[UF])</f>
        <v>PR</v>
      </c>
    </row>
    <row r="1147" spans="1:15" x14ac:dyDescent="0.3">
      <c r="A1147">
        <v>1146</v>
      </c>
      <c r="B1147" s="3">
        <v>46193</v>
      </c>
      <c r="C1147" s="3">
        <v>46209</v>
      </c>
      <c r="D1147">
        <v>120</v>
      </c>
      <c r="E1147">
        <v>6</v>
      </c>
      <c r="F1147">
        <v>3</v>
      </c>
      <c r="G1147" s="2">
        <v>6300</v>
      </c>
      <c r="H1147" s="4">
        <v>0</v>
      </c>
      <c r="I1147" s="2">
        <v>6300</v>
      </c>
      <c r="J1147" t="s">
        <v>257</v>
      </c>
      <c r="K1147" t="s">
        <v>254</v>
      </c>
      <c r="L1147">
        <v>4</v>
      </c>
      <c r="M1147" t="str">
        <f>_xlfn.XLOOKUP(E1147,tPacotes[ID_Pacote],tPacotes[Pacote])</f>
        <v>Foz do Iguaçu</v>
      </c>
      <c r="N1147" t="str">
        <f>_xlfn.XLOOKUP(E1147,tPacotes[ID_Pacote],tPacotes[Categoria])</f>
        <v>Natureza</v>
      </c>
      <c r="O1147" t="str">
        <f>_xlfn.XLOOKUP(D1147,tClientes[ID_Cliente],tClientes[UF])</f>
        <v>PR</v>
      </c>
    </row>
    <row r="1148" spans="1:15" x14ac:dyDescent="0.3">
      <c r="A1148">
        <v>1147</v>
      </c>
      <c r="B1148" s="3">
        <v>46193</v>
      </c>
      <c r="C1148" s="3">
        <v>46216</v>
      </c>
      <c r="D1148">
        <v>103</v>
      </c>
      <c r="E1148">
        <v>1</v>
      </c>
      <c r="F1148">
        <v>2</v>
      </c>
      <c r="G1148" s="2">
        <v>6400</v>
      </c>
      <c r="H1148" s="4">
        <v>0.15</v>
      </c>
      <c r="I1148" s="2">
        <v>5440</v>
      </c>
      <c r="J1148" t="s">
        <v>253</v>
      </c>
      <c r="K1148" t="s">
        <v>254</v>
      </c>
      <c r="L1148">
        <v>4</v>
      </c>
      <c r="M1148" t="str">
        <f>_xlfn.XLOOKUP(E1148,tPacotes[ID_Pacote],tPacotes[Pacote])</f>
        <v>Nordeste Encantado</v>
      </c>
      <c r="N1148" t="str">
        <f>_xlfn.XLOOKUP(E1148,tPacotes[ID_Pacote],tPacotes[Categoria])</f>
        <v>Praia</v>
      </c>
      <c r="O1148" t="str">
        <f>_xlfn.XLOOKUP(D1148,tClientes[ID_Cliente],tClientes[UF])</f>
        <v>SP</v>
      </c>
    </row>
    <row r="1149" spans="1:15" x14ac:dyDescent="0.3">
      <c r="A1149">
        <v>1148</v>
      </c>
      <c r="B1149" s="3">
        <v>46193</v>
      </c>
      <c r="C1149" s="3">
        <v>46238</v>
      </c>
      <c r="D1149">
        <v>39</v>
      </c>
      <c r="E1149">
        <v>6</v>
      </c>
      <c r="F1149">
        <v>2</v>
      </c>
      <c r="G1149" s="2">
        <v>4200</v>
      </c>
      <c r="H1149" s="4">
        <v>0</v>
      </c>
      <c r="I1149" s="2">
        <v>4200</v>
      </c>
      <c r="J1149" t="s">
        <v>253</v>
      </c>
      <c r="K1149" t="s">
        <v>258</v>
      </c>
      <c r="M1149" t="str">
        <f>_xlfn.XLOOKUP(E1149,tPacotes[ID_Pacote],tPacotes[Pacote])</f>
        <v>Foz do Iguaçu</v>
      </c>
      <c r="N1149" t="str">
        <f>_xlfn.XLOOKUP(E1149,tPacotes[ID_Pacote],tPacotes[Categoria])</f>
        <v>Natureza</v>
      </c>
      <c r="O1149" t="str">
        <f>_xlfn.XLOOKUP(D1149,tClientes[ID_Cliente],tClientes[UF])</f>
        <v>RJ</v>
      </c>
    </row>
    <row r="1150" spans="1:15" x14ac:dyDescent="0.3">
      <c r="A1150">
        <v>1149</v>
      </c>
      <c r="B1150" s="3">
        <v>46193</v>
      </c>
      <c r="C1150" s="3">
        <v>46252</v>
      </c>
      <c r="D1150">
        <v>128</v>
      </c>
      <c r="E1150">
        <v>6</v>
      </c>
      <c r="F1150">
        <v>4</v>
      </c>
      <c r="G1150" s="2">
        <v>8400</v>
      </c>
      <c r="H1150" s="4">
        <v>0.1</v>
      </c>
      <c r="I1150" s="2">
        <v>7560</v>
      </c>
      <c r="J1150" t="s">
        <v>257</v>
      </c>
      <c r="K1150" t="s">
        <v>254</v>
      </c>
      <c r="L1150">
        <v>4</v>
      </c>
      <c r="M1150" t="str">
        <f>_xlfn.XLOOKUP(E1150,tPacotes[ID_Pacote],tPacotes[Pacote])</f>
        <v>Foz do Iguaçu</v>
      </c>
      <c r="N1150" t="str">
        <f>_xlfn.XLOOKUP(E1150,tPacotes[ID_Pacote],tPacotes[Categoria])</f>
        <v>Natureza</v>
      </c>
      <c r="O1150" t="str">
        <f>_xlfn.XLOOKUP(D1150,tClientes[ID_Cliente],tClientes[UF])</f>
        <v>DF</v>
      </c>
    </row>
    <row r="1151" spans="1:15" x14ac:dyDescent="0.3">
      <c r="A1151">
        <v>1150</v>
      </c>
      <c r="B1151" s="3">
        <v>46193</v>
      </c>
      <c r="C1151" s="3">
        <v>46221</v>
      </c>
      <c r="D1151">
        <v>195</v>
      </c>
      <c r="E1151">
        <v>13</v>
      </c>
      <c r="F1151">
        <v>2</v>
      </c>
      <c r="G1151" s="2">
        <v>14600</v>
      </c>
      <c r="H1151" s="4">
        <v>0.05</v>
      </c>
      <c r="I1151" s="2">
        <v>13870</v>
      </c>
      <c r="J1151" t="s">
        <v>255</v>
      </c>
      <c r="K1151" t="s">
        <v>254</v>
      </c>
      <c r="L1151">
        <v>1</v>
      </c>
      <c r="M1151" t="str">
        <f>_xlfn.XLOOKUP(E1151,tPacotes[ID_Pacote],tPacotes[Pacote])</f>
        <v>Machu Picchu</v>
      </c>
      <c r="N1151" t="str">
        <f>_xlfn.XLOOKUP(E1151,tPacotes[ID_Pacote],tPacotes[Categoria])</f>
        <v>Aventura</v>
      </c>
      <c r="O1151" t="str">
        <f>_xlfn.XLOOKUP(D1151,tClientes[ID_Cliente],tClientes[UF])</f>
        <v>RJ</v>
      </c>
    </row>
    <row r="1152" spans="1:15" x14ac:dyDescent="0.3">
      <c r="A1152">
        <v>1151</v>
      </c>
      <c r="B1152" s="3">
        <v>46194</v>
      </c>
      <c r="C1152" s="3">
        <v>46272</v>
      </c>
      <c r="D1152">
        <v>83</v>
      </c>
      <c r="E1152">
        <v>6</v>
      </c>
      <c r="F1152">
        <v>3</v>
      </c>
      <c r="G1152" s="2">
        <v>6300</v>
      </c>
      <c r="H1152" s="4">
        <v>0.1</v>
      </c>
      <c r="I1152" s="2">
        <v>5670</v>
      </c>
      <c r="J1152" t="s">
        <v>253</v>
      </c>
      <c r="K1152" t="s">
        <v>254</v>
      </c>
      <c r="L1152">
        <v>2</v>
      </c>
      <c r="M1152" t="str">
        <f>_xlfn.XLOOKUP(E1152,tPacotes[ID_Pacote],tPacotes[Pacote])</f>
        <v>Foz do Iguaçu</v>
      </c>
      <c r="N1152" t="str">
        <f>_xlfn.XLOOKUP(E1152,tPacotes[ID_Pacote],tPacotes[Categoria])</f>
        <v>Natureza</v>
      </c>
      <c r="O1152" t="str">
        <f>_xlfn.XLOOKUP(D1152,tClientes[ID_Cliente],tClientes[UF])</f>
        <v>SP</v>
      </c>
    </row>
    <row r="1153" spans="1:15" x14ac:dyDescent="0.3">
      <c r="A1153">
        <v>1152</v>
      </c>
      <c r="B1153" s="3">
        <v>46194</v>
      </c>
      <c r="C1153" s="3">
        <v>46262</v>
      </c>
      <c r="D1153">
        <v>17</v>
      </c>
      <c r="E1153">
        <v>9</v>
      </c>
      <c r="F1153">
        <v>2</v>
      </c>
      <c r="G1153" s="2">
        <v>17800</v>
      </c>
      <c r="H1153" s="4">
        <v>0</v>
      </c>
      <c r="I1153" s="2">
        <v>17800</v>
      </c>
      <c r="J1153" t="s">
        <v>253</v>
      </c>
      <c r="K1153" t="s">
        <v>254</v>
      </c>
      <c r="L1153">
        <v>5</v>
      </c>
      <c r="M1153" t="str">
        <f>_xlfn.XLOOKUP(E1153,tPacotes[ID_Pacote],tPacotes[Pacote])</f>
        <v>Cancún All Inclusive</v>
      </c>
      <c r="N1153" t="str">
        <f>_xlfn.XLOOKUP(E1153,tPacotes[ID_Pacote],tPacotes[Categoria])</f>
        <v>Praia</v>
      </c>
      <c r="O1153" t="str">
        <f>_xlfn.XLOOKUP(D1153,tClientes[ID_Cliente],tClientes[UF])</f>
        <v>RJ</v>
      </c>
    </row>
    <row r="1154" spans="1:15" x14ac:dyDescent="0.3">
      <c r="A1154">
        <v>1153</v>
      </c>
      <c r="B1154" s="3">
        <v>46195</v>
      </c>
      <c r="C1154" s="3">
        <v>46317</v>
      </c>
      <c r="D1154">
        <v>132</v>
      </c>
      <c r="E1154">
        <v>9</v>
      </c>
      <c r="F1154">
        <v>2</v>
      </c>
      <c r="G1154" s="2">
        <v>17800</v>
      </c>
      <c r="H1154" s="4">
        <v>0.15</v>
      </c>
      <c r="I1154" s="2">
        <v>15130</v>
      </c>
      <c r="J1154" t="s">
        <v>255</v>
      </c>
      <c r="K1154" t="s">
        <v>254</v>
      </c>
      <c r="M1154" t="str">
        <f>_xlfn.XLOOKUP(E1154,tPacotes[ID_Pacote],tPacotes[Pacote])</f>
        <v>Cancún All Inclusive</v>
      </c>
      <c r="N1154" t="str">
        <f>_xlfn.XLOOKUP(E1154,tPacotes[ID_Pacote],tPacotes[Categoria])</f>
        <v>Praia</v>
      </c>
      <c r="O1154" t="str">
        <f>_xlfn.XLOOKUP(D1154,tClientes[ID_Cliente],tClientes[UF])</f>
        <v>RS</v>
      </c>
    </row>
    <row r="1155" spans="1:15" x14ac:dyDescent="0.3">
      <c r="A1155">
        <v>1154</v>
      </c>
      <c r="B1155" s="3">
        <v>46195</v>
      </c>
      <c r="C1155" s="3">
        <v>46285</v>
      </c>
      <c r="D1155">
        <v>82</v>
      </c>
      <c r="E1155">
        <v>3</v>
      </c>
      <c r="F1155">
        <v>2</v>
      </c>
      <c r="G1155" s="2">
        <v>5200</v>
      </c>
      <c r="H1155" s="4">
        <v>0</v>
      </c>
      <c r="I1155" s="2">
        <v>5200</v>
      </c>
      <c r="J1155" t="s">
        <v>255</v>
      </c>
      <c r="K1155" t="s">
        <v>254</v>
      </c>
      <c r="L1155">
        <v>4</v>
      </c>
      <c r="M1155" t="str">
        <f>_xlfn.XLOOKUP(E1155,tPacotes[ID_Pacote],tPacotes[Pacote])</f>
        <v>Serra Gaúcha</v>
      </c>
      <c r="N1155" t="str">
        <f>_xlfn.XLOOKUP(E1155,tPacotes[ID_Pacote],tPacotes[Categoria])</f>
        <v>Inverno</v>
      </c>
      <c r="O1155" t="str">
        <f>_xlfn.XLOOKUP(D1155,tClientes[ID_Cliente],tClientes[UF])</f>
        <v>SP</v>
      </c>
    </row>
    <row r="1156" spans="1:15" x14ac:dyDescent="0.3">
      <c r="A1156">
        <v>1155</v>
      </c>
      <c r="B1156" s="3">
        <v>46195</v>
      </c>
      <c r="C1156" s="3">
        <v>46210</v>
      </c>
      <c r="D1156">
        <v>12</v>
      </c>
      <c r="E1156">
        <v>3</v>
      </c>
      <c r="F1156">
        <v>1</v>
      </c>
      <c r="G1156" s="2">
        <v>2600</v>
      </c>
      <c r="H1156" s="4">
        <v>0</v>
      </c>
      <c r="I1156" s="2">
        <v>2600</v>
      </c>
      <c r="J1156" t="s">
        <v>253</v>
      </c>
      <c r="K1156" t="s">
        <v>254</v>
      </c>
      <c r="L1156">
        <v>5</v>
      </c>
      <c r="M1156" t="str">
        <f>_xlfn.XLOOKUP(E1156,tPacotes[ID_Pacote],tPacotes[Pacote])</f>
        <v>Serra Gaúcha</v>
      </c>
      <c r="N1156" t="str">
        <f>_xlfn.XLOOKUP(E1156,tPacotes[ID_Pacote],tPacotes[Categoria])</f>
        <v>Inverno</v>
      </c>
      <c r="O1156" t="str">
        <f>_xlfn.XLOOKUP(D1156,tClientes[ID_Cliente],tClientes[UF])</f>
        <v>RJ</v>
      </c>
    </row>
    <row r="1157" spans="1:15" x14ac:dyDescent="0.3">
      <c r="A1157">
        <v>1156</v>
      </c>
      <c r="B1157" s="3">
        <v>46195</v>
      </c>
      <c r="C1157" s="3">
        <v>46264</v>
      </c>
      <c r="D1157">
        <v>71</v>
      </c>
      <c r="E1157">
        <v>13</v>
      </c>
      <c r="F1157">
        <v>4</v>
      </c>
      <c r="G1157" s="2">
        <v>29200</v>
      </c>
      <c r="H1157" s="4">
        <v>0.1</v>
      </c>
      <c r="I1157" s="2">
        <v>26280</v>
      </c>
      <c r="J1157" t="s">
        <v>253</v>
      </c>
      <c r="K1157" t="s">
        <v>258</v>
      </c>
      <c r="M1157" t="str">
        <f>_xlfn.XLOOKUP(E1157,tPacotes[ID_Pacote],tPacotes[Pacote])</f>
        <v>Machu Picchu</v>
      </c>
      <c r="N1157" t="str">
        <f>_xlfn.XLOOKUP(E1157,tPacotes[ID_Pacote],tPacotes[Categoria])</f>
        <v>Aventura</v>
      </c>
      <c r="O1157" t="str">
        <f>_xlfn.XLOOKUP(D1157,tClientes[ID_Cliente],tClientes[UF])</f>
        <v>RJ</v>
      </c>
    </row>
    <row r="1158" spans="1:15" x14ac:dyDescent="0.3">
      <c r="A1158">
        <v>1157</v>
      </c>
      <c r="B1158" s="3">
        <v>46195</v>
      </c>
      <c r="C1158" s="3">
        <v>46254</v>
      </c>
      <c r="D1158">
        <v>57</v>
      </c>
      <c r="E1158">
        <v>1</v>
      </c>
      <c r="F1158">
        <v>2</v>
      </c>
      <c r="G1158" s="2">
        <v>6400</v>
      </c>
      <c r="H1158" s="4">
        <v>0</v>
      </c>
      <c r="I1158" s="2">
        <v>6400</v>
      </c>
      <c r="J1158" t="s">
        <v>253</v>
      </c>
      <c r="K1158" t="s">
        <v>254</v>
      </c>
      <c r="L1158">
        <v>3</v>
      </c>
      <c r="M1158" t="str">
        <f>_xlfn.XLOOKUP(E1158,tPacotes[ID_Pacote],tPacotes[Pacote])</f>
        <v>Nordeste Encantado</v>
      </c>
      <c r="N1158" t="str">
        <f>_xlfn.XLOOKUP(E1158,tPacotes[ID_Pacote],tPacotes[Categoria])</f>
        <v>Praia</v>
      </c>
      <c r="O1158" t="str">
        <f>_xlfn.XLOOKUP(D1158,tClientes[ID_Cliente],tClientes[UF])</f>
        <v>MG</v>
      </c>
    </row>
    <row r="1159" spans="1:15" x14ac:dyDescent="0.3">
      <c r="A1159">
        <v>1158</v>
      </c>
      <c r="B1159" s="3">
        <v>46196</v>
      </c>
      <c r="C1159" s="3">
        <v>46275</v>
      </c>
      <c r="D1159">
        <v>46</v>
      </c>
      <c r="E1159">
        <v>5</v>
      </c>
      <c r="F1159">
        <v>3</v>
      </c>
      <c r="G1159" s="2">
        <v>10200</v>
      </c>
      <c r="H1159" s="4">
        <v>0</v>
      </c>
      <c r="I1159" s="2">
        <v>10200</v>
      </c>
      <c r="J1159" t="s">
        <v>257</v>
      </c>
      <c r="K1159" t="s">
        <v>254</v>
      </c>
      <c r="L1159">
        <v>4</v>
      </c>
      <c r="M1159" t="str">
        <f>_xlfn.XLOOKUP(E1159,tPacotes[ID_Pacote],tPacotes[Pacote])</f>
        <v>Bonito Aventura</v>
      </c>
      <c r="N1159" t="str">
        <f>_xlfn.XLOOKUP(E1159,tPacotes[ID_Pacote],tPacotes[Categoria])</f>
        <v>Aventura</v>
      </c>
      <c r="O1159" t="str">
        <f>_xlfn.XLOOKUP(D1159,tClientes[ID_Cliente],tClientes[UF])</f>
        <v>RJ</v>
      </c>
    </row>
    <row r="1160" spans="1:15" x14ac:dyDescent="0.3">
      <c r="A1160">
        <v>1159</v>
      </c>
      <c r="B1160" s="3">
        <v>46196</v>
      </c>
      <c r="C1160" s="3">
        <v>46332</v>
      </c>
      <c r="D1160">
        <v>165</v>
      </c>
      <c r="E1160">
        <v>5</v>
      </c>
      <c r="F1160">
        <v>2</v>
      </c>
      <c r="G1160" s="2">
        <v>6800</v>
      </c>
      <c r="H1160" s="4">
        <v>0.1</v>
      </c>
      <c r="I1160" s="2">
        <v>6120</v>
      </c>
      <c r="J1160" t="s">
        <v>257</v>
      </c>
      <c r="K1160" t="s">
        <v>254</v>
      </c>
      <c r="M1160" t="str">
        <f>_xlfn.XLOOKUP(E1160,tPacotes[ID_Pacote],tPacotes[Pacote])</f>
        <v>Bonito Aventura</v>
      </c>
      <c r="N1160" t="str">
        <f>_xlfn.XLOOKUP(E1160,tPacotes[ID_Pacote],tPacotes[Categoria])</f>
        <v>Aventura</v>
      </c>
      <c r="O1160" t="str">
        <f>_xlfn.XLOOKUP(D1160,tClientes[ID_Cliente],tClientes[UF])</f>
        <v>SP</v>
      </c>
    </row>
    <row r="1161" spans="1:15" x14ac:dyDescent="0.3">
      <c r="A1161">
        <v>1160</v>
      </c>
      <c r="B1161" s="3">
        <v>46196</v>
      </c>
      <c r="C1161" s="3">
        <v>46217</v>
      </c>
      <c r="D1161">
        <v>145</v>
      </c>
      <c r="E1161">
        <v>15</v>
      </c>
      <c r="F1161">
        <v>4</v>
      </c>
      <c r="G1161" s="2">
        <v>12400</v>
      </c>
      <c r="H1161" s="4">
        <v>0</v>
      </c>
      <c r="I1161" s="2">
        <v>12400</v>
      </c>
      <c r="J1161" t="s">
        <v>257</v>
      </c>
      <c r="K1161" t="s">
        <v>254</v>
      </c>
      <c r="L1161">
        <v>3</v>
      </c>
      <c r="M1161" t="str">
        <f>_xlfn.XLOOKUP(E1161,tPacotes[ID_Pacote],tPacotes[Pacote])</f>
        <v>Jericoacoara</v>
      </c>
      <c r="N1161" t="str">
        <f>_xlfn.XLOOKUP(E1161,tPacotes[ID_Pacote],tPacotes[Categoria])</f>
        <v>Praia</v>
      </c>
      <c r="O1161" t="str">
        <f>_xlfn.XLOOKUP(D1161,tClientes[ID_Cliente],tClientes[UF])</f>
        <v>SP</v>
      </c>
    </row>
    <row r="1162" spans="1:15" x14ac:dyDescent="0.3">
      <c r="A1162">
        <v>1161</v>
      </c>
      <c r="B1162" s="3">
        <v>46196</v>
      </c>
      <c r="C1162" s="3">
        <v>46239</v>
      </c>
      <c r="D1162">
        <v>154</v>
      </c>
      <c r="E1162">
        <v>15</v>
      </c>
      <c r="F1162">
        <v>1</v>
      </c>
      <c r="G1162" s="2">
        <v>3100</v>
      </c>
      <c r="H1162" s="4">
        <v>0</v>
      </c>
      <c r="I1162" s="2">
        <v>3100</v>
      </c>
      <c r="J1162" t="s">
        <v>255</v>
      </c>
      <c r="K1162" t="s">
        <v>254</v>
      </c>
      <c r="L1162">
        <v>4</v>
      </c>
      <c r="M1162" t="str">
        <f>_xlfn.XLOOKUP(E1162,tPacotes[ID_Pacote],tPacotes[Pacote])</f>
        <v>Jericoacoara</v>
      </c>
      <c r="N1162" t="str">
        <f>_xlfn.XLOOKUP(E1162,tPacotes[ID_Pacote],tPacotes[Categoria])</f>
        <v>Praia</v>
      </c>
      <c r="O1162" t="str">
        <f>_xlfn.XLOOKUP(D1162,tClientes[ID_Cliente],tClientes[UF])</f>
        <v>DF</v>
      </c>
    </row>
    <row r="1163" spans="1:15" x14ac:dyDescent="0.3">
      <c r="A1163">
        <v>1162</v>
      </c>
      <c r="B1163" s="3">
        <v>46196</v>
      </c>
      <c r="C1163" s="3">
        <v>46216</v>
      </c>
      <c r="D1163">
        <v>146</v>
      </c>
      <c r="E1163">
        <v>8</v>
      </c>
      <c r="F1163">
        <v>3</v>
      </c>
      <c r="G1163" s="2">
        <v>17700</v>
      </c>
      <c r="H1163" s="4">
        <v>0.1</v>
      </c>
      <c r="I1163" s="2">
        <v>15930</v>
      </c>
      <c r="J1163" t="s">
        <v>255</v>
      </c>
      <c r="K1163" t="s">
        <v>254</v>
      </c>
      <c r="L1163">
        <v>5</v>
      </c>
      <c r="M1163" t="str">
        <f>_xlfn.XLOOKUP(E1163,tPacotes[ID_Pacote],tPacotes[Pacote])</f>
        <v>Santiago e Neve</v>
      </c>
      <c r="N1163" t="str">
        <f>_xlfn.XLOOKUP(E1163,tPacotes[ID_Pacote],tPacotes[Categoria])</f>
        <v>Inverno</v>
      </c>
      <c r="O1163" t="str">
        <f>_xlfn.XLOOKUP(D1163,tClientes[ID_Cliente],tClientes[UF])</f>
        <v>BA</v>
      </c>
    </row>
    <row r="1164" spans="1:15" x14ac:dyDescent="0.3">
      <c r="A1164">
        <v>1163</v>
      </c>
      <c r="B1164" s="3">
        <v>46197</v>
      </c>
      <c r="C1164" s="3">
        <v>46232</v>
      </c>
      <c r="D1164">
        <v>38</v>
      </c>
      <c r="E1164">
        <v>2</v>
      </c>
      <c r="F1164">
        <v>1</v>
      </c>
      <c r="G1164" s="2">
        <v>1800</v>
      </c>
      <c r="H1164" s="4">
        <v>0.15</v>
      </c>
      <c r="I1164" s="2">
        <v>1530</v>
      </c>
      <c r="J1164" t="s">
        <v>253</v>
      </c>
      <c r="K1164" t="s">
        <v>254</v>
      </c>
      <c r="L1164">
        <v>4</v>
      </c>
      <c r="M1164" t="str">
        <f>_xlfn.XLOOKUP(E1164,tPacotes[ID_Pacote],tPacotes[Pacote])</f>
        <v>Rio Cidade Maravilhosa</v>
      </c>
      <c r="N1164" t="str">
        <f>_xlfn.XLOOKUP(E1164,tPacotes[ID_Pacote],tPacotes[Categoria])</f>
        <v>Cultural</v>
      </c>
      <c r="O1164" t="str">
        <f>_xlfn.XLOOKUP(D1164,tClientes[ID_Cliente],tClientes[UF])</f>
        <v>SP</v>
      </c>
    </row>
    <row r="1165" spans="1:15" x14ac:dyDescent="0.3">
      <c r="A1165">
        <v>1164</v>
      </c>
      <c r="B1165" s="3">
        <v>46197</v>
      </c>
      <c r="C1165" s="3">
        <v>46218</v>
      </c>
      <c r="D1165">
        <v>135</v>
      </c>
      <c r="E1165">
        <v>15</v>
      </c>
      <c r="F1165">
        <v>3</v>
      </c>
      <c r="G1165" s="2">
        <v>9300</v>
      </c>
      <c r="H1165" s="4">
        <v>0</v>
      </c>
      <c r="I1165" s="2">
        <v>9300</v>
      </c>
      <c r="J1165" t="s">
        <v>253</v>
      </c>
      <c r="K1165" t="s">
        <v>254</v>
      </c>
      <c r="L1165">
        <v>4</v>
      </c>
      <c r="M1165" t="str">
        <f>_xlfn.XLOOKUP(E1165,tPacotes[ID_Pacote],tPacotes[Pacote])</f>
        <v>Jericoacoara</v>
      </c>
      <c r="N1165" t="str">
        <f>_xlfn.XLOOKUP(E1165,tPacotes[ID_Pacote],tPacotes[Categoria])</f>
        <v>Praia</v>
      </c>
      <c r="O1165" t="str">
        <f>_xlfn.XLOOKUP(D1165,tClientes[ID_Cliente],tClientes[UF])</f>
        <v>RJ</v>
      </c>
    </row>
    <row r="1166" spans="1:15" x14ac:dyDescent="0.3">
      <c r="A1166">
        <v>1165</v>
      </c>
      <c r="B1166" s="3">
        <v>46197</v>
      </c>
      <c r="C1166" s="3">
        <v>46272</v>
      </c>
      <c r="D1166">
        <v>184</v>
      </c>
      <c r="E1166">
        <v>7</v>
      </c>
      <c r="F1166">
        <v>2</v>
      </c>
      <c r="G1166" s="2">
        <v>8400</v>
      </c>
      <c r="H1166" s="4">
        <v>0.05</v>
      </c>
      <c r="I1166" s="2">
        <v>7980</v>
      </c>
      <c r="J1166" t="s">
        <v>253</v>
      </c>
      <c r="K1166" t="s">
        <v>254</v>
      </c>
      <c r="L1166">
        <v>3</v>
      </c>
      <c r="M1166" t="str">
        <f>_xlfn.XLOOKUP(E1166,tPacotes[ID_Pacote],tPacotes[Pacote])</f>
        <v>Buenos Aires Clássica</v>
      </c>
      <c r="N1166" t="str">
        <f>_xlfn.XLOOKUP(E1166,tPacotes[ID_Pacote],tPacotes[Categoria])</f>
        <v>Cultural</v>
      </c>
      <c r="O1166" t="str">
        <f>_xlfn.XLOOKUP(D1166,tClientes[ID_Cliente],tClientes[UF])</f>
        <v>SP</v>
      </c>
    </row>
    <row r="1167" spans="1:15" x14ac:dyDescent="0.3">
      <c r="A1167">
        <v>1166</v>
      </c>
      <c r="B1167" s="3">
        <v>46198</v>
      </c>
      <c r="C1167" s="3">
        <v>46268</v>
      </c>
      <c r="D1167">
        <v>99</v>
      </c>
      <c r="E1167">
        <v>2</v>
      </c>
      <c r="F1167">
        <v>2</v>
      </c>
      <c r="G1167" s="2">
        <v>3600</v>
      </c>
      <c r="H1167" s="4">
        <v>0</v>
      </c>
      <c r="I1167" s="2">
        <v>3600</v>
      </c>
      <c r="J1167" t="s">
        <v>253</v>
      </c>
      <c r="K1167" t="s">
        <v>254</v>
      </c>
      <c r="L1167">
        <v>4</v>
      </c>
      <c r="M1167" t="str">
        <f>_xlfn.XLOOKUP(E1167,tPacotes[ID_Pacote],tPacotes[Pacote])</f>
        <v>Rio Cidade Maravilhosa</v>
      </c>
      <c r="N1167" t="str">
        <f>_xlfn.XLOOKUP(E1167,tPacotes[ID_Pacote],tPacotes[Categoria])</f>
        <v>Cultural</v>
      </c>
      <c r="O1167" t="str">
        <f>_xlfn.XLOOKUP(D1167,tClientes[ID_Cliente],tClientes[UF])</f>
        <v>SP</v>
      </c>
    </row>
    <row r="1168" spans="1:15" x14ac:dyDescent="0.3">
      <c r="A1168">
        <v>1167</v>
      </c>
      <c r="B1168" s="3">
        <v>46198</v>
      </c>
      <c r="C1168" s="3">
        <v>46288</v>
      </c>
      <c r="D1168">
        <v>7</v>
      </c>
      <c r="E1168">
        <v>11</v>
      </c>
      <c r="F1168">
        <v>2</v>
      </c>
      <c r="G1168" s="2">
        <v>31600</v>
      </c>
      <c r="H1168" s="4">
        <v>0.05</v>
      </c>
      <c r="I1168" s="2">
        <v>30020</v>
      </c>
      <c r="J1168" t="s">
        <v>255</v>
      </c>
      <c r="K1168" t="s">
        <v>254</v>
      </c>
      <c r="M1168" t="str">
        <f>_xlfn.XLOOKUP(E1168,tPacotes[ID_Pacote],tPacotes[Pacote])</f>
        <v>Paris e Londres</v>
      </c>
      <c r="N1168" t="str">
        <f>_xlfn.XLOOKUP(E1168,tPacotes[ID_Pacote],tPacotes[Categoria])</f>
        <v>Cultural</v>
      </c>
      <c r="O1168" t="str">
        <f>_xlfn.XLOOKUP(D1168,tClientes[ID_Cliente],tClientes[UF])</f>
        <v>SP</v>
      </c>
    </row>
    <row r="1169" spans="1:15" x14ac:dyDescent="0.3">
      <c r="A1169">
        <v>1168</v>
      </c>
      <c r="B1169" s="3">
        <v>46199</v>
      </c>
      <c r="C1169" s="3">
        <v>46265</v>
      </c>
      <c r="D1169">
        <v>35</v>
      </c>
      <c r="E1169">
        <v>8</v>
      </c>
      <c r="F1169">
        <v>1</v>
      </c>
      <c r="G1169" s="2">
        <v>5900</v>
      </c>
      <c r="H1169" s="4">
        <v>0</v>
      </c>
      <c r="I1169" s="2">
        <v>5900</v>
      </c>
      <c r="J1169" t="s">
        <v>257</v>
      </c>
      <c r="K1169" t="s">
        <v>254</v>
      </c>
      <c r="L1169">
        <v>3</v>
      </c>
      <c r="M1169" t="str">
        <f>_xlfn.XLOOKUP(E1169,tPacotes[ID_Pacote],tPacotes[Pacote])</f>
        <v>Santiago e Neve</v>
      </c>
      <c r="N1169" t="str">
        <f>_xlfn.XLOOKUP(E1169,tPacotes[ID_Pacote],tPacotes[Categoria])</f>
        <v>Inverno</v>
      </c>
      <c r="O1169" t="str">
        <f>_xlfn.XLOOKUP(D1169,tClientes[ID_Cliente],tClientes[UF])</f>
        <v>DF</v>
      </c>
    </row>
    <row r="1170" spans="1:15" x14ac:dyDescent="0.3">
      <c r="A1170">
        <v>1169</v>
      </c>
      <c r="B1170" s="3">
        <v>46200</v>
      </c>
      <c r="C1170" s="3">
        <v>46203</v>
      </c>
      <c r="D1170">
        <v>163</v>
      </c>
      <c r="E1170">
        <v>11</v>
      </c>
      <c r="F1170">
        <v>2</v>
      </c>
      <c r="G1170" s="2">
        <v>31600</v>
      </c>
      <c r="H1170" s="4">
        <v>0</v>
      </c>
      <c r="I1170" s="2">
        <v>31600</v>
      </c>
      <c r="J1170" t="s">
        <v>253</v>
      </c>
      <c r="K1170" t="s">
        <v>258</v>
      </c>
      <c r="M1170" t="str">
        <f>_xlfn.XLOOKUP(E1170,tPacotes[ID_Pacote],tPacotes[Pacote])</f>
        <v>Paris e Londres</v>
      </c>
      <c r="N1170" t="str">
        <f>_xlfn.XLOOKUP(E1170,tPacotes[ID_Pacote],tPacotes[Categoria])</f>
        <v>Cultural</v>
      </c>
      <c r="O1170" t="str">
        <f>_xlfn.XLOOKUP(D1170,tClientes[ID_Cliente],tClientes[UF])</f>
        <v>DF</v>
      </c>
    </row>
    <row r="1171" spans="1:15" x14ac:dyDescent="0.3">
      <c r="A1171">
        <v>1170</v>
      </c>
      <c r="B1171" s="3">
        <v>46200</v>
      </c>
      <c r="C1171" s="3">
        <v>46227</v>
      </c>
      <c r="D1171">
        <v>199</v>
      </c>
      <c r="E1171">
        <v>7</v>
      </c>
      <c r="F1171">
        <v>2</v>
      </c>
      <c r="G1171" s="2">
        <v>8400</v>
      </c>
      <c r="H1171" s="4">
        <v>0</v>
      </c>
      <c r="I1171" s="2">
        <v>8400</v>
      </c>
      <c r="J1171" t="s">
        <v>257</v>
      </c>
      <c r="K1171" t="s">
        <v>254</v>
      </c>
      <c r="L1171">
        <v>4</v>
      </c>
      <c r="M1171" t="str">
        <f>_xlfn.XLOOKUP(E1171,tPacotes[ID_Pacote],tPacotes[Pacote])</f>
        <v>Buenos Aires Clássica</v>
      </c>
      <c r="N1171" t="str">
        <f>_xlfn.XLOOKUP(E1171,tPacotes[ID_Pacote],tPacotes[Categoria])</f>
        <v>Cultural</v>
      </c>
      <c r="O1171" t="str">
        <f>_xlfn.XLOOKUP(D1171,tClientes[ID_Cliente],tClientes[UF])</f>
        <v>SP</v>
      </c>
    </row>
    <row r="1172" spans="1:15" x14ac:dyDescent="0.3">
      <c r="A1172">
        <v>1171</v>
      </c>
      <c r="B1172" s="3">
        <v>46201</v>
      </c>
      <c r="C1172" s="3">
        <v>46212</v>
      </c>
      <c r="D1172">
        <v>91</v>
      </c>
      <c r="E1172">
        <v>5</v>
      </c>
      <c r="F1172">
        <v>2</v>
      </c>
      <c r="G1172" s="2">
        <v>6800</v>
      </c>
      <c r="H1172" s="4">
        <v>0.1</v>
      </c>
      <c r="I1172" s="2">
        <v>6120</v>
      </c>
      <c r="J1172" t="s">
        <v>256</v>
      </c>
      <c r="K1172" t="s">
        <v>254</v>
      </c>
      <c r="L1172">
        <v>4</v>
      </c>
      <c r="M1172" t="str">
        <f>_xlfn.XLOOKUP(E1172,tPacotes[ID_Pacote],tPacotes[Pacote])</f>
        <v>Bonito Aventura</v>
      </c>
      <c r="N1172" t="str">
        <f>_xlfn.XLOOKUP(E1172,tPacotes[ID_Pacote],tPacotes[Categoria])</f>
        <v>Aventura</v>
      </c>
      <c r="O1172" t="str">
        <f>_xlfn.XLOOKUP(D1172,tClientes[ID_Cliente],tClientes[UF])</f>
        <v>SP</v>
      </c>
    </row>
    <row r="1173" spans="1:15" x14ac:dyDescent="0.3">
      <c r="A1173">
        <v>1172</v>
      </c>
      <c r="B1173" s="3">
        <v>46201</v>
      </c>
      <c r="C1173" s="3">
        <v>46239</v>
      </c>
      <c r="D1173">
        <v>165</v>
      </c>
      <c r="E1173">
        <v>15</v>
      </c>
      <c r="F1173">
        <v>3</v>
      </c>
      <c r="G1173" s="2">
        <v>9300</v>
      </c>
      <c r="H1173" s="4">
        <v>0</v>
      </c>
      <c r="I1173" s="2">
        <v>9300</v>
      </c>
      <c r="J1173" t="s">
        <v>253</v>
      </c>
      <c r="K1173" t="s">
        <v>254</v>
      </c>
      <c r="L1173">
        <v>4</v>
      </c>
      <c r="M1173" t="str">
        <f>_xlfn.XLOOKUP(E1173,tPacotes[ID_Pacote],tPacotes[Pacote])</f>
        <v>Jericoacoara</v>
      </c>
      <c r="N1173" t="str">
        <f>_xlfn.XLOOKUP(E1173,tPacotes[ID_Pacote],tPacotes[Categoria])</f>
        <v>Praia</v>
      </c>
      <c r="O1173" t="str">
        <f>_xlfn.XLOOKUP(D1173,tClientes[ID_Cliente],tClientes[UF])</f>
        <v>SP</v>
      </c>
    </row>
    <row r="1174" spans="1:15" x14ac:dyDescent="0.3">
      <c r="A1174">
        <v>1173</v>
      </c>
      <c r="B1174" s="3">
        <v>46202</v>
      </c>
      <c r="C1174" s="3">
        <v>46212</v>
      </c>
      <c r="D1174">
        <v>48</v>
      </c>
      <c r="E1174">
        <v>1</v>
      </c>
      <c r="F1174">
        <v>1</v>
      </c>
      <c r="G1174" s="2">
        <v>3200</v>
      </c>
      <c r="H1174" s="4">
        <v>0.15</v>
      </c>
      <c r="I1174" s="2">
        <v>2720</v>
      </c>
      <c r="J1174" t="s">
        <v>257</v>
      </c>
      <c r="K1174" t="s">
        <v>254</v>
      </c>
      <c r="L1174">
        <v>3</v>
      </c>
      <c r="M1174" t="str">
        <f>_xlfn.XLOOKUP(E1174,tPacotes[ID_Pacote],tPacotes[Pacote])</f>
        <v>Nordeste Encantado</v>
      </c>
      <c r="N1174" t="str">
        <f>_xlfn.XLOOKUP(E1174,tPacotes[ID_Pacote],tPacotes[Categoria])</f>
        <v>Praia</v>
      </c>
      <c r="O1174" t="str">
        <f>_xlfn.XLOOKUP(D1174,tClientes[ID_Cliente],tClientes[UF])</f>
        <v>SP</v>
      </c>
    </row>
    <row r="1175" spans="1:15" x14ac:dyDescent="0.3">
      <c r="A1175">
        <v>1174</v>
      </c>
      <c r="B1175" s="3">
        <v>46202</v>
      </c>
      <c r="C1175" s="3">
        <v>46211</v>
      </c>
      <c r="D1175">
        <v>37</v>
      </c>
      <c r="E1175">
        <v>7</v>
      </c>
      <c r="F1175">
        <v>1</v>
      </c>
      <c r="G1175" s="2">
        <v>4200</v>
      </c>
      <c r="H1175" s="4">
        <v>0</v>
      </c>
      <c r="I1175" s="2">
        <v>4200</v>
      </c>
      <c r="J1175" t="s">
        <v>257</v>
      </c>
      <c r="K1175" t="s">
        <v>254</v>
      </c>
      <c r="L1175">
        <v>2</v>
      </c>
      <c r="M1175" t="str">
        <f>_xlfn.XLOOKUP(E1175,tPacotes[ID_Pacote],tPacotes[Pacote])</f>
        <v>Buenos Aires Clássica</v>
      </c>
      <c r="N1175" t="str">
        <f>_xlfn.XLOOKUP(E1175,tPacotes[ID_Pacote],tPacotes[Categoria])</f>
        <v>Cultural</v>
      </c>
      <c r="O1175" t="str">
        <f>_xlfn.XLOOKUP(D1175,tClientes[ID_Cliente],tClientes[UF])</f>
        <v>DF</v>
      </c>
    </row>
    <row r="1176" spans="1:15" x14ac:dyDescent="0.3">
      <c r="A1176">
        <v>1175</v>
      </c>
      <c r="B1176" s="3">
        <v>46202</v>
      </c>
      <c r="C1176" s="3">
        <v>46285</v>
      </c>
      <c r="D1176">
        <v>104</v>
      </c>
      <c r="E1176">
        <v>6</v>
      </c>
      <c r="F1176">
        <v>2</v>
      </c>
      <c r="G1176" s="2">
        <v>4200</v>
      </c>
      <c r="H1176" s="4">
        <v>0</v>
      </c>
      <c r="I1176" s="2">
        <v>4200</v>
      </c>
      <c r="J1176" t="s">
        <v>255</v>
      </c>
      <c r="K1176" t="s">
        <v>254</v>
      </c>
      <c r="L1176">
        <v>1</v>
      </c>
      <c r="M1176" t="str">
        <f>_xlfn.XLOOKUP(E1176,tPacotes[ID_Pacote],tPacotes[Pacote])</f>
        <v>Foz do Iguaçu</v>
      </c>
      <c r="N1176" t="str">
        <f>_xlfn.XLOOKUP(E1176,tPacotes[ID_Pacote],tPacotes[Categoria])</f>
        <v>Natureza</v>
      </c>
      <c r="O1176" t="str">
        <f>_xlfn.XLOOKUP(D1176,tClientes[ID_Cliente],tClientes[UF])</f>
        <v>RJ</v>
      </c>
    </row>
    <row r="1177" spans="1:15" x14ac:dyDescent="0.3">
      <c r="A1177">
        <v>1176</v>
      </c>
      <c r="B1177" s="3">
        <v>46203</v>
      </c>
      <c r="C1177" s="3">
        <v>46211</v>
      </c>
      <c r="D1177">
        <v>136</v>
      </c>
      <c r="E1177">
        <v>14</v>
      </c>
      <c r="F1177">
        <v>2</v>
      </c>
      <c r="G1177" s="2">
        <v>5800</v>
      </c>
      <c r="H1177" s="4">
        <v>0</v>
      </c>
      <c r="I1177" s="2">
        <v>5800</v>
      </c>
      <c r="J1177" t="s">
        <v>255</v>
      </c>
      <c r="K1177" t="s">
        <v>254</v>
      </c>
      <c r="L1177">
        <v>4</v>
      </c>
      <c r="M1177" t="str">
        <f>_xlfn.XLOOKUP(E1177,tPacotes[ID_Pacote],tPacotes[Pacote])</f>
        <v>Lençóis Maranhenses</v>
      </c>
      <c r="N1177" t="str">
        <f>_xlfn.XLOOKUP(E1177,tPacotes[ID_Pacote],tPacotes[Categoria])</f>
        <v>Natureza</v>
      </c>
      <c r="O1177" t="str">
        <f>_xlfn.XLOOKUP(D1177,tClientes[ID_Cliente],tClientes[UF])</f>
        <v>MG</v>
      </c>
    </row>
    <row r="1178" spans="1:15" x14ac:dyDescent="0.3">
      <c r="A1178">
        <v>1177</v>
      </c>
      <c r="B1178" s="3">
        <v>46204</v>
      </c>
      <c r="C1178" s="3">
        <v>46338</v>
      </c>
      <c r="D1178">
        <v>144</v>
      </c>
      <c r="E1178">
        <v>3</v>
      </c>
      <c r="F1178">
        <v>1</v>
      </c>
      <c r="G1178" s="2">
        <v>2600</v>
      </c>
      <c r="H1178" s="4">
        <v>0.1</v>
      </c>
      <c r="I1178" s="2">
        <v>2340</v>
      </c>
      <c r="J1178" t="s">
        <v>253</v>
      </c>
      <c r="K1178" t="s">
        <v>254</v>
      </c>
      <c r="M1178" t="str">
        <f>_xlfn.XLOOKUP(E1178,tPacotes[ID_Pacote],tPacotes[Pacote])</f>
        <v>Serra Gaúcha</v>
      </c>
      <c r="N1178" t="str">
        <f>_xlfn.XLOOKUP(E1178,tPacotes[ID_Pacote],tPacotes[Categoria])</f>
        <v>Inverno</v>
      </c>
      <c r="O1178" t="str">
        <f>_xlfn.XLOOKUP(D1178,tClientes[ID_Cliente],tClientes[UF])</f>
        <v>DF</v>
      </c>
    </row>
    <row r="1179" spans="1:15" x14ac:dyDescent="0.3">
      <c r="A1179">
        <v>1178</v>
      </c>
      <c r="B1179" s="3">
        <v>46204</v>
      </c>
      <c r="C1179" s="3">
        <v>46221</v>
      </c>
      <c r="D1179">
        <v>189</v>
      </c>
      <c r="E1179">
        <v>1</v>
      </c>
      <c r="F1179">
        <v>2</v>
      </c>
      <c r="G1179" s="2">
        <v>6400</v>
      </c>
      <c r="H1179" s="4">
        <v>0</v>
      </c>
      <c r="I1179" s="2">
        <v>6400</v>
      </c>
      <c r="J1179" t="s">
        <v>257</v>
      </c>
      <c r="K1179" t="s">
        <v>254</v>
      </c>
      <c r="L1179">
        <v>4</v>
      </c>
      <c r="M1179" t="str">
        <f>_xlfn.XLOOKUP(E1179,tPacotes[ID_Pacote],tPacotes[Pacote])</f>
        <v>Nordeste Encantado</v>
      </c>
      <c r="N1179" t="str">
        <f>_xlfn.XLOOKUP(E1179,tPacotes[ID_Pacote],tPacotes[Categoria])</f>
        <v>Praia</v>
      </c>
      <c r="O1179" t="str">
        <f>_xlfn.XLOOKUP(D1179,tClientes[ID_Cliente],tClientes[UF])</f>
        <v>SP</v>
      </c>
    </row>
    <row r="1180" spans="1:15" x14ac:dyDescent="0.3">
      <c r="A1180">
        <v>1179</v>
      </c>
      <c r="B1180" s="3">
        <v>46204</v>
      </c>
      <c r="C1180" s="3">
        <v>46294</v>
      </c>
      <c r="D1180">
        <v>71</v>
      </c>
      <c r="E1180">
        <v>1</v>
      </c>
      <c r="F1180">
        <v>4</v>
      </c>
      <c r="G1180" s="2">
        <v>12800</v>
      </c>
      <c r="H1180" s="4">
        <v>0.1</v>
      </c>
      <c r="I1180" s="2">
        <v>11520</v>
      </c>
      <c r="J1180" t="s">
        <v>253</v>
      </c>
      <c r="K1180" t="s">
        <v>254</v>
      </c>
      <c r="M1180" t="str">
        <f>_xlfn.XLOOKUP(E1180,tPacotes[ID_Pacote],tPacotes[Pacote])</f>
        <v>Nordeste Encantado</v>
      </c>
      <c r="N1180" t="str">
        <f>_xlfn.XLOOKUP(E1180,tPacotes[ID_Pacote],tPacotes[Categoria])</f>
        <v>Praia</v>
      </c>
      <c r="O1180" t="str">
        <f>_xlfn.XLOOKUP(D1180,tClientes[ID_Cliente],tClientes[UF])</f>
        <v>RJ</v>
      </c>
    </row>
    <row r="1181" spans="1:15" x14ac:dyDescent="0.3">
      <c r="A1181">
        <v>1180</v>
      </c>
      <c r="B1181" s="3">
        <v>46204</v>
      </c>
      <c r="C1181" s="3">
        <v>46289</v>
      </c>
      <c r="D1181">
        <v>48</v>
      </c>
      <c r="E1181">
        <v>12</v>
      </c>
      <c r="F1181">
        <v>3</v>
      </c>
      <c r="G1181" s="2">
        <v>37200</v>
      </c>
      <c r="H1181" s="4">
        <v>0.05</v>
      </c>
      <c r="I1181" s="2">
        <v>35340</v>
      </c>
      <c r="J1181" t="s">
        <v>253</v>
      </c>
      <c r="K1181" t="s">
        <v>254</v>
      </c>
      <c r="M1181" t="str">
        <f>_xlfn.XLOOKUP(E1181,tPacotes[ID_Pacote],tPacotes[Pacote])</f>
        <v>Lisboa e Porto</v>
      </c>
      <c r="N1181" t="str">
        <f>_xlfn.XLOOKUP(E1181,tPacotes[ID_Pacote],tPacotes[Categoria])</f>
        <v>Cultural</v>
      </c>
      <c r="O1181" t="str">
        <f>_xlfn.XLOOKUP(D1181,tClientes[ID_Cliente],tClientes[UF])</f>
        <v>SP</v>
      </c>
    </row>
    <row r="1182" spans="1:15" x14ac:dyDescent="0.3">
      <c r="A1182">
        <v>1181</v>
      </c>
      <c r="B1182" s="3">
        <v>46204</v>
      </c>
      <c r="C1182" s="3">
        <v>46221</v>
      </c>
      <c r="D1182">
        <v>191</v>
      </c>
      <c r="E1182">
        <v>14</v>
      </c>
      <c r="F1182">
        <v>1</v>
      </c>
      <c r="G1182" s="2">
        <v>2900</v>
      </c>
      <c r="H1182" s="4">
        <v>0</v>
      </c>
      <c r="I1182" s="2">
        <v>2900</v>
      </c>
      <c r="J1182" t="s">
        <v>255</v>
      </c>
      <c r="K1182" t="s">
        <v>254</v>
      </c>
      <c r="L1182">
        <v>1</v>
      </c>
      <c r="M1182" t="str">
        <f>_xlfn.XLOOKUP(E1182,tPacotes[ID_Pacote],tPacotes[Pacote])</f>
        <v>Lençóis Maranhenses</v>
      </c>
      <c r="N1182" t="str">
        <f>_xlfn.XLOOKUP(E1182,tPacotes[ID_Pacote],tPacotes[Categoria])</f>
        <v>Natureza</v>
      </c>
      <c r="O1182" t="str">
        <f>_xlfn.XLOOKUP(D1182,tClientes[ID_Cliente],tClientes[UF])</f>
        <v>SP</v>
      </c>
    </row>
    <row r="1183" spans="1:15" x14ac:dyDescent="0.3">
      <c r="A1183">
        <v>1182</v>
      </c>
      <c r="B1183" s="3">
        <v>46205</v>
      </c>
      <c r="C1183" s="3">
        <v>46214</v>
      </c>
      <c r="D1183">
        <v>133</v>
      </c>
      <c r="E1183">
        <v>7</v>
      </c>
      <c r="F1183">
        <v>2</v>
      </c>
      <c r="G1183" s="2">
        <v>8400</v>
      </c>
      <c r="H1183" s="4">
        <v>0</v>
      </c>
      <c r="I1183" s="2">
        <v>8400</v>
      </c>
      <c r="J1183" t="s">
        <v>253</v>
      </c>
      <c r="K1183" t="s">
        <v>254</v>
      </c>
      <c r="L1183">
        <v>2</v>
      </c>
      <c r="M1183" t="str">
        <f>_xlfn.XLOOKUP(E1183,tPacotes[ID_Pacote],tPacotes[Pacote])</f>
        <v>Buenos Aires Clássica</v>
      </c>
      <c r="N1183" t="str">
        <f>_xlfn.XLOOKUP(E1183,tPacotes[ID_Pacote],tPacotes[Categoria])</f>
        <v>Cultural</v>
      </c>
      <c r="O1183" t="str">
        <f>_xlfn.XLOOKUP(D1183,tClientes[ID_Cliente],tClientes[UF])</f>
        <v>SP</v>
      </c>
    </row>
    <row r="1184" spans="1:15" x14ac:dyDescent="0.3">
      <c r="A1184">
        <v>1183</v>
      </c>
      <c r="B1184" s="3">
        <v>46205</v>
      </c>
      <c r="C1184" s="3">
        <v>46265</v>
      </c>
      <c r="D1184">
        <v>68</v>
      </c>
      <c r="E1184">
        <v>5</v>
      </c>
      <c r="F1184">
        <v>3</v>
      </c>
      <c r="G1184" s="2">
        <v>10200</v>
      </c>
      <c r="H1184" s="4">
        <v>0.1</v>
      </c>
      <c r="I1184" s="2">
        <v>9180</v>
      </c>
      <c r="J1184" t="s">
        <v>256</v>
      </c>
      <c r="K1184" t="s">
        <v>254</v>
      </c>
      <c r="L1184">
        <v>5</v>
      </c>
      <c r="M1184" t="str">
        <f>_xlfn.XLOOKUP(E1184,tPacotes[ID_Pacote],tPacotes[Pacote])</f>
        <v>Bonito Aventura</v>
      </c>
      <c r="N1184" t="str">
        <f>_xlfn.XLOOKUP(E1184,tPacotes[ID_Pacote],tPacotes[Categoria])</f>
        <v>Aventura</v>
      </c>
      <c r="O1184" t="str">
        <f>_xlfn.XLOOKUP(D1184,tClientes[ID_Cliente],tClientes[UF])</f>
        <v>BA</v>
      </c>
    </row>
    <row r="1185" spans="1:15" x14ac:dyDescent="0.3">
      <c r="A1185">
        <v>1184</v>
      </c>
      <c r="B1185" s="3">
        <v>46205</v>
      </c>
      <c r="C1185" s="3">
        <v>46271</v>
      </c>
      <c r="D1185">
        <v>140</v>
      </c>
      <c r="E1185">
        <v>2</v>
      </c>
      <c r="F1185">
        <v>1</v>
      </c>
      <c r="G1185" s="2">
        <v>1800</v>
      </c>
      <c r="H1185" s="4">
        <v>0.05</v>
      </c>
      <c r="I1185" s="2">
        <v>1710</v>
      </c>
      <c r="J1185" t="s">
        <v>255</v>
      </c>
      <c r="K1185" t="s">
        <v>254</v>
      </c>
      <c r="L1185">
        <v>3</v>
      </c>
      <c r="M1185" t="str">
        <f>_xlfn.XLOOKUP(E1185,tPacotes[ID_Pacote],tPacotes[Pacote])</f>
        <v>Rio Cidade Maravilhosa</v>
      </c>
      <c r="N1185" t="str">
        <f>_xlfn.XLOOKUP(E1185,tPacotes[ID_Pacote],tPacotes[Categoria])</f>
        <v>Cultural</v>
      </c>
      <c r="O1185" t="str">
        <f>_xlfn.XLOOKUP(D1185,tClientes[ID_Cliente],tClientes[UF])</f>
        <v>RJ</v>
      </c>
    </row>
    <row r="1186" spans="1:15" x14ac:dyDescent="0.3">
      <c r="A1186">
        <v>1185</v>
      </c>
      <c r="B1186" s="3">
        <v>46205</v>
      </c>
      <c r="C1186" s="3">
        <v>46263</v>
      </c>
      <c r="D1186">
        <v>41</v>
      </c>
      <c r="E1186">
        <v>10</v>
      </c>
      <c r="F1186">
        <v>2</v>
      </c>
      <c r="G1186" s="2">
        <v>23000</v>
      </c>
      <c r="H1186" s="4">
        <v>0</v>
      </c>
      <c r="I1186" s="2">
        <v>23000</v>
      </c>
      <c r="J1186" t="s">
        <v>253</v>
      </c>
      <c r="K1186" t="s">
        <v>254</v>
      </c>
      <c r="L1186">
        <v>4</v>
      </c>
      <c r="M1186" t="str">
        <f>_xlfn.XLOOKUP(E1186,tPacotes[ID_Pacote],tPacotes[Pacote])</f>
        <v>Orlando Parques</v>
      </c>
      <c r="N1186" t="str">
        <f>_xlfn.XLOOKUP(E1186,tPacotes[ID_Pacote],tPacotes[Categoria])</f>
        <v>Parques</v>
      </c>
      <c r="O1186" t="str">
        <f>_xlfn.XLOOKUP(D1186,tClientes[ID_Cliente],tClientes[UF])</f>
        <v>RS</v>
      </c>
    </row>
    <row r="1187" spans="1:15" x14ac:dyDescent="0.3">
      <c r="A1187">
        <v>1186</v>
      </c>
      <c r="B1187" s="3">
        <v>46206</v>
      </c>
      <c r="C1187" s="3">
        <v>46299</v>
      </c>
      <c r="D1187">
        <v>161</v>
      </c>
      <c r="E1187">
        <v>7</v>
      </c>
      <c r="F1187">
        <v>1</v>
      </c>
      <c r="G1187" s="2">
        <v>4200</v>
      </c>
      <c r="H1187" s="4">
        <v>0.1</v>
      </c>
      <c r="I1187" s="2">
        <v>3780</v>
      </c>
      <c r="J1187" t="s">
        <v>253</v>
      </c>
      <c r="K1187" t="s">
        <v>254</v>
      </c>
      <c r="M1187" t="str">
        <f>_xlfn.XLOOKUP(E1187,tPacotes[ID_Pacote],tPacotes[Pacote])</f>
        <v>Buenos Aires Clássica</v>
      </c>
      <c r="N1187" t="str">
        <f>_xlfn.XLOOKUP(E1187,tPacotes[ID_Pacote],tPacotes[Categoria])</f>
        <v>Cultural</v>
      </c>
      <c r="O1187" t="str">
        <f>_xlfn.XLOOKUP(D1187,tClientes[ID_Cliente],tClientes[UF])</f>
        <v>SP</v>
      </c>
    </row>
    <row r="1188" spans="1:15" x14ac:dyDescent="0.3">
      <c r="A1188">
        <v>1187</v>
      </c>
      <c r="B1188" s="3">
        <v>46206</v>
      </c>
      <c r="C1188" s="3">
        <v>46238</v>
      </c>
      <c r="D1188">
        <v>47</v>
      </c>
      <c r="E1188">
        <v>12</v>
      </c>
      <c r="F1188">
        <v>4</v>
      </c>
      <c r="G1188" s="2">
        <v>49600</v>
      </c>
      <c r="H1188" s="4">
        <v>0.1</v>
      </c>
      <c r="I1188" s="2">
        <v>44640</v>
      </c>
      <c r="J1188" t="s">
        <v>256</v>
      </c>
      <c r="K1188" t="s">
        <v>254</v>
      </c>
      <c r="L1188">
        <v>4</v>
      </c>
      <c r="M1188" t="str">
        <f>_xlfn.XLOOKUP(E1188,tPacotes[ID_Pacote],tPacotes[Pacote])</f>
        <v>Lisboa e Porto</v>
      </c>
      <c r="N1188" t="str">
        <f>_xlfn.XLOOKUP(E1188,tPacotes[ID_Pacote],tPacotes[Categoria])</f>
        <v>Cultural</v>
      </c>
      <c r="O1188" t="str">
        <f>_xlfn.XLOOKUP(D1188,tClientes[ID_Cliente],tClientes[UF])</f>
        <v>BA</v>
      </c>
    </row>
    <row r="1189" spans="1:15" x14ac:dyDescent="0.3">
      <c r="A1189">
        <v>1188</v>
      </c>
      <c r="B1189" s="3">
        <v>46206</v>
      </c>
      <c r="C1189" s="3">
        <v>46260</v>
      </c>
      <c r="D1189">
        <v>29</v>
      </c>
      <c r="E1189">
        <v>9</v>
      </c>
      <c r="F1189">
        <v>4</v>
      </c>
      <c r="G1189" s="2">
        <v>35600</v>
      </c>
      <c r="H1189" s="4">
        <v>0</v>
      </c>
      <c r="I1189" s="2">
        <v>35600</v>
      </c>
      <c r="J1189" t="s">
        <v>256</v>
      </c>
      <c r="K1189" t="s">
        <v>258</v>
      </c>
      <c r="M1189" t="str">
        <f>_xlfn.XLOOKUP(E1189,tPacotes[ID_Pacote],tPacotes[Pacote])</f>
        <v>Cancún All Inclusive</v>
      </c>
      <c r="N1189" t="str">
        <f>_xlfn.XLOOKUP(E1189,tPacotes[ID_Pacote],tPacotes[Categoria])</f>
        <v>Praia</v>
      </c>
      <c r="O1189" t="str">
        <f>_xlfn.XLOOKUP(D1189,tClientes[ID_Cliente],tClientes[UF])</f>
        <v>SP</v>
      </c>
    </row>
    <row r="1190" spans="1:15" x14ac:dyDescent="0.3">
      <c r="A1190">
        <v>1189</v>
      </c>
      <c r="B1190" s="3">
        <v>46206</v>
      </c>
      <c r="C1190" s="3">
        <v>46226</v>
      </c>
      <c r="D1190">
        <v>47</v>
      </c>
      <c r="E1190">
        <v>2</v>
      </c>
      <c r="F1190">
        <v>1</v>
      </c>
      <c r="G1190" s="2">
        <v>1800</v>
      </c>
      <c r="H1190" s="4">
        <v>0</v>
      </c>
      <c r="I1190" s="2">
        <v>1800</v>
      </c>
      <c r="J1190" t="s">
        <v>256</v>
      </c>
      <c r="K1190" t="s">
        <v>254</v>
      </c>
      <c r="L1190">
        <v>5</v>
      </c>
      <c r="M1190" t="str">
        <f>_xlfn.XLOOKUP(E1190,tPacotes[ID_Pacote],tPacotes[Pacote])</f>
        <v>Rio Cidade Maravilhosa</v>
      </c>
      <c r="N1190" t="str">
        <f>_xlfn.XLOOKUP(E1190,tPacotes[ID_Pacote],tPacotes[Categoria])</f>
        <v>Cultural</v>
      </c>
      <c r="O1190" t="str">
        <f>_xlfn.XLOOKUP(D1190,tClientes[ID_Cliente],tClientes[UF])</f>
        <v>BA</v>
      </c>
    </row>
    <row r="1191" spans="1:15" x14ac:dyDescent="0.3">
      <c r="A1191">
        <v>1190</v>
      </c>
      <c r="B1191" s="3">
        <v>46207</v>
      </c>
      <c r="C1191" s="3">
        <v>46323</v>
      </c>
      <c r="D1191">
        <v>136</v>
      </c>
      <c r="E1191">
        <v>6</v>
      </c>
      <c r="F1191">
        <v>2</v>
      </c>
      <c r="G1191" s="2">
        <v>4200</v>
      </c>
      <c r="H1191" s="4">
        <v>0.1</v>
      </c>
      <c r="I1191" s="2">
        <v>3780</v>
      </c>
      <c r="J1191" t="s">
        <v>255</v>
      </c>
      <c r="K1191" t="s">
        <v>254</v>
      </c>
      <c r="M1191" t="str">
        <f>_xlfn.XLOOKUP(E1191,tPacotes[ID_Pacote],tPacotes[Pacote])</f>
        <v>Foz do Iguaçu</v>
      </c>
      <c r="N1191" t="str">
        <f>_xlfn.XLOOKUP(E1191,tPacotes[ID_Pacote],tPacotes[Categoria])</f>
        <v>Natureza</v>
      </c>
      <c r="O1191" t="str">
        <f>_xlfn.XLOOKUP(D1191,tClientes[ID_Cliente],tClientes[UF])</f>
        <v>MG</v>
      </c>
    </row>
    <row r="1192" spans="1:15" x14ac:dyDescent="0.3">
      <c r="A1192">
        <v>1191</v>
      </c>
      <c r="B1192" s="3">
        <v>46207</v>
      </c>
      <c r="C1192" s="3">
        <v>46211</v>
      </c>
      <c r="D1192">
        <v>107</v>
      </c>
      <c r="E1192">
        <v>8</v>
      </c>
      <c r="F1192">
        <v>1</v>
      </c>
      <c r="G1192" s="2">
        <v>5900</v>
      </c>
      <c r="H1192" s="4">
        <v>0.1</v>
      </c>
      <c r="I1192" s="2">
        <v>5310</v>
      </c>
      <c r="J1192" t="s">
        <v>255</v>
      </c>
      <c r="K1192" t="s">
        <v>254</v>
      </c>
      <c r="L1192">
        <v>4</v>
      </c>
      <c r="M1192" t="str">
        <f>_xlfn.XLOOKUP(E1192,tPacotes[ID_Pacote],tPacotes[Pacote])</f>
        <v>Santiago e Neve</v>
      </c>
      <c r="N1192" t="str">
        <f>_xlfn.XLOOKUP(E1192,tPacotes[ID_Pacote],tPacotes[Categoria])</f>
        <v>Inverno</v>
      </c>
      <c r="O1192" t="str">
        <f>_xlfn.XLOOKUP(D1192,tClientes[ID_Cliente],tClientes[UF])</f>
        <v>DF</v>
      </c>
    </row>
    <row r="1193" spans="1:15" x14ac:dyDescent="0.3">
      <c r="A1193">
        <v>1192</v>
      </c>
      <c r="B1193" s="3">
        <v>46207</v>
      </c>
      <c r="C1193" s="3">
        <v>46211</v>
      </c>
      <c r="D1193">
        <v>171</v>
      </c>
      <c r="E1193">
        <v>14</v>
      </c>
      <c r="F1193">
        <v>2</v>
      </c>
      <c r="G1193" s="2">
        <v>5800</v>
      </c>
      <c r="H1193" s="4">
        <v>0</v>
      </c>
      <c r="I1193" s="2">
        <v>5800</v>
      </c>
      <c r="J1193" t="s">
        <v>253</v>
      </c>
      <c r="K1193" t="s">
        <v>254</v>
      </c>
      <c r="L1193">
        <v>5</v>
      </c>
      <c r="M1193" t="str">
        <f>_xlfn.XLOOKUP(E1193,tPacotes[ID_Pacote],tPacotes[Pacote])</f>
        <v>Lençóis Maranhenses</v>
      </c>
      <c r="N1193" t="str">
        <f>_xlfn.XLOOKUP(E1193,tPacotes[ID_Pacote],tPacotes[Categoria])</f>
        <v>Natureza</v>
      </c>
      <c r="O1193" t="str">
        <f>_xlfn.XLOOKUP(D1193,tClientes[ID_Cliente],tClientes[UF])</f>
        <v>SP</v>
      </c>
    </row>
    <row r="1194" spans="1:15" x14ac:dyDescent="0.3">
      <c r="A1194">
        <v>1193</v>
      </c>
      <c r="B1194" s="3">
        <v>46208</v>
      </c>
      <c r="C1194" s="3">
        <v>46291</v>
      </c>
      <c r="D1194">
        <v>20</v>
      </c>
      <c r="E1194">
        <v>5</v>
      </c>
      <c r="F1194">
        <v>2</v>
      </c>
      <c r="G1194" s="2">
        <v>6800</v>
      </c>
      <c r="H1194" s="4">
        <v>0</v>
      </c>
      <c r="I1194" s="2">
        <v>6800</v>
      </c>
      <c r="J1194" t="s">
        <v>253</v>
      </c>
      <c r="K1194" t="s">
        <v>254</v>
      </c>
      <c r="M1194" t="str">
        <f>_xlfn.XLOOKUP(E1194,tPacotes[ID_Pacote],tPacotes[Pacote])</f>
        <v>Bonito Aventura</v>
      </c>
      <c r="N1194" t="str">
        <f>_xlfn.XLOOKUP(E1194,tPacotes[ID_Pacote],tPacotes[Categoria])</f>
        <v>Aventura</v>
      </c>
      <c r="O1194" t="str">
        <f>_xlfn.XLOOKUP(D1194,tClientes[ID_Cliente],tClientes[UF])</f>
        <v>PR</v>
      </c>
    </row>
    <row r="1195" spans="1:15" x14ac:dyDescent="0.3">
      <c r="A1195">
        <v>1194</v>
      </c>
      <c r="B1195" s="3">
        <v>46208</v>
      </c>
      <c r="C1195" s="3">
        <v>46327</v>
      </c>
      <c r="D1195">
        <v>149</v>
      </c>
      <c r="E1195">
        <v>6</v>
      </c>
      <c r="F1195">
        <v>3</v>
      </c>
      <c r="G1195" s="2">
        <v>6300</v>
      </c>
      <c r="H1195" s="4">
        <v>0.05</v>
      </c>
      <c r="I1195" s="2">
        <v>5985</v>
      </c>
      <c r="J1195" t="s">
        <v>257</v>
      </c>
      <c r="K1195" t="s">
        <v>254</v>
      </c>
      <c r="M1195" t="str">
        <f>_xlfn.XLOOKUP(E1195,tPacotes[ID_Pacote],tPacotes[Pacote])</f>
        <v>Foz do Iguaçu</v>
      </c>
      <c r="N1195" t="str">
        <f>_xlfn.XLOOKUP(E1195,tPacotes[ID_Pacote],tPacotes[Categoria])</f>
        <v>Natureza</v>
      </c>
      <c r="O1195" t="str">
        <f>_xlfn.XLOOKUP(D1195,tClientes[ID_Cliente],tClientes[UF])</f>
        <v>SP</v>
      </c>
    </row>
    <row r="1196" spans="1:15" x14ac:dyDescent="0.3">
      <c r="A1196">
        <v>1195</v>
      </c>
      <c r="B1196" s="3">
        <v>46209</v>
      </c>
      <c r="C1196" s="3">
        <v>46217</v>
      </c>
      <c r="D1196">
        <v>133</v>
      </c>
      <c r="E1196">
        <v>3</v>
      </c>
      <c r="F1196">
        <v>4</v>
      </c>
      <c r="G1196" s="2">
        <v>10400</v>
      </c>
      <c r="H1196" s="4">
        <v>0.05</v>
      </c>
      <c r="I1196" s="2">
        <v>9880</v>
      </c>
      <c r="J1196" t="s">
        <v>253</v>
      </c>
      <c r="K1196" t="s">
        <v>254</v>
      </c>
      <c r="L1196">
        <v>5</v>
      </c>
      <c r="M1196" t="str">
        <f>_xlfn.XLOOKUP(E1196,tPacotes[ID_Pacote],tPacotes[Pacote])</f>
        <v>Serra Gaúcha</v>
      </c>
      <c r="N1196" t="str">
        <f>_xlfn.XLOOKUP(E1196,tPacotes[ID_Pacote],tPacotes[Categoria])</f>
        <v>Inverno</v>
      </c>
      <c r="O1196" t="str">
        <f>_xlfn.XLOOKUP(D1196,tClientes[ID_Cliente],tClientes[UF])</f>
        <v>SP</v>
      </c>
    </row>
    <row r="1197" spans="1:15" x14ac:dyDescent="0.3">
      <c r="A1197">
        <v>1196</v>
      </c>
      <c r="B1197" s="3">
        <v>46209</v>
      </c>
      <c r="C1197" s="3">
        <v>46290</v>
      </c>
      <c r="D1197">
        <v>86</v>
      </c>
      <c r="E1197">
        <v>1</v>
      </c>
      <c r="F1197">
        <v>2</v>
      </c>
      <c r="G1197" s="2">
        <v>6400</v>
      </c>
      <c r="H1197" s="4">
        <v>0</v>
      </c>
      <c r="I1197" s="2">
        <v>6400</v>
      </c>
      <c r="J1197" t="s">
        <v>253</v>
      </c>
      <c r="K1197" t="s">
        <v>254</v>
      </c>
      <c r="M1197" t="str">
        <f>_xlfn.XLOOKUP(E1197,tPacotes[ID_Pacote],tPacotes[Pacote])</f>
        <v>Nordeste Encantado</v>
      </c>
      <c r="N1197" t="str">
        <f>_xlfn.XLOOKUP(E1197,tPacotes[ID_Pacote],tPacotes[Categoria])</f>
        <v>Praia</v>
      </c>
      <c r="O1197" t="str">
        <f>_xlfn.XLOOKUP(D1197,tClientes[ID_Cliente],tClientes[UF])</f>
        <v>DF</v>
      </c>
    </row>
    <row r="1198" spans="1:15" x14ac:dyDescent="0.3">
      <c r="A1198">
        <v>1197</v>
      </c>
      <c r="B1198" s="3">
        <v>46209</v>
      </c>
      <c r="C1198" s="3">
        <v>46309</v>
      </c>
      <c r="D1198">
        <v>144</v>
      </c>
      <c r="E1198">
        <v>13</v>
      </c>
      <c r="F1198">
        <v>1</v>
      </c>
      <c r="G1198" s="2">
        <v>7300</v>
      </c>
      <c r="H1198" s="4">
        <v>0.15</v>
      </c>
      <c r="I1198" s="2">
        <v>6205</v>
      </c>
      <c r="J1198" t="s">
        <v>253</v>
      </c>
      <c r="K1198" t="s">
        <v>258</v>
      </c>
      <c r="M1198" t="str">
        <f>_xlfn.XLOOKUP(E1198,tPacotes[ID_Pacote],tPacotes[Pacote])</f>
        <v>Machu Picchu</v>
      </c>
      <c r="N1198" t="str">
        <f>_xlfn.XLOOKUP(E1198,tPacotes[ID_Pacote],tPacotes[Categoria])</f>
        <v>Aventura</v>
      </c>
      <c r="O1198" t="str">
        <f>_xlfn.XLOOKUP(D1198,tClientes[ID_Cliente],tClientes[UF])</f>
        <v>DF</v>
      </c>
    </row>
    <row r="1199" spans="1:15" x14ac:dyDescent="0.3">
      <c r="A1199">
        <v>1198</v>
      </c>
      <c r="B1199" s="3">
        <v>46209</v>
      </c>
      <c r="C1199" s="3">
        <v>46213</v>
      </c>
      <c r="D1199">
        <v>164</v>
      </c>
      <c r="E1199">
        <v>14</v>
      </c>
      <c r="F1199">
        <v>2</v>
      </c>
      <c r="G1199" s="2">
        <v>5800</v>
      </c>
      <c r="H1199" s="4">
        <v>0</v>
      </c>
      <c r="I1199" s="2">
        <v>5800</v>
      </c>
      <c r="J1199" t="s">
        <v>257</v>
      </c>
      <c r="K1199" t="s">
        <v>254</v>
      </c>
      <c r="L1199">
        <v>5</v>
      </c>
      <c r="M1199" t="str">
        <f>_xlfn.XLOOKUP(E1199,tPacotes[ID_Pacote],tPacotes[Pacote])</f>
        <v>Lençóis Maranhenses</v>
      </c>
      <c r="N1199" t="str">
        <f>_xlfn.XLOOKUP(E1199,tPacotes[ID_Pacote],tPacotes[Categoria])</f>
        <v>Natureza</v>
      </c>
      <c r="O1199" t="str">
        <f>_xlfn.XLOOKUP(D1199,tClientes[ID_Cliente],tClientes[UF])</f>
        <v>RJ</v>
      </c>
    </row>
    <row r="1200" spans="1:15" x14ac:dyDescent="0.3">
      <c r="A1200">
        <v>1199</v>
      </c>
      <c r="B1200" s="3">
        <v>46209</v>
      </c>
      <c r="C1200" s="3">
        <v>46216</v>
      </c>
      <c r="D1200">
        <v>165</v>
      </c>
      <c r="E1200">
        <v>2</v>
      </c>
      <c r="F1200">
        <v>4</v>
      </c>
      <c r="G1200" s="2">
        <v>7200</v>
      </c>
      <c r="H1200" s="4">
        <v>0.1</v>
      </c>
      <c r="I1200" s="2">
        <v>6480</v>
      </c>
      <c r="J1200" t="s">
        <v>253</v>
      </c>
      <c r="K1200" t="s">
        <v>254</v>
      </c>
      <c r="L1200">
        <v>5</v>
      </c>
      <c r="M1200" t="str">
        <f>_xlfn.XLOOKUP(E1200,tPacotes[ID_Pacote],tPacotes[Pacote])</f>
        <v>Rio Cidade Maravilhosa</v>
      </c>
      <c r="N1200" t="str">
        <f>_xlfn.XLOOKUP(E1200,tPacotes[ID_Pacote],tPacotes[Categoria])</f>
        <v>Cultural</v>
      </c>
      <c r="O1200" t="str">
        <f>_xlfn.XLOOKUP(D1200,tClientes[ID_Cliente],tClientes[UF])</f>
        <v>SP</v>
      </c>
    </row>
    <row r="1201" spans="1:15" x14ac:dyDescent="0.3">
      <c r="A1201">
        <v>1200</v>
      </c>
      <c r="B1201" s="3">
        <v>46209</v>
      </c>
      <c r="C1201" s="3">
        <v>46260</v>
      </c>
      <c r="D1201">
        <v>76</v>
      </c>
      <c r="E1201">
        <v>13</v>
      </c>
      <c r="F1201">
        <v>2</v>
      </c>
      <c r="G1201" s="2">
        <v>14600</v>
      </c>
      <c r="H1201" s="4">
        <v>0.05</v>
      </c>
      <c r="I1201" s="2">
        <v>13870</v>
      </c>
      <c r="J1201" t="s">
        <v>253</v>
      </c>
      <c r="K1201" t="s">
        <v>254</v>
      </c>
      <c r="L1201">
        <v>3</v>
      </c>
      <c r="M1201" t="str">
        <f>_xlfn.XLOOKUP(E1201,tPacotes[ID_Pacote],tPacotes[Pacote])</f>
        <v>Machu Picchu</v>
      </c>
      <c r="N1201" t="str">
        <f>_xlfn.XLOOKUP(E1201,tPacotes[ID_Pacote],tPacotes[Categoria])</f>
        <v>Aventura</v>
      </c>
      <c r="O1201" t="str">
        <f>_xlfn.XLOOKUP(D1201,tClientes[ID_Cliente],tClientes[UF])</f>
        <v>DF</v>
      </c>
    </row>
    <row r="1202" spans="1:15" x14ac:dyDescent="0.3">
      <c r="A1202">
        <v>1201</v>
      </c>
      <c r="B1202" s="3">
        <v>46209</v>
      </c>
      <c r="C1202" s="3">
        <v>46220</v>
      </c>
      <c r="D1202">
        <v>155</v>
      </c>
      <c r="E1202">
        <v>14</v>
      </c>
      <c r="F1202">
        <v>1</v>
      </c>
      <c r="G1202" s="2">
        <v>2900</v>
      </c>
      <c r="H1202" s="4">
        <v>0</v>
      </c>
      <c r="I1202" s="2">
        <v>2900</v>
      </c>
      <c r="J1202" t="s">
        <v>256</v>
      </c>
      <c r="K1202" t="s">
        <v>254</v>
      </c>
      <c r="L1202">
        <v>2</v>
      </c>
      <c r="M1202" t="str">
        <f>_xlfn.XLOOKUP(E1202,tPacotes[ID_Pacote],tPacotes[Pacote])</f>
        <v>Lençóis Maranhenses</v>
      </c>
      <c r="N1202" t="str">
        <f>_xlfn.XLOOKUP(E1202,tPacotes[ID_Pacote],tPacotes[Categoria])</f>
        <v>Natureza</v>
      </c>
      <c r="O1202" t="str">
        <f>_xlfn.XLOOKUP(D1202,tClientes[ID_Cliente],tClientes[UF])</f>
        <v>SP</v>
      </c>
    </row>
    <row r="1203" spans="1:15" x14ac:dyDescent="0.3">
      <c r="A1203">
        <v>1202</v>
      </c>
      <c r="B1203" s="3">
        <v>46210</v>
      </c>
      <c r="C1203" s="3">
        <v>46245</v>
      </c>
      <c r="D1203">
        <v>104</v>
      </c>
      <c r="E1203">
        <v>9</v>
      </c>
      <c r="F1203">
        <v>2</v>
      </c>
      <c r="G1203" s="2">
        <v>17800</v>
      </c>
      <c r="H1203" s="4">
        <v>0.05</v>
      </c>
      <c r="I1203" s="2">
        <v>16910</v>
      </c>
      <c r="J1203" t="s">
        <v>253</v>
      </c>
      <c r="K1203" t="s">
        <v>254</v>
      </c>
      <c r="L1203">
        <v>5</v>
      </c>
      <c r="M1203" t="str">
        <f>_xlfn.XLOOKUP(E1203,tPacotes[ID_Pacote],tPacotes[Pacote])</f>
        <v>Cancún All Inclusive</v>
      </c>
      <c r="N1203" t="str">
        <f>_xlfn.XLOOKUP(E1203,tPacotes[ID_Pacote],tPacotes[Categoria])</f>
        <v>Praia</v>
      </c>
      <c r="O1203" t="str">
        <f>_xlfn.XLOOKUP(D1203,tClientes[ID_Cliente],tClientes[UF])</f>
        <v>RJ</v>
      </c>
    </row>
    <row r="1204" spans="1:15" x14ac:dyDescent="0.3">
      <c r="A1204">
        <v>1203</v>
      </c>
      <c r="B1204" s="3">
        <v>46210</v>
      </c>
      <c r="C1204" s="3">
        <v>46222</v>
      </c>
      <c r="D1204">
        <v>16</v>
      </c>
      <c r="E1204">
        <v>1</v>
      </c>
      <c r="F1204">
        <v>2</v>
      </c>
      <c r="G1204" s="2">
        <v>6400</v>
      </c>
      <c r="H1204" s="4">
        <v>0</v>
      </c>
      <c r="I1204" s="2">
        <v>6400</v>
      </c>
      <c r="J1204" t="s">
        <v>253</v>
      </c>
      <c r="K1204" t="s">
        <v>254</v>
      </c>
      <c r="L1204">
        <v>2</v>
      </c>
      <c r="M1204" t="str">
        <f>_xlfn.XLOOKUP(E1204,tPacotes[ID_Pacote],tPacotes[Pacote])</f>
        <v>Nordeste Encantado</v>
      </c>
      <c r="N1204" t="str">
        <f>_xlfn.XLOOKUP(E1204,tPacotes[ID_Pacote],tPacotes[Categoria])</f>
        <v>Praia</v>
      </c>
      <c r="O1204" t="str">
        <f>_xlfn.XLOOKUP(D1204,tClientes[ID_Cliente],tClientes[UF])</f>
        <v>DF</v>
      </c>
    </row>
    <row r="1205" spans="1:15" x14ac:dyDescent="0.3">
      <c r="A1205">
        <v>1204</v>
      </c>
      <c r="B1205" s="3">
        <v>46211</v>
      </c>
      <c r="C1205" s="3">
        <v>46256</v>
      </c>
      <c r="D1205">
        <v>74</v>
      </c>
      <c r="E1205">
        <v>1</v>
      </c>
      <c r="F1205">
        <v>2</v>
      </c>
      <c r="G1205" s="2">
        <v>6400</v>
      </c>
      <c r="H1205" s="4">
        <v>0.05</v>
      </c>
      <c r="I1205" s="2">
        <v>6080</v>
      </c>
      <c r="J1205" t="s">
        <v>257</v>
      </c>
      <c r="K1205" t="s">
        <v>254</v>
      </c>
      <c r="L1205">
        <v>5</v>
      </c>
      <c r="M1205" t="str">
        <f>_xlfn.XLOOKUP(E1205,tPacotes[ID_Pacote],tPacotes[Pacote])</f>
        <v>Nordeste Encantado</v>
      </c>
      <c r="N1205" t="str">
        <f>_xlfn.XLOOKUP(E1205,tPacotes[ID_Pacote],tPacotes[Categoria])</f>
        <v>Praia</v>
      </c>
      <c r="O1205" t="str">
        <f>_xlfn.XLOOKUP(D1205,tClientes[ID_Cliente],tClientes[UF])</f>
        <v>SP</v>
      </c>
    </row>
    <row r="1206" spans="1:15" x14ac:dyDescent="0.3">
      <c r="A1206">
        <v>1205</v>
      </c>
      <c r="B1206" s="3">
        <v>46212</v>
      </c>
      <c r="C1206" s="3">
        <v>46269</v>
      </c>
      <c r="D1206">
        <v>39</v>
      </c>
      <c r="E1206">
        <v>1</v>
      </c>
      <c r="F1206">
        <v>2</v>
      </c>
      <c r="G1206" s="2">
        <v>6400</v>
      </c>
      <c r="H1206" s="4">
        <v>0.1</v>
      </c>
      <c r="I1206" s="2">
        <v>5760</v>
      </c>
      <c r="J1206" t="s">
        <v>253</v>
      </c>
      <c r="K1206" t="s">
        <v>254</v>
      </c>
      <c r="L1206">
        <v>4</v>
      </c>
      <c r="M1206" t="str">
        <f>_xlfn.XLOOKUP(E1206,tPacotes[ID_Pacote],tPacotes[Pacote])</f>
        <v>Nordeste Encantado</v>
      </c>
      <c r="N1206" t="str">
        <f>_xlfn.XLOOKUP(E1206,tPacotes[ID_Pacote],tPacotes[Categoria])</f>
        <v>Praia</v>
      </c>
      <c r="O1206" t="str">
        <f>_xlfn.XLOOKUP(D1206,tClientes[ID_Cliente],tClientes[UF])</f>
        <v>RJ</v>
      </c>
    </row>
    <row r="1207" spans="1:15" x14ac:dyDescent="0.3">
      <c r="A1207">
        <v>1206</v>
      </c>
      <c r="B1207" s="3">
        <v>46212</v>
      </c>
      <c r="C1207" s="3">
        <v>46262</v>
      </c>
      <c r="D1207">
        <v>147</v>
      </c>
      <c r="E1207">
        <v>4</v>
      </c>
      <c r="F1207">
        <v>2</v>
      </c>
      <c r="G1207" s="2">
        <v>13800</v>
      </c>
      <c r="H1207" s="4">
        <v>0</v>
      </c>
      <c r="I1207" s="2">
        <v>13800</v>
      </c>
      <c r="J1207" t="s">
        <v>253</v>
      </c>
      <c r="K1207" t="s">
        <v>254</v>
      </c>
      <c r="L1207">
        <v>4</v>
      </c>
      <c r="M1207" t="str">
        <f>_xlfn.XLOOKUP(E1207,tPacotes[ID_Pacote],tPacotes[Pacote])</f>
        <v>Fernando de Noronha</v>
      </c>
      <c r="N1207" t="str">
        <f>_xlfn.XLOOKUP(E1207,tPacotes[ID_Pacote],tPacotes[Categoria])</f>
        <v>Praia</v>
      </c>
      <c r="O1207" t="str">
        <f>_xlfn.XLOOKUP(D1207,tClientes[ID_Cliente],tClientes[UF])</f>
        <v>SP</v>
      </c>
    </row>
    <row r="1208" spans="1:15" x14ac:dyDescent="0.3">
      <c r="A1208">
        <v>1207</v>
      </c>
      <c r="B1208" s="3">
        <v>46212</v>
      </c>
      <c r="C1208" s="3">
        <v>46240</v>
      </c>
      <c r="D1208">
        <v>192</v>
      </c>
      <c r="E1208">
        <v>2</v>
      </c>
      <c r="F1208">
        <v>4</v>
      </c>
      <c r="G1208" s="2">
        <v>7200</v>
      </c>
      <c r="H1208" s="4">
        <v>0</v>
      </c>
      <c r="I1208" s="2">
        <v>7200</v>
      </c>
      <c r="J1208" t="s">
        <v>253</v>
      </c>
      <c r="K1208" t="s">
        <v>258</v>
      </c>
      <c r="M1208" t="str">
        <f>_xlfn.XLOOKUP(E1208,tPacotes[ID_Pacote],tPacotes[Pacote])</f>
        <v>Rio Cidade Maravilhosa</v>
      </c>
      <c r="N1208" t="str">
        <f>_xlfn.XLOOKUP(E1208,tPacotes[ID_Pacote],tPacotes[Categoria])</f>
        <v>Cultural</v>
      </c>
      <c r="O1208" t="str">
        <f>_xlfn.XLOOKUP(D1208,tClientes[ID_Cliente],tClientes[UF])</f>
        <v>SP</v>
      </c>
    </row>
    <row r="1209" spans="1:15" x14ac:dyDescent="0.3">
      <c r="A1209">
        <v>1208</v>
      </c>
      <c r="B1209" s="3">
        <v>46213</v>
      </c>
      <c r="C1209" s="3">
        <v>46263</v>
      </c>
      <c r="D1209">
        <v>13</v>
      </c>
      <c r="E1209">
        <v>9</v>
      </c>
      <c r="F1209">
        <v>3</v>
      </c>
      <c r="G1209" s="2">
        <v>26700</v>
      </c>
      <c r="H1209" s="4">
        <v>0.1</v>
      </c>
      <c r="I1209" s="2">
        <v>24030</v>
      </c>
      <c r="J1209" t="s">
        <v>255</v>
      </c>
      <c r="K1209" t="s">
        <v>254</v>
      </c>
      <c r="L1209">
        <v>4</v>
      </c>
      <c r="M1209" t="str">
        <f>_xlfn.XLOOKUP(E1209,tPacotes[ID_Pacote],tPacotes[Pacote])</f>
        <v>Cancún All Inclusive</v>
      </c>
      <c r="N1209" t="str">
        <f>_xlfn.XLOOKUP(E1209,tPacotes[ID_Pacote],tPacotes[Categoria])</f>
        <v>Praia</v>
      </c>
      <c r="O1209" t="str">
        <f>_xlfn.XLOOKUP(D1209,tClientes[ID_Cliente],tClientes[UF])</f>
        <v>RS</v>
      </c>
    </row>
    <row r="1210" spans="1:15" x14ac:dyDescent="0.3">
      <c r="A1210">
        <v>1209</v>
      </c>
      <c r="B1210" s="3">
        <v>46213</v>
      </c>
      <c r="C1210" s="3">
        <v>46239</v>
      </c>
      <c r="D1210">
        <v>144</v>
      </c>
      <c r="E1210">
        <v>13</v>
      </c>
      <c r="F1210">
        <v>4</v>
      </c>
      <c r="G1210" s="2">
        <v>29200</v>
      </c>
      <c r="H1210" s="4">
        <v>0.05</v>
      </c>
      <c r="I1210" s="2">
        <v>27740</v>
      </c>
      <c r="J1210" t="s">
        <v>256</v>
      </c>
      <c r="K1210" t="s">
        <v>254</v>
      </c>
      <c r="L1210">
        <v>5</v>
      </c>
      <c r="M1210" t="str">
        <f>_xlfn.XLOOKUP(E1210,tPacotes[ID_Pacote],tPacotes[Pacote])</f>
        <v>Machu Picchu</v>
      </c>
      <c r="N1210" t="str">
        <f>_xlfn.XLOOKUP(E1210,tPacotes[ID_Pacote],tPacotes[Categoria])</f>
        <v>Aventura</v>
      </c>
      <c r="O1210" t="str">
        <f>_xlfn.XLOOKUP(D1210,tClientes[ID_Cliente],tClientes[UF])</f>
        <v>DF</v>
      </c>
    </row>
    <row r="1211" spans="1:15" x14ac:dyDescent="0.3">
      <c r="A1211">
        <v>1210</v>
      </c>
      <c r="B1211" s="3">
        <v>46213</v>
      </c>
      <c r="C1211" s="3">
        <v>46228</v>
      </c>
      <c r="D1211">
        <v>72</v>
      </c>
      <c r="E1211">
        <v>12</v>
      </c>
      <c r="F1211">
        <v>2</v>
      </c>
      <c r="G1211" s="2">
        <v>24800</v>
      </c>
      <c r="H1211" s="4">
        <v>0.05</v>
      </c>
      <c r="I1211" s="2">
        <v>23560</v>
      </c>
      <c r="J1211" t="s">
        <v>255</v>
      </c>
      <c r="K1211" t="s">
        <v>254</v>
      </c>
      <c r="L1211">
        <v>4</v>
      </c>
      <c r="M1211" t="str">
        <f>_xlfn.XLOOKUP(E1211,tPacotes[ID_Pacote],tPacotes[Pacote])</f>
        <v>Lisboa e Porto</v>
      </c>
      <c r="N1211" t="str">
        <f>_xlfn.XLOOKUP(E1211,tPacotes[ID_Pacote],tPacotes[Categoria])</f>
        <v>Cultural</v>
      </c>
      <c r="O1211" t="str">
        <f>_xlfn.XLOOKUP(D1211,tClientes[ID_Cliente],tClientes[UF])</f>
        <v>PR</v>
      </c>
    </row>
    <row r="1212" spans="1:15" x14ac:dyDescent="0.3">
      <c r="A1212">
        <v>1211</v>
      </c>
      <c r="B1212" s="3">
        <v>46214</v>
      </c>
      <c r="C1212" s="3">
        <v>46246</v>
      </c>
      <c r="D1212">
        <v>173</v>
      </c>
      <c r="E1212">
        <v>3</v>
      </c>
      <c r="F1212">
        <v>1</v>
      </c>
      <c r="G1212" s="2">
        <v>2600</v>
      </c>
      <c r="H1212" s="4">
        <v>0.05</v>
      </c>
      <c r="I1212" s="2">
        <v>2470</v>
      </c>
      <c r="J1212" t="s">
        <v>253</v>
      </c>
      <c r="K1212" t="s">
        <v>254</v>
      </c>
      <c r="L1212">
        <v>4</v>
      </c>
      <c r="M1212" t="str">
        <f>_xlfn.XLOOKUP(E1212,tPacotes[ID_Pacote],tPacotes[Pacote])</f>
        <v>Serra Gaúcha</v>
      </c>
      <c r="N1212" t="str">
        <f>_xlfn.XLOOKUP(E1212,tPacotes[ID_Pacote],tPacotes[Categoria])</f>
        <v>Inverno</v>
      </c>
      <c r="O1212" t="str">
        <f>_xlfn.XLOOKUP(D1212,tClientes[ID_Cliente],tClientes[UF])</f>
        <v>BA</v>
      </c>
    </row>
    <row r="1213" spans="1:15" x14ac:dyDescent="0.3">
      <c r="A1213">
        <v>1212</v>
      </c>
      <c r="B1213" s="3">
        <v>46214</v>
      </c>
      <c r="C1213" s="3">
        <v>46301</v>
      </c>
      <c r="D1213">
        <v>182</v>
      </c>
      <c r="E1213">
        <v>14</v>
      </c>
      <c r="F1213">
        <v>2</v>
      </c>
      <c r="G1213" s="2">
        <v>5800</v>
      </c>
      <c r="H1213" s="4">
        <v>0.05</v>
      </c>
      <c r="I1213" s="2">
        <v>5510</v>
      </c>
      <c r="J1213" t="s">
        <v>257</v>
      </c>
      <c r="K1213" t="s">
        <v>254</v>
      </c>
      <c r="M1213" t="str">
        <f>_xlfn.XLOOKUP(E1213,tPacotes[ID_Pacote],tPacotes[Pacote])</f>
        <v>Lençóis Maranhenses</v>
      </c>
      <c r="N1213" t="str">
        <f>_xlfn.XLOOKUP(E1213,tPacotes[ID_Pacote],tPacotes[Categoria])</f>
        <v>Natureza</v>
      </c>
      <c r="O1213" t="str">
        <f>_xlfn.XLOOKUP(D1213,tClientes[ID_Cliente],tClientes[UF])</f>
        <v>MG</v>
      </c>
    </row>
    <row r="1214" spans="1:15" x14ac:dyDescent="0.3">
      <c r="A1214">
        <v>1213</v>
      </c>
      <c r="B1214" s="3">
        <v>46214</v>
      </c>
      <c r="C1214" s="3">
        <v>46290</v>
      </c>
      <c r="D1214">
        <v>77</v>
      </c>
      <c r="E1214">
        <v>15</v>
      </c>
      <c r="F1214">
        <v>1</v>
      </c>
      <c r="G1214" s="2">
        <v>3100</v>
      </c>
      <c r="H1214" s="4">
        <v>0.1</v>
      </c>
      <c r="I1214" s="2">
        <v>2790</v>
      </c>
      <c r="J1214" t="s">
        <v>253</v>
      </c>
      <c r="K1214" t="s">
        <v>254</v>
      </c>
      <c r="L1214">
        <v>4</v>
      </c>
      <c r="M1214" t="str">
        <f>_xlfn.XLOOKUP(E1214,tPacotes[ID_Pacote],tPacotes[Pacote])</f>
        <v>Jericoacoara</v>
      </c>
      <c r="N1214" t="str">
        <f>_xlfn.XLOOKUP(E1214,tPacotes[ID_Pacote],tPacotes[Categoria])</f>
        <v>Praia</v>
      </c>
      <c r="O1214" t="str">
        <f>_xlfn.XLOOKUP(D1214,tClientes[ID_Cliente],tClientes[UF])</f>
        <v>RJ</v>
      </c>
    </row>
    <row r="1215" spans="1:15" x14ac:dyDescent="0.3">
      <c r="A1215">
        <v>1214</v>
      </c>
      <c r="B1215" s="3">
        <v>46215</v>
      </c>
      <c r="C1215" s="3">
        <v>46235</v>
      </c>
      <c r="D1215">
        <v>33</v>
      </c>
      <c r="E1215">
        <v>13</v>
      </c>
      <c r="F1215">
        <v>1</v>
      </c>
      <c r="G1215" s="2">
        <v>7300</v>
      </c>
      <c r="H1215" s="4">
        <v>0.05</v>
      </c>
      <c r="I1215" s="2">
        <v>6935</v>
      </c>
      <c r="J1215" t="s">
        <v>253</v>
      </c>
      <c r="K1215" t="s">
        <v>254</v>
      </c>
      <c r="L1215">
        <v>5</v>
      </c>
      <c r="M1215" t="str">
        <f>_xlfn.XLOOKUP(E1215,tPacotes[ID_Pacote],tPacotes[Pacote])</f>
        <v>Machu Picchu</v>
      </c>
      <c r="N1215" t="str">
        <f>_xlfn.XLOOKUP(E1215,tPacotes[ID_Pacote],tPacotes[Categoria])</f>
        <v>Aventura</v>
      </c>
      <c r="O1215" t="str">
        <f>_xlfn.XLOOKUP(D1215,tClientes[ID_Cliente],tClientes[UF])</f>
        <v>PR</v>
      </c>
    </row>
    <row r="1216" spans="1:15" x14ac:dyDescent="0.3">
      <c r="A1216">
        <v>1215</v>
      </c>
      <c r="B1216" s="3">
        <v>46215</v>
      </c>
      <c r="C1216" s="3">
        <v>46379</v>
      </c>
      <c r="D1216">
        <v>141</v>
      </c>
      <c r="E1216">
        <v>1</v>
      </c>
      <c r="F1216">
        <v>2</v>
      </c>
      <c r="G1216" s="2">
        <v>6400</v>
      </c>
      <c r="H1216" s="4">
        <v>0.15</v>
      </c>
      <c r="I1216" s="2">
        <v>5440</v>
      </c>
      <c r="J1216" t="s">
        <v>257</v>
      </c>
      <c r="K1216" t="s">
        <v>254</v>
      </c>
      <c r="M1216" t="str">
        <f>_xlfn.XLOOKUP(E1216,tPacotes[ID_Pacote],tPacotes[Pacote])</f>
        <v>Nordeste Encantado</v>
      </c>
      <c r="N1216" t="str">
        <f>_xlfn.XLOOKUP(E1216,tPacotes[ID_Pacote],tPacotes[Categoria])</f>
        <v>Praia</v>
      </c>
      <c r="O1216" t="str">
        <f>_xlfn.XLOOKUP(D1216,tClientes[ID_Cliente],tClientes[UF])</f>
        <v>DF</v>
      </c>
    </row>
    <row r="1217" spans="1:15" x14ac:dyDescent="0.3">
      <c r="A1217">
        <v>1216</v>
      </c>
      <c r="B1217" s="3">
        <v>46215</v>
      </c>
      <c r="C1217" s="3">
        <v>46393</v>
      </c>
      <c r="D1217">
        <v>133</v>
      </c>
      <c r="E1217">
        <v>12</v>
      </c>
      <c r="F1217">
        <v>4</v>
      </c>
      <c r="G1217" s="2">
        <v>49600</v>
      </c>
      <c r="H1217" s="4">
        <v>0.15</v>
      </c>
      <c r="I1217" s="2">
        <v>42160</v>
      </c>
      <c r="J1217" t="s">
        <v>257</v>
      </c>
      <c r="K1217" t="s">
        <v>254</v>
      </c>
      <c r="M1217" t="str">
        <f>_xlfn.XLOOKUP(E1217,tPacotes[ID_Pacote],tPacotes[Pacote])</f>
        <v>Lisboa e Porto</v>
      </c>
      <c r="N1217" t="str">
        <f>_xlfn.XLOOKUP(E1217,tPacotes[ID_Pacote],tPacotes[Categoria])</f>
        <v>Cultural</v>
      </c>
      <c r="O1217" t="str">
        <f>_xlfn.XLOOKUP(D1217,tClientes[ID_Cliente],tClientes[UF])</f>
        <v>SP</v>
      </c>
    </row>
    <row r="1218" spans="1:15" x14ac:dyDescent="0.3">
      <c r="A1218">
        <v>1217</v>
      </c>
      <c r="B1218" s="3">
        <v>46216</v>
      </c>
      <c r="C1218" s="3">
        <v>46348</v>
      </c>
      <c r="D1218">
        <v>118</v>
      </c>
      <c r="E1218">
        <v>8</v>
      </c>
      <c r="F1218">
        <v>2</v>
      </c>
      <c r="G1218" s="2">
        <v>11800</v>
      </c>
      <c r="H1218" s="4">
        <v>0</v>
      </c>
      <c r="I1218" s="2">
        <v>11800</v>
      </c>
      <c r="J1218" t="s">
        <v>253</v>
      </c>
      <c r="K1218" t="s">
        <v>254</v>
      </c>
      <c r="M1218" t="str">
        <f>_xlfn.XLOOKUP(E1218,tPacotes[ID_Pacote],tPacotes[Pacote])</f>
        <v>Santiago e Neve</v>
      </c>
      <c r="N1218" t="str">
        <f>_xlfn.XLOOKUP(E1218,tPacotes[ID_Pacote],tPacotes[Categoria])</f>
        <v>Inverno</v>
      </c>
      <c r="O1218" t="str">
        <f>_xlfn.XLOOKUP(D1218,tClientes[ID_Cliente],tClientes[UF])</f>
        <v>SP</v>
      </c>
    </row>
    <row r="1219" spans="1:15" x14ac:dyDescent="0.3">
      <c r="A1219">
        <v>1218</v>
      </c>
      <c r="B1219" s="3">
        <v>46216</v>
      </c>
      <c r="C1219" s="3">
        <v>46234</v>
      </c>
      <c r="D1219">
        <v>49</v>
      </c>
      <c r="E1219">
        <v>12</v>
      </c>
      <c r="F1219">
        <v>4</v>
      </c>
      <c r="G1219" s="2">
        <v>49600</v>
      </c>
      <c r="H1219" s="4">
        <v>0</v>
      </c>
      <c r="I1219" s="2">
        <v>49600</v>
      </c>
      <c r="J1219" t="s">
        <v>257</v>
      </c>
      <c r="K1219" t="s">
        <v>258</v>
      </c>
      <c r="M1219" t="str">
        <f>_xlfn.XLOOKUP(E1219,tPacotes[ID_Pacote],tPacotes[Pacote])</f>
        <v>Lisboa e Porto</v>
      </c>
      <c r="N1219" t="str">
        <f>_xlfn.XLOOKUP(E1219,tPacotes[ID_Pacote],tPacotes[Categoria])</f>
        <v>Cultural</v>
      </c>
      <c r="O1219" t="str">
        <f>_xlfn.XLOOKUP(D1219,tClientes[ID_Cliente],tClientes[UF])</f>
        <v>RJ</v>
      </c>
    </row>
    <row r="1220" spans="1:15" x14ac:dyDescent="0.3">
      <c r="A1220">
        <v>1219</v>
      </c>
      <c r="B1220" s="3">
        <v>46216</v>
      </c>
      <c r="C1220" s="3">
        <v>46225</v>
      </c>
      <c r="D1220">
        <v>43</v>
      </c>
      <c r="E1220">
        <v>3</v>
      </c>
      <c r="F1220">
        <v>1</v>
      </c>
      <c r="G1220" s="2">
        <v>2600</v>
      </c>
      <c r="H1220" s="4">
        <v>0</v>
      </c>
      <c r="I1220" s="2">
        <v>2600</v>
      </c>
      <c r="J1220" t="s">
        <v>256</v>
      </c>
      <c r="K1220" t="s">
        <v>254</v>
      </c>
      <c r="L1220">
        <v>4</v>
      </c>
      <c r="M1220" t="str">
        <f>_xlfn.XLOOKUP(E1220,tPacotes[ID_Pacote],tPacotes[Pacote])</f>
        <v>Serra Gaúcha</v>
      </c>
      <c r="N1220" t="str">
        <f>_xlfn.XLOOKUP(E1220,tPacotes[ID_Pacote],tPacotes[Categoria])</f>
        <v>Inverno</v>
      </c>
      <c r="O1220" t="str">
        <f>_xlfn.XLOOKUP(D1220,tClientes[ID_Cliente],tClientes[UF])</f>
        <v>PR</v>
      </c>
    </row>
    <row r="1221" spans="1:15" x14ac:dyDescent="0.3">
      <c r="A1221">
        <v>1220</v>
      </c>
      <c r="B1221" s="3">
        <v>46216</v>
      </c>
      <c r="C1221" s="3">
        <v>46234</v>
      </c>
      <c r="D1221">
        <v>22</v>
      </c>
      <c r="E1221">
        <v>9</v>
      </c>
      <c r="F1221">
        <v>2</v>
      </c>
      <c r="G1221" s="2">
        <v>17800</v>
      </c>
      <c r="H1221" s="4">
        <v>0</v>
      </c>
      <c r="I1221" s="2">
        <v>17800</v>
      </c>
      <c r="J1221" t="s">
        <v>253</v>
      </c>
      <c r="K1221" t="s">
        <v>254</v>
      </c>
      <c r="L1221">
        <v>4</v>
      </c>
      <c r="M1221" t="str">
        <f>_xlfn.XLOOKUP(E1221,tPacotes[ID_Pacote],tPacotes[Pacote])</f>
        <v>Cancún All Inclusive</v>
      </c>
      <c r="N1221" t="str">
        <f>_xlfn.XLOOKUP(E1221,tPacotes[ID_Pacote],tPacotes[Categoria])</f>
        <v>Praia</v>
      </c>
      <c r="O1221" t="str">
        <f>_xlfn.XLOOKUP(D1221,tClientes[ID_Cliente],tClientes[UF])</f>
        <v>SP</v>
      </c>
    </row>
    <row r="1222" spans="1:15" x14ac:dyDescent="0.3">
      <c r="A1222">
        <v>1221</v>
      </c>
      <c r="B1222" s="3">
        <v>46216</v>
      </c>
      <c r="C1222" s="3">
        <v>46299</v>
      </c>
      <c r="D1222">
        <v>73</v>
      </c>
      <c r="E1222">
        <v>14</v>
      </c>
      <c r="F1222">
        <v>2</v>
      </c>
      <c r="G1222" s="2">
        <v>5800</v>
      </c>
      <c r="H1222" s="4">
        <v>0</v>
      </c>
      <c r="I1222" s="2">
        <v>5800</v>
      </c>
      <c r="J1222" t="s">
        <v>253</v>
      </c>
      <c r="K1222" t="s">
        <v>254</v>
      </c>
      <c r="M1222" t="str">
        <f>_xlfn.XLOOKUP(E1222,tPacotes[ID_Pacote],tPacotes[Pacote])</f>
        <v>Lençóis Maranhenses</v>
      </c>
      <c r="N1222" t="str">
        <f>_xlfn.XLOOKUP(E1222,tPacotes[ID_Pacote],tPacotes[Categoria])</f>
        <v>Natureza</v>
      </c>
      <c r="O1222" t="str">
        <f>_xlfn.XLOOKUP(D1222,tClientes[ID_Cliente],tClientes[UF])</f>
        <v>SP</v>
      </c>
    </row>
    <row r="1223" spans="1:15" x14ac:dyDescent="0.3">
      <c r="A1223">
        <v>1222</v>
      </c>
      <c r="B1223" s="3">
        <v>46216</v>
      </c>
      <c r="C1223" s="3">
        <v>46278</v>
      </c>
      <c r="D1223">
        <v>148</v>
      </c>
      <c r="E1223">
        <v>5</v>
      </c>
      <c r="F1223">
        <v>2</v>
      </c>
      <c r="G1223" s="2">
        <v>6800</v>
      </c>
      <c r="H1223" s="4">
        <v>0</v>
      </c>
      <c r="I1223" s="2">
        <v>6800</v>
      </c>
      <c r="J1223" t="s">
        <v>253</v>
      </c>
      <c r="K1223" t="s">
        <v>258</v>
      </c>
      <c r="M1223" t="str">
        <f>_xlfn.XLOOKUP(E1223,tPacotes[ID_Pacote],tPacotes[Pacote])</f>
        <v>Bonito Aventura</v>
      </c>
      <c r="N1223" t="str">
        <f>_xlfn.XLOOKUP(E1223,tPacotes[ID_Pacote],tPacotes[Categoria])</f>
        <v>Aventura</v>
      </c>
      <c r="O1223" t="str">
        <f>_xlfn.XLOOKUP(D1223,tClientes[ID_Cliente],tClientes[UF])</f>
        <v>SP</v>
      </c>
    </row>
    <row r="1224" spans="1:15" x14ac:dyDescent="0.3">
      <c r="A1224">
        <v>1223</v>
      </c>
      <c r="B1224" s="3">
        <v>46216</v>
      </c>
      <c r="C1224" s="3">
        <v>46239</v>
      </c>
      <c r="D1224">
        <v>74</v>
      </c>
      <c r="E1224">
        <v>15</v>
      </c>
      <c r="F1224">
        <v>2</v>
      </c>
      <c r="G1224" s="2">
        <v>6200</v>
      </c>
      <c r="H1224" s="4">
        <v>0.05</v>
      </c>
      <c r="I1224" s="2">
        <v>5890</v>
      </c>
      <c r="J1224" t="s">
        <v>257</v>
      </c>
      <c r="K1224" t="s">
        <v>254</v>
      </c>
      <c r="L1224">
        <v>4</v>
      </c>
      <c r="M1224" t="str">
        <f>_xlfn.XLOOKUP(E1224,tPacotes[ID_Pacote],tPacotes[Pacote])</f>
        <v>Jericoacoara</v>
      </c>
      <c r="N1224" t="str">
        <f>_xlfn.XLOOKUP(E1224,tPacotes[ID_Pacote],tPacotes[Categoria])</f>
        <v>Praia</v>
      </c>
      <c r="O1224" t="str">
        <f>_xlfn.XLOOKUP(D1224,tClientes[ID_Cliente],tClientes[UF])</f>
        <v>SP</v>
      </c>
    </row>
    <row r="1225" spans="1:15" x14ac:dyDescent="0.3">
      <c r="A1225">
        <v>1224</v>
      </c>
      <c r="B1225" s="3">
        <v>46217</v>
      </c>
      <c r="C1225" s="3">
        <v>46226</v>
      </c>
      <c r="D1225">
        <v>121</v>
      </c>
      <c r="E1225">
        <v>1</v>
      </c>
      <c r="F1225">
        <v>2</v>
      </c>
      <c r="G1225" s="2">
        <v>6400</v>
      </c>
      <c r="H1225" s="4">
        <v>0</v>
      </c>
      <c r="I1225" s="2">
        <v>6400</v>
      </c>
      <c r="J1225" t="s">
        <v>253</v>
      </c>
      <c r="K1225" t="s">
        <v>254</v>
      </c>
      <c r="L1225">
        <v>2</v>
      </c>
      <c r="M1225" t="str">
        <f>_xlfn.XLOOKUP(E1225,tPacotes[ID_Pacote],tPacotes[Pacote])</f>
        <v>Nordeste Encantado</v>
      </c>
      <c r="N1225" t="str">
        <f>_xlfn.XLOOKUP(E1225,tPacotes[ID_Pacote],tPacotes[Categoria])</f>
        <v>Praia</v>
      </c>
      <c r="O1225" t="str">
        <f>_xlfn.XLOOKUP(D1225,tClientes[ID_Cliente],tClientes[UF])</f>
        <v>RS</v>
      </c>
    </row>
    <row r="1226" spans="1:15" x14ac:dyDescent="0.3">
      <c r="A1226">
        <v>1225</v>
      </c>
      <c r="B1226" s="3">
        <v>46218</v>
      </c>
      <c r="C1226" s="3">
        <v>46308</v>
      </c>
      <c r="D1226">
        <v>129</v>
      </c>
      <c r="E1226">
        <v>2</v>
      </c>
      <c r="F1226">
        <v>2</v>
      </c>
      <c r="G1226" s="2">
        <v>3600</v>
      </c>
      <c r="H1226" s="4">
        <v>0</v>
      </c>
      <c r="I1226" s="2">
        <v>3600</v>
      </c>
      <c r="J1226" t="s">
        <v>255</v>
      </c>
      <c r="K1226" t="s">
        <v>254</v>
      </c>
      <c r="M1226" t="str">
        <f>_xlfn.XLOOKUP(E1226,tPacotes[ID_Pacote],tPacotes[Pacote])</f>
        <v>Rio Cidade Maravilhosa</v>
      </c>
      <c r="N1226" t="str">
        <f>_xlfn.XLOOKUP(E1226,tPacotes[ID_Pacote],tPacotes[Categoria])</f>
        <v>Cultural</v>
      </c>
      <c r="O1226" t="str">
        <f>_xlfn.XLOOKUP(D1226,tClientes[ID_Cliente],tClientes[UF])</f>
        <v>MG</v>
      </c>
    </row>
    <row r="1227" spans="1:15" x14ac:dyDescent="0.3">
      <c r="A1227">
        <v>1226</v>
      </c>
      <c r="B1227" s="3">
        <v>46218</v>
      </c>
      <c r="C1227" s="3">
        <v>46282</v>
      </c>
      <c r="D1227">
        <v>7</v>
      </c>
      <c r="E1227">
        <v>2</v>
      </c>
      <c r="F1227">
        <v>4</v>
      </c>
      <c r="G1227" s="2">
        <v>7200</v>
      </c>
      <c r="H1227" s="4">
        <v>0</v>
      </c>
      <c r="I1227" s="2">
        <v>7200</v>
      </c>
      <c r="J1227" t="s">
        <v>255</v>
      </c>
      <c r="K1227" t="s">
        <v>254</v>
      </c>
      <c r="L1227">
        <v>5</v>
      </c>
      <c r="M1227" t="str">
        <f>_xlfn.XLOOKUP(E1227,tPacotes[ID_Pacote],tPacotes[Pacote])</f>
        <v>Rio Cidade Maravilhosa</v>
      </c>
      <c r="N1227" t="str">
        <f>_xlfn.XLOOKUP(E1227,tPacotes[ID_Pacote],tPacotes[Categoria])</f>
        <v>Cultural</v>
      </c>
      <c r="O1227" t="str">
        <f>_xlfn.XLOOKUP(D1227,tClientes[ID_Cliente],tClientes[UF])</f>
        <v>SP</v>
      </c>
    </row>
    <row r="1228" spans="1:15" x14ac:dyDescent="0.3">
      <c r="A1228">
        <v>1227</v>
      </c>
      <c r="B1228" s="3">
        <v>46219</v>
      </c>
      <c r="C1228" s="3">
        <v>46228</v>
      </c>
      <c r="D1228">
        <v>77</v>
      </c>
      <c r="E1228">
        <v>11</v>
      </c>
      <c r="F1228">
        <v>2</v>
      </c>
      <c r="G1228" s="2">
        <v>31600</v>
      </c>
      <c r="H1228" s="4">
        <v>0</v>
      </c>
      <c r="I1228" s="2">
        <v>31600</v>
      </c>
      <c r="J1228" t="s">
        <v>255</v>
      </c>
      <c r="K1228" t="s">
        <v>258</v>
      </c>
      <c r="M1228" t="str">
        <f>_xlfn.XLOOKUP(E1228,tPacotes[ID_Pacote],tPacotes[Pacote])</f>
        <v>Paris e Londres</v>
      </c>
      <c r="N1228" t="str">
        <f>_xlfn.XLOOKUP(E1228,tPacotes[ID_Pacote],tPacotes[Categoria])</f>
        <v>Cultural</v>
      </c>
      <c r="O1228" t="str">
        <f>_xlfn.XLOOKUP(D1228,tClientes[ID_Cliente],tClientes[UF])</f>
        <v>RJ</v>
      </c>
    </row>
    <row r="1229" spans="1:15" x14ac:dyDescent="0.3">
      <c r="A1229">
        <v>1228</v>
      </c>
      <c r="B1229" s="3">
        <v>46219</v>
      </c>
      <c r="C1229" s="3">
        <v>46235</v>
      </c>
      <c r="D1229">
        <v>108</v>
      </c>
      <c r="E1229">
        <v>12</v>
      </c>
      <c r="F1229">
        <v>2</v>
      </c>
      <c r="G1229" s="2">
        <v>24800</v>
      </c>
      <c r="H1229" s="4">
        <v>0</v>
      </c>
      <c r="I1229" s="2">
        <v>24800</v>
      </c>
      <c r="J1229" t="s">
        <v>255</v>
      </c>
      <c r="K1229" t="s">
        <v>258</v>
      </c>
      <c r="M1229" t="str">
        <f>_xlfn.XLOOKUP(E1229,tPacotes[ID_Pacote],tPacotes[Pacote])</f>
        <v>Lisboa e Porto</v>
      </c>
      <c r="N1229" t="str">
        <f>_xlfn.XLOOKUP(E1229,tPacotes[ID_Pacote],tPacotes[Categoria])</f>
        <v>Cultural</v>
      </c>
      <c r="O1229" t="str">
        <f>_xlfn.XLOOKUP(D1229,tClientes[ID_Cliente],tClientes[UF])</f>
        <v>MG</v>
      </c>
    </row>
    <row r="1230" spans="1:15" x14ac:dyDescent="0.3">
      <c r="A1230">
        <v>1229</v>
      </c>
      <c r="B1230" s="3">
        <v>46219</v>
      </c>
      <c r="C1230" s="3">
        <v>46254</v>
      </c>
      <c r="D1230">
        <v>24</v>
      </c>
      <c r="E1230">
        <v>12</v>
      </c>
      <c r="F1230">
        <v>1</v>
      </c>
      <c r="G1230" s="2">
        <v>12400</v>
      </c>
      <c r="H1230" s="4">
        <v>0.1</v>
      </c>
      <c r="I1230" s="2">
        <v>11160</v>
      </c>
      <c r="J1230" t="s">
        <v>255</v>
      </c>
      <c r="K1230" t="s">
        <v>254</v>
      </c>
      <c r="L1230">
        <v>4</v>
      </c>
      <c r="M1230" t="str">
        <f>_xlfn.XLOOKUP(E1230,tPacotes[ID_Pacote],tPacotes[Pacote])</f>
        <v>Lisboa e Porto</v>
      </c>
      <c r="N1230" t="str">
        <f>_xlfn.XLOOKUP(E1230,tPacotes[ID_Pacote],tPacotes[Categoria])</f>
        <v>Cultural</v>
      </c>
      <c r="O1230" t="str">
        <f>_xlfn.XLOOKUP(D1230,tClientes[ID_Cliente],tClientes[UF])</f>
        <v>SP</v>
      </c>
    </row>
    <row r="1231" spans="1:15" x14ac:dyDescent="0.3">
      <c r="A1231">
        <v>1230</v>
      </c>
      <c r="B1231" s="3">
        <v>46219</v>
      </c>
      <c r="C1231" s="3">
        <v>46251</v>
      </c>
      <c r="D1231">
        <v>179</v>
      </c>
      <c r="E1231">
        <v>5</v>
      </c>
      <c r="F1231">
        <v>3</v>
      </c>
      <c r="G1231" s="2">
        <v>10200</v>
      </c>
      <c r="H1231" s="4">
        <v>0</v>
      </c>
      <c r="I1231" s="2">
        <v>10200</v>
      </c>
      <c r="J1231" t="s">
        <v>253</v>
      </c>
      <c r="K1231" t="s">
        <v>254</v>
      </c>
      <c r="L1231">
        <v>5</v>
      </c>
      <c r="M1231" t="str">
        <f>_xlfn.XLOOKUP(E1231,tPacotes[ID_Pacote],tPacotes[Pacote])</f>
        <v>Bonito Aventura</v>
      </c>
      <c r="N1231" t="str">
        <f>_xlfn.XLOOKUP(E1231,tPacotes[ID_Pacote],tPacotes[Categoria])</f>
        <v>Aventura</v>
      </c>
      <c r="O1231" t="str">
        <f>_xlfn.XLOOKUP(D1231,tClientes[ID_Cliente],tClientes[UF])</f>
        <v>SP</v>
      </c>
    </row>
    <row r="1232" spans="1:15" x14ac:dyDescent="0.3">
      <c r="A1232">
        <v>1231</v>
      </c>
      <c r="B1232" s="3">
        <v>46219</v>
      </c>
      <c r="C1232" s="3">
        <v>46284</v>
      </c>
      <c r="D1232">
        <v>171</v>
      </c>
      <c r="E1232">
        <v>7</v>
      </c>
      <c r="F1232">
        <v>2</v>
      </c>
      <c r="G1232" s="2">
        <v>8400</v>
      </c>
      <c r="H1232" s="4">
        <v>0.1</v>
      </c>
      <c r="I1232" s="2">
        <v>7560</v>
      </c>
      <c r="J1232" t="s">
        <v>257</v>
      </c>
      <c r="K1232" t="s">
        <v>254</v>
      </c>
      <c r="L1232">
        <v>4</v>
      </c>
      <c r="M1232" t="str">
        <f>_xlfn.XLOOKUP(E1232,tPacotes[ID_Pacote],tPacotes[Pacote])</f>
        <v>Buenos Aires Clássica</v>
      </c>
      <c r="N1232" t="str">
        <f>_xlfn.XLOOKUP(E1232,tPacotes[ID_Pacote],tPacotes[Categoria])</f>
        <v>Cultural</v>
      </c>
      <c r="O1232" t="str">
        <f>_xlfn.XLOOKUP(D1232,tClientes[ID_Cliente],tClientes[UF])</f>
        <v>SP</v>
      </c>
    </row>
    <row r="1233" spans="1:15" x14ac:dyDescent="0.3">
      <c r="A1233">
        <v>1232</v>
      </c>
      <c r="B1233" s="3">
        <v>46219</v>
      </c>
      <c r="C1233" s="3">
        <v>46252</v>
      </c>
      <c r="D1233">
        <v>83</v>
      </c>
      <c r="E1233">
        <v>1</v>
      </c>
      <c r="F1233">
        <v>2</v>
      </c>
      <c r="G1233" s="2">
        <v>6400</v>
      </c>
      <c r="H1233" s="4">
        <v>0</v>
      </c>
      <c r="I1233" s="2">
        <v>6400</v>
      </c>
      <c r="J1233" t="s">
        <v>257</v>
      </c>
      <c r="K1233" t="s">
        <v>254</v>
      </c>
      <c r="L1233">
        <v>3</v>
      </c>
      <c r="M1233" t="str">
        <f>_xlfn.XLOOKUP(E1233,tPacotes[ID_Pacote],tPacotes[Pacote])</f>
        <v>Nordeste Encantado</v>
      </c>
      <c r="N1233" t="str">
        <f>_xlfn.XLOOKUP(E1233,tPacotes[ID_Pacote],tPacotes[Categoria])</f>
        <v>Praia</v>
      </c>
      <c r="O1233" t="str">
        <f>_xlfn.XLOOKUP(D1233,tClientes[ID_Cliente],tClientes[UF])</f>
        <v>SP</v>
      </c>
    </row>
    <row r="1234" spans="1:15" x14ac:dyDescent="0.3">
      <c r="A1234">
        <v>1233</v>
      </c>
      <c r="B1234" s="3">
        <v>46220</v>
      </c>
      <c r="C1234" s="3">
        <v>46243</v>
      </c>
      <c r="D1234">
        <v>26</v>
      </c>
      <c r="E1234">
        <v>6</v>
      </c>
      <c r="F1234">
        <v>4</v>
      </c>
      <c r="G1234" s="2">
        <v>8400</v>
      </c>
      <c r="H1234" s="4">
        <v>0.05</v>
      </c>
      <c r="I1234" s="2">
        <v>7980</v>
      </c>
      <c r="J1234" t="s">
        <v>253</v>
      </c>
      <c r="K1234" t="s">
        <v>254</v>
      </c>
      <c r="L1234">
        <v>3</v>
      </c>
      <c r="M1234" t="str">
        <f>_xlfn.XLOOKUP(E1234,tPacotes[ID_Pacote],tPacotes[Pacote])</f>
        <v>Foz do Iguaçu</v>
      </c>
      <c r="N1234" t="str">
        <f>_xlfn.XLOOKUP(E1234,tPacotes[ID_Pacote],tPacotes[Categoria])</f>
        <v>Natureza</v>
      </c>
      <c r="O1234" t="str">
        <f>_xlfn.XLOOKUP(D1234,tClientes[ID_Cliente],tClientes[UF])</f>
        <v>SP</v>
      </c>
    </row>
    <row r="1235" spans="1:15" x14ac:dyDescent="0.3">
      <c r="A1235">
        <v>1234</v>
      </c>
      <c r="B1235" s="3">
        <v>46220</v>
      </c>
      <c r="C1235" s="3">
        <v>46238</v>
      </c>
      <c r="D1235">
        <v>5</v>
      </c>
      <c r="E1235">
        <v>7</v>
      </c>
      <c r="F1235">
        <v>1</v>
      </c>
      <c r="G1235" s="2">
        <v>4200</v>
      </c>
      <c r="H1235" s="4">
        <v>0.05</v>
      </c>
      <c r="I1235" s="2">
        <v>3990</v>
      </c>
      <c r="J1235" t="s">
        <v>253</v>
      </c>
      <c r="K1235" t="s">
        <v>254</v>
      </c>
      <c r="L1235">
        <v>4</v>
      </c>
      <c r="M1235" t="str">
        <f>_xlfn.XLOOKUP(E1235,tPacotes[ID_Pacote],tPacotes[Pacote])</f>
        <v>Buenos Aires Clássica</v>
      </c>
      <c r="N1235" t="str">
        <f>_xlfn.XLOOKUP(E1235,tPacotes[ID_Pacote],tPacotes[Categoria])</f>
        <v>Cultural</v>
      </c>
      <c r="O1235" t="str">
        <f>_xlfn.XLOOKUP(D1235,tClientes[ID_Cliente],tClientes[UF])</f>
        <v>MG</v>
      </c>
    </row>
    <row r="1236" spans="1:15" x14ac:dyDescent="0.3">
      <c r="A1236">
        <v>1235</v>
      </c>
      <c r="B1236" s="3">
        <v>46221</v>
      </c>
      <c r="C1236" s="3">
        <v>46299</v>
      </c>
      <c r="D1236">
        <v>122</v>
      </c>
      <c r="E1236">
        <v>10</v>
      </c>
      <c r="F1236">
        <v>3</v>
      </c>
      <c r="G1236" s="2">
        <v>34500</v>
      </c>
      <c r="H1236" s="4">
        <v>0</v>
      </c>
      <c r="I1236" s="2">
        <v>34500</v>
      </c>
      <c r="J1236" t="s">
        <v>253</v>
      </c>
      <c r="K1236" t="s">
        <v>254</v>
      </c>
      <c r="M1236" t="str">
        <f>_xlfn.XLOOKUP(E1236,tPacotes[ID_Pacote],tPacotes[Pacote])</f>
        <v>Orlando Parques</v>
      </c>
      <c r="N1236" t="str">
        <f>_xlfn.XLOOKUP(E1236,tPacotes[ID_Pacote],tPacotes[Categoria])</f>
        <v>Parques</v>
      </c>
      <c r="O1236" t="str">
        <f>_xlfn.XLOOKUP(D1236,tClientes[ID_Cliente],tClientes[UF])</f>
        <v>PR</v>
      </c>
    </row>
    <row r="1237" spans="1:15" x14ac:dyDescent="0.3">
      <c r="A1237">
        <v>1236</v>
      </c>
      <c r="B1237" s="3">
        <v>46222</v>
      </c>
      <c r="C1237" s="3">
        <v>46229</v>
      </c>
      <c r="D1237">
        <v>23</v>
      </c>
      <c r="E1237">
        <v>14</v>
      </c>
      <c r="F1237">
        <v>1</v>
      </c>
      <c r="G1237" s="2">
        <v>2900</v>
      </c>
      <c r="H1237" s="4">
        <v>0.05</v>
      </c>
      <c r="I1237" s="2">
        <v>2755</v>
      </c>
      <c r="J1237" t="s">
        <v>257</v>
      </c>
      <c r="K1237" t="s">
        <v>254</v>
      </c>
      <c r="L1237">
        <v>5</v>
      </c>
      <c r="M1237" t="str">
        <f>_xlfn.XLOOKUP(E1237,tPacotes[ID_Pacote],tPacotes[Pacote])</f>
        <v>Lençóis Maranhenses</v>
      </c>
      <c r="N1237" t="str">
        <f>_xlfn.XLOOKUP(E1237,tPacotes[ID_Pacote],tPacotes[Categoria])</f>
        <v>Natureza</v>
      </c>
      <c r="O1237" t="str">
        <f>_xlfn.XLOOKUP(D1237,tClientes[ID_Cliente],tClientes[UF])</f>
        <v>SP</v>
      </c>
    </row>
    <row r="1238" spans="1:15" x14ac:dyDescent="0.3">
      <c r="A1238">
        <v>1237</v>
      </c>
      <c r="B1238" s="3">
        <v>46222</v>
      </c>
      <c r="C1238" s="3">
        <v>46336</v>
      </c>
      <c r="D1238">
        <v>149</v>
      </c>
      <c r="E1238">
        <v>3</v>
      </c>
      <c r="F1238">
        <v>4</v>
      </c>
      <c r="G1238" s="2">
        <v>10400</v>
      </c>
      <c r="H1238" s="4">
        <v>0.15</v>
      </c>
      <c r="I1238" s="2">
        <v>8840</v>
      </c>
      <c r="J1238" t="s">
        <v>253</v>
      </c>
      <c r="K1238" t="s">
        <v>254</v>
      </c>
      <c r="M1238" t="str">
        <f>_xlfn.XLOOKUP(E1238,tPacotes[ID_Pacote],tPacotes[Pacote])</f>
        <v>Serra Gaúcha</v>
      </c>
      <c r="N1238" t="str">
        <f>_xlfn.XLOOKUP(E1238,tPacotes[ID_Pacote],tPacotes[Categoria])</f>
        <v>Inverno</v>
      </c>
      <c r="O1238" t="str">
        <f>_xlfn.XLOOKUP(D1238,tClientes[ID_Cliente],tClientes[UF])</f>
        <v>SP</v>
      </c>
    </row>
    <row r="1239" spans="1:15" x14ac:dyDescent="0.3">
      <c r="A1239">
        <v>1238</v>
      </c>
      <c r="B1239" s="3">
        <v>46222</v>
      </c>
      <c r="C1239" s="3">
        <v>46299</v>
      </c>
      <c r="D1239">
        <v>80</v>
      </c>
      <c r="E1239">
        <v>15</v>
      </c>
      <c r="F1239">
        <v>2</v>
      </c>
      <c r="G1239" s="2">
        <v>6200</v>
      </c>
      <c r="H1239" s="4">
        <v>0</v>
      </c>
      <c r="I1239" s="2">
        <v>6200</v>
      </c>
      <c r="J1239" t="s">
        <v>253</v>
      </c>
      <c r="K1239" t="s">
        <v>254</v>
      </c>
      <c r="M1239" t="str">
        <f>_xlfn.XLOOKUP(E1239,tPacotes[ID_Pacote],tPacotes[Pacote])</f>
        <v>Jericoacoara</v>
      </c>
      <c r="N1239" t="str">
        <f>_xlfn.XLOOKUP(E1239,tPacotes[ID_Pacote],tPacotes[Categoria])</f>
        <v>Praia</v>
      </c>
      <c r="O1239" t="str">
        <f>_xlfn.XLOOKUP(D1239,tClientes[ID_Cliente],tClientes[UF])</f>
        <v>SP</v>
      </c>
    </row>
    <row r="1240" spans="1:15" x14ac:dyDescent="0.3">
      <c r="A1240">
        <v>1239</v>
      </c>
      <c r="B1240" s="3">
        <v>46222</v>
      </c>
      <c r="C1240" s="3">
        <v>46254</v>
      </c>
      <c r="D1240">
        <v>130</v>
      </c>
      <c r="E1240">
        <v>12</v>
      </c>
      <c r="F1240">
        <v>2</v>
      </c>
      <c r="G1240" s="2">
        <v>24800</v>
      </c>
      <c r="H1240" s="4">
        <v>0</v>
      </c>
      <c r="I1240" s="2">
        <v>24800</v>
      </c>
      <c r="J1240" t="s">
        <v>255</v>
      </c>
      <c r="K1240" t="s">
        <v>254</v>
      </c>
      <c r="L1240">
        <v>4</v>
      </c>
      <c r="M1240" t="str">
        <f>_xlfn.XLOOKUP(E1240,tPacotes[ID_Pacote],tPacotes[Pacote])</f>
        <v>Lisboa e Porto</v>
      </c>
      <c r="N1240" t="str">
        <f>_xlfn.XLOOKUP(E1240,tPacotes[ID_Pacote],tPacotes[Categoria])</f>
        <v>Cultural</v>
      </c>
      <c r="O1240" t="str">
        <f>_xlfn.XLOOKUP(D1240,tClientes[ID_Cliente],tClientes[UF])</f>
        <v>SP</v>
      </c>
    </row>
    <row r="1241" spans="1:15" x14ac:dyDescent="0.3">
      <c r="A1241">
        <v>1240</v>
      </c>
      <c r="B1241" s="3">
        <v>46222</v>
      </c>
      <c r="C1241" s="3">
        <v>46253</v>
      </c>
      <c r="D1241">
        <v>118</v>
      </c>
      <c r="E1241">
        <v>6</v>
      </c>
      <c r="F1241">
        <v>4</v>
      </c>
      <c r="G1241" s="2">
        <v>8400</v>
      </c>
      <c r="H1241" s="4">
        <v>0.05</v>
      </c>
      <c r="I1241" s="2">
        <v>7980</v>
      </c>
      <c r="J1241" t="s">
        <v>253</v>
      </c>
      <c r="K1241" t="s">
        <v>254</v>
      </c>
      <c r="L1241">
        <v>3</v>
      </c>
      <c r="M1241" t="str">
        <f>_xlfn.XLOOKUP(E1241,tPacotes[ID_Pacote],tPacotes[Pacote])</f>
        <v>Foz do Iguaçu</v>
      </c>
      <c r="N1241" t="str">
        <f>_xlfn.XLOOKUP(E1241,tPacotes[ID_Pacote],tPacotes[Categoria])</f>
        <v>Natureza</v>
      </c>
      <c r="O1241" t="str">
        <f>_xlfn.XLOOKUP(D1241,tClientes[ID_Cliente],tClientes[UF])</f>
        <v>SP</v>
      </c>
    </row>
    <row r="1242" spans="1:15" x14ac:dyDescent="0.3">
      <c r="A1242">
        <v>1241</v>
      </c>
      <c r="B1242" s="3">
        <v>46222</v>
      </c>
      <c r="C1242" s="3">
        <v>46275</v>
      </c>
      <c r="D1242">
        <v>184</v>
      </c>
      <c r="E1242">
        <v>6</v>
      </c>
      <c r="F1242">
        <v>2</v>
      </c>
      <c r="G1242" s="2">
        <v>4200</v>
      </c>
      <c r="H1242" s="4">
        <v>0.05</v>
      </c>
      <c r="I1242" s="2">
        <v>3990</v>
      </c>
      <c r="J1242" t="s">
        <v>255</v>
      </c>
      <c r="K1242" t="s">
        <v>254</v>
      </c>
      <c r="L1242">
        <v>5</v>
      </c>
      <c r="M1242" t="str">
        <f>_xlfn.XLOOKUP(E1242,tPacotes[ID_Pacote],tPacotes[Pacote])</f>
        <v>Foz do Iguaçu</v>
      </c>
      <c r="N1242" t="str">
        <f>_xlfn.XLOOKUP(E1242,tPacotes[ID_Pacote],tPacotes[Categoria])</f>
        <v>Natureza</v>
      </c>
      <c r="O1242" t="str">
        <f>_xlfn.XLOOKUP(D1242,tClientes[ID_Cliente],tClientes[UF])</f>
        <v>SP</v>
      </c>
    </row>
    <row r="1243" spans="1:15" x14ac:dyDescent="0.3">
      <c r="A1243">
        <v>1242</v>
      </c>
      <c r="B1243" s="3">
        <v>46222</v>
      </c>
      <c r="C1243" s="3">
        <v>46303</v>
      </c>
      <c r="D1243">
        <v>83</v>
      </c>
      <c r="E1243">
        <v>7</v>
      </c>
      <c r="F1243">
        <v>2</v>
      </c>
      <c r="G1243" s="2">
        <v>8400</v>
      </c>
      <c r="H1243" s="4">
        <v>0</v>
      </c>
      <c r="I1243" s="2">
        <v>8400</v>
      </c>
      <c r="J1243" t="s">
        <v>253</v>
      </c>
      <c r="K1243" t="s">
        <v>258</v>
      </c>
      <c r="M1243" t="str">
        <f>_xlfn.XLOOKUP(E1243,tPacotes[ID_Pacote],tPacotes[Pacote])</f>
        <v>Buenos Aires Clássica</v>
      </c>
      <c r="N1243" t="str">
        <f>_xlfn.XLOOKUP(E1243,tPacotes[ID_Pacote],tPacotes[Categoria])</f>
        <v>Cultural</v>
      </c>
      <c r="O1243" t="str">
        <f>_xlfn.XLOOKUP(D1243,tClientes[ID_Cliente],tClientes[UF])</f>
        <v>SP</v>
      </c>
    </row>
    <row r="1244" spans="1:15" x14ac:dyDescent="0.3">
      <c r="A1244">
        <v>1243</v>
      </c>
      <c r="B1244" s="3">
        <v>46223</v>
      </c>
      <c r="C1244" s="3">
        <v>46373</v>
      </c>
      <c r="D1244">
        <v>154</v>
      </c>
      <c r="E1244">
        <v>6</v>
      </c>
      <c r="F1244">
        <v>2</v>
      </c>
      <c r="G1244" s="2">
        <v>4200</v>
      </c>
      <c r="H1244" s="4">
        <v>0</v>
      </c>
      <c r="I1244" s="2">
        <v>4200</v>
      </c>
      <c r="J1244" t="s">
        <v>255</v>
      </c>
      <c r="K1244" t="s">
        <v>254</v>
      </c>
      <c r="M1244" t="str">
        <f>_xlfn.XLOOKUP(E1244,tPacotes[ID_Pacote],tPacotes[Pacote])</f>
        <v>Foz do Iguaçu</v>
      </c>
      <c r="N1244" t="str">
        <f>_xlfn.XLOOKUP(E1244,tPacotes[ID_Pacote],tPacotes[Categoria])</f>
        <v>Natureza</v>
      </c>
      <c r="O1244" t="str">
        <f>_xlfn.XLOOKUP(D1244,tClientes[ID_Cliente],tClientes[UF])</f>
        <v>DF</v>
      </c>
    </row>
    <row r="1245" spans="1:15" x14ac:dyDescent="0.3">
      <c r="A1245">
        <v>1244</v>
      </c>
      <c r="B1245" s="3">
        <v>46223</v>
      </c>
      <c r="C1245" s="3">
        <v>46326</v>
      </c>
      <c r="D1245">
        <v>95</v>
      </c>
      <c r="E1245">
        <v>2</v>
      </c>
      <c r="F1245">
        <v>4</v>
      </c>
      <c r="G1245" s="2">
        <v>7200</v>
      </c>
      <c r="H1245" s="4">
        <v>0.1</v>
      </c>
      <c r="I1245" s="2">
        <v>6480</v>
      </c>
      <c r="J1245" t="s">
        <v>255</v>
      </c>
      <c r="K1245" t="s">
        <v>254</v>
      </c>
      <c r="M1245" t="str">
        <f>_xlfn.XLOOKUP(E1245,tPacotes[ID_Pacote],tPacotes[Pacote])</f>
        <v>Rio Cidade Maravilhosa</v>
      </c>
      <c r="N1245" t="str">
        <f>_xlfn.XLOOKUP(E1245,tPacotes[ID_Pacote],tPacotes[Categoria])</f>
        <v>Cultural</v>
      </c>
      <c r="O1245" t="str">
        <f>_xlfn.XLOOKUP(D1245,tClientes[ID_Cliente],tClientes[UF])</f>
        <v>PR</v>
      </c>
    </row>
    <row r="1246" spans="1:15" x14ac:dyDescent="0.3">
      <c r="A1246">
        <v>1245</v>
      </c>
      <c r="B1246" s="3">
        <v>46223</v>
      </c>
      <c r="C1246" s="3">
        <v>46358</v>
      </c>
      <c r="D1246">
        <v>193</v>
      </c>
      <c r="E1246">
        <v>7</v>
      </c>
      <c r="F1246">
        <v>1</v>
      </c>
      <c r="G1246" s="2">
        <v>4200</v>
      </c>
      <c r="H1246" s="4">
        <v>0</v>
      </c>
      <c r="I1246" s="2">
        <v>4200</v>
      </c>
      <c r="J1246" t="s">
        <v>256</v>
      </c>
      <c r="K1246" t="s">
        <v>254</v>
      </c>
      <c r="M1246" t="str">
        <f>_xlfn.XLOOKUP(E1246,tPacotes[ID_Pacote],tPacotes[Pacote])</f>
        <v>Buenos Aires Clássica</v>
      </c>
      <c r="N1246" t="str">
        <f>_xlfn.XLOOKUP(E1246,tPacotes[ID_Pacote],tPacotes[Categoria])</f>
        <v>Cultural</v>
      </c>
      <c r="O1246" t="str">
        <f>_xlfn.XLOOKUP(D1246,tClientes[ID_Cliente],tClientes[UF])</f>
        <v>SP</v>
      </c>
    </row>
    <row r="1247" spans="1:15" x14ac:dyDescent="0.3">
      <c r="A1247">
        <v>1246</v>
      </c>
      <c r="B1247" s="3">
        <v>46223</v>
      </c>
      <c r="C1247" s="3">
        <v>46403</v>
      </c>
      <c r="D1247">
        <v>175</v>
      </c>
      <c r="E1247">
        <v>2</v>
      </c>
      <c r="F1247">
        <v>2</v>
      </c>
      <c r="G1247" s="2">
        <v>3600</v>
      </c>
      <c r="H1247" s="4">
        <v>0.1</v>
      </c>
      <c r="I1247" s="2">
        <v>3240</v>
      </c>
      <c r="J1247" t="s">
        <v>256</v>
      </c>
      <c r="K1247" t="s">
        <v>254</v>
      </c>
      <c r="M1247" t="str">
        <f>_xlfn.XLOOKUP(E1247,tPacotes[ID_Pacote],tPacotes[Pacote])</f>
        <v>Rio Cidade Maravilhosa</v>
      </c>
      <c r="N1247" t="str">
        <f>_xlfn.XLOOKUP(E1247,tPacotes[ID_Pacote],tPacotes[Categoria])</f>
        <v>Cultural</v>
      </c>
      <c r="O1247" t="str">
        <f>_xlfn.XLOOKUP(D1247,tClientes[ID_Cliente],tClientes[UF])</f>
        <v>BA</v>
      </c>
    </row>
    <row r="1248" spans="1:15" x14ac:dyDescent="0.3">
      <c r="A1248">
        <v>1247</v>
      </c>
      <c r="B1248" s="3">
        <v>46223</v>
      </c>
      <c r="C1248" s="3">
        <v>46262</v>
      </c>
      <c r="D1248">
        <v>28</v>
      </c>
      <c r="E1248">
        <v>3</v>
      </c>
      <c r="F1248">
        <v>1</v>
      </c>
      <c r="G1248" s="2">
        <v>2600</v>
      </c>
      <c r="H1248" s="4">
        <v>0</v>
      </c>
      <c r="I1248" s="2">
        <v>2600</v>
      </c>
      <c r="J1248" t="s">
        <v>257</v>
      </c>
      <c r="K1248" t="s">
        <v>254</v>
      </c>
      <c r="L1248">
        <v>5</v>
      </c>
      <c r="M1248" t="str">
        <f>_xlfn.XLOOKUP(E1248,tPacotes[ID_Pacote],tPacotes[Pacote])</f>
        <v>Serra Gaúcha</v>
      </c>
      <c r="N1248" t="str">
        <f>_xlfn.XLOOKUP(E1248,tPacotes[ID_Pacote],tPacotes[Categoria])</f>
        <v>Inverno</v>
      </c>
      <c r="O1248" t="str">
        <f>_xlfn.XLOOKUP(D1248,tClientes[ID_Cliente],tClientes[UF])</f>
        <v>SP</v>
      </c>
    </row>
    <row r="1249" spans="1:15" x14ac:dyDescent="0.3">
      <c r="A1249">
        <v>1248</v>
      </c>
      <c r="B1249" s="3">
        <v>46223</v>
      </c>
      <c r="C1249" s="3">
        <v>46288</v>
      </c>
      <c r="D1249">
        <v>138</v>
      </c>
      <c r="E1249">
        <v>1</v>
      </c>
      <c r="F1249">
        <v>1</v>
      </c>
      <c r="G1249" s="2">
        <v>3200</v>
      </c>
      <c r="H1249" s="4">
        <v>0.1</v>
      </c>
      <c r="I1249" s="2">
        <v>2880</v>
      </c>
      <c r="J1249" t="s">
        <v>253</v>
      </c>
      <c r="K1249" t="s">
        <v>254</v>
      </c>
      <c r="L1249">
        <v>5</v>
      </c>
      <c r="M1249" t="str">
        <f>_xlfn.XLOOKUP(E1249,tPacotes[ID_Pacote],tPacotes[Pacote])</f>
        <v>Nordeste Encantado</v>
      </c>
      <c r="N1249" t="str">
        <f>_xlfn.XLOOKUP(E1249,tPacotes[ID_Pacote],tPacotes[Categoria])</f>
        <v>Praia</v>
      </c>
      <c r="O1249" t="str">
        <f>_xlfn.XLOOKUP(D1249,tClientes[ID_Cliente],tClientes[UF])</f>
        <v>SP</v>
      </c>
    </row>
    <row r="1250" spans="1:15" x14ac:dyDescent="0.3">
      <c r="A1250">
        <v>1249</v>
      </c>
      <c r="B1250" s="3">
        <v>46224</v>
      </c>
      <c r="C1250" s="3">
        <v>46239</v>
      </c>
      <c r="D1250">
        <v>78</v>
      </c>
      <c r="E1250">
        <v>1</v>
      </c>
      <c r="F1250">
        <v>1</v>
      </c>
      <c r="G1250" s="2">
        <v>3200</v>
      </c>
      <c r="H1250" s="4">
        <v>0</v>
      </c>
      <c r="I1250" s="2">
        <v>3200</v>
      </c>
      <c r="J1250" t="s">
        <v>256</v>
      </c>
      <c r="K1250" t="s">
        <v>254</v>
      </c>
      <c r="L1250">
        <v>4</v>
      </c>
      <c r="M1250" t="str">
        <f>_xlfn.XLOOKUP(E1250,tPacotes[ID_Pacote],tPacotes[Pacote])</f>
        <v>Nordeste Encantado</v>
      </c>
      <c r="N1250" t="str">
        <f>_xlfn.XLOOKUP(E1250,tPacotes[ID_Pacote],tPacotes[Categoria])</f>
        <v>Praia</v>
      </c>
      <c r="O1250" t="str">
        <f>_xlfn.XLOOKUP(D1250,tClientes[ID_Cliente],tClientes[UF])</f>
        <v>PR</v>
      </c>
    </row>
    <row r="1251" spans="1:15" x14ac:dyDescent="0.3">
      <c r="A1251">
        <v>1250</v>
      </c>
      <c r="B1251" s="3">
        <v>46224</v>
      </c>
      <c r="C1251" s="3">
        <v>46251</v>
      </c>
      <c r="D1251">
        <v>147</v>
      </c>
      <c r="E1251">
        <v>1</v>
      </c>
      <c r="F1251">
        <v>2</v>
      </c>
      <c r="G1251" s="2">
        <v>6400</v>
      </c>
      <c r="H1251" s="4">
        <v>0.05</v>
      </c>
      <c r="I1251" s="2">
        <v>6080</v>
      </c>
      <c r="J1251" t="s">
        <v>253</v>
      </c>
      <c r="K1251" t="s">
        <v>254</v>
      </c>
      <c r="L1251">
        <v>5</v>
      </c>
      <c r="M1251" t="str">
        <f>_xlfn.XLOOKUP(E1251,tPacotes[ID_Pacote],tPacotes[Pacote])</f>
        <v>Nordeste Encantado</v>
      </c>
      <c r="N1251" t="str">
        <f>_xlfn.XLOOKUP(E1251,tPacotes[ID_Pacote],tPacotes[Categoria])</f>
        <v>Praia</v>
      </c>
      <c r="O1251" t="str">
        <f>_xlfn.XLOOKUP(D1251,tClientes[ID_Cliente],tClientes[UF])</f>
        <v>SP</v>
      </c>
    </row>
    <row r="1252" spans="1:15" x14ac:dyDescent="0.3">
      <c r="A1252">
        <v>1251</v>
      </c>
      <c r="B1252" s="3">
        <v>46225</v>
      </c>
      <c r="C1252" s="3">
        <v>46239</v>
      </c>
      <c r="D1252">
        <v>50</v>
      </c>
      <c r="E1252">
        <v>15</v>
      </c>
      <c r="F1252">
        <v>2</v>
      </c>
      <c r="G1252" s="2">
        <v>6200</v>
      </c>
      <c r="H1252" s="4">
        <v>0</v>
      </c>
      <c r="I1252" s="2">
        <v>6200</v>
      </c>
      <c r="J1252" t="s">
        <v>255</v>
      </c>
      <c r="K1252" t="s">
        <v>254</v>
      </c>
      <c r="L1252">
        <v>4</v>
      </c>
      <c r="M1252" t="str">
        <f>_xlfn.XLOOKUP(E1252,tPacotes[ID_Pacote],tPacotes[Pacote])</f>
        <v>Jericoacoara</v>
      </c>
      <c r="N1252" t="str">
        <f>_xlfn.XLOOKUP(E1252,tPacotes[ID_Pacote],tPacotes[Categoria])</f>
        <v>Praia</v>
      </c>
      <c r="O1252" t="str">
        <f>_xlfn.XLOOKUP(D1252,tClientes[ID_Cliente],tClientes[UF])</f>
        <v>SP</v>
      </c>
    </row>
    <row r="1253" spans="1:15" x14ac:dyDescent="0.3">
      <c r="A1253">
        <v>1252</v>
      </c>
      <c r="B1253" s="3">
        <v>46225</v>
      </c>
      <c r="C1253" s="3">
        <v>46234</v>
      </c>
      <c r="D1253">
        <v>153</v>
      </c>
      <c r="E1253">
        <v>1</v>
      </c>
      <c r="F1253">
        <v>1</v>
      </c>
      <c r="G1253" s="2">
        <v>3200</v>
      </c>
      <c r="H1253" s="4">
        <v>0</v>
      </c>
      <c r="I1253" s="2">
        <v>3200</v>
      </c>
      <c r="J1253" t="s">
        <v>256</v>
      </c>
      <c r="K1253" t="s">
        <v>254</v>
      </c>
      <c r="L1253">
        <v>4</v>
      </c>
      <c r="M1253" t="str">
        <f>_xlfn.XLOOKUP(E1253,tPacotes[ID_Pacote],tPacotes[Pacote])</f>
        <v>Nordeste Encantado</v>
      </c>
      <c r="N1253" t="str">
        <f>_xlfn.XLOOKUP(E1253,tPacotes[ID_Pacote],tPacotes[Categoria])</f>
        <v>Praia</v>
      </c>
      <c r="O1253" t="str">
        <f>_xlfn.XLOOKUP(D1253,tClientes[ID_Cliente],tClientes[UF])</f>
        <v>SP</v>
      </c>
    </row>
    <row r="1254" spans="1:15" x14ac:dyDescent="0.3">
      <c r="A1254">
        <v>1253</v>
      </c>
      <c r="B1254" s="3">
        <v>46226</v>
      </c>
      <c r="C1254" s="3">
        <v>46255</v>
      </c>
      <c r="D1254">
        <v>108</v>
      </c>
      <c r="E1254">
        <v>1</v>
      </c>
      <c r="F1254">
        <v>2</v>
      </c>
      <c r="G1254" s="2">
        <v>6400</v>
      </c>
      <c r="H1254" s="4">
        <v>0.1</v>
      </c>
      <c r="I1254" s="2">
        <v>5760</v>
      </c>
      <c r="J1254" t="s">
        <v>257</v>
      </c>
      <c r="K1254" t="s">
        <v>254</v>
      </c>
      <c r="L1254">
        <v>4</v>
      </c>
      <c r="M1254" t="str">
        <f>_xlfn.XLOOKUP(E1254,tPacotes[ID_Pacote],tPacotes[Pacote])</f>
        <v>Nordeste Encantado</v>
      </c>
      <c r="N1254" t="str">
        <f>_xlfn.XLOOKUP(E1254,tPacotes[ID_Pacote],tPacotes[Categoria])</f>
        <v>Praia</v>
      </c>
      <c r="O1254" t="str">
        <f>_xlfn.XLOOKUP(D1254,tClientes[ID_Cliente],tClientes[UF])</f>
        <v>MG</v>
      </c>
    </row>
    <row r="1255" spans="1:15" x14ac:dyDescent="0.3">
      <c r="A1255">
        <v>1254</v>
      </c>
      <c r="B1255" s="3">
        <v>46226</v>
      </c>
      <c r="C1255" s="3">
        <v>46247</v>
      </c>
      <c r="D1255">
        <v>60</v>
      </c>
      <c r="E1255">
        <v>4</v>
      </c>
      <c r="F1255">
        <v>3</v>
      </c>
      <c r="G1255" s="2">
        <v>20700</v>
      </c>
      <c r="H1255" s="4">
        <v>0.05</v>
      </c>
      <c r="I1255" s="2">
        <v>19665</v>
      </c>
      <c r="J1255" t="s">
        <v>253</v>
      </c>
      <c r="K1255" t="s">
        <v>254</v>
      </c>
      <c r="L1255">
        <v>4</v>
      </c>
      <c r="M1255" t="str">
        <f>_xlfn.XLOOKUP(E1255,tPacotes[ID_Pacote],tPacotes[Pacote])</f>
        <v>Fernando de Noronha</v>
      </c>
      <c r="N1255" t="str">
        <f>_xlfn.XLOOKUP(E1255,tPacotes[ID_Pacote],tPacotes[Categoria])</f>
        <v>Praia</v>
      </c>
      <c r="O1255" t="str">
        <f>_xlfn.XLOOKUP(D1255,tClientes[ID_Cliente],tClientes[UF])</f>
        <v>PR</v>
      </c>
    </row>
    <row r="1256" spans="1:15" x14ac:dyDescent="0.3">
      <c r="A1256">
        <v>1255</v>
      </c>
      <c r="B1256" s="3">
        <v>46226</v>
      </c>
      <c r="C1256" s="3">
        <v>46244</v>
      </c>
      <c r="D1256">
        <v>67</v>
      </c>
      <c r="E1256">
        <v>8</v>
      </c>
      <c r="F1256">
        <v>2</v>
      </c>
      <c r="G1256" s="2">
        <v>11800</v>
      </c>
      <c r="H1256" s="4">
        <v>0.05</v>
      </c>
      <c r="I1256" s="2">
        <v>11210</v>
      </c>
      <c r="J1256" t="s">
        <v>255</v>
      </c>
      <c r="K1256" t="s">
        <v>254</v>
      </c>
      <c r="L1256">
        <v>5</v>
      </c>
      <c r="M1256" t="str">
        <f>_xlfn.XLOOKUP(E1256,tPacotes[ID_Pacote],tPacotes[Pacote])</f>
        <v>Santiago e Neve</v>
      </c>
      <c r="N1256" t="str">
        <f>_xlfn.XLOOKUP(E1256,tPacotes[ID_Pacote],tPacotes[Categoria])</f>
        <v>Inverno</v>
      </c>
      <c r="O1256" t="str">
        <f>_xlfn.XLOOKUP(D1256,tClientes[ID_Cliente],tClientes[UF])</f>
        <v>RJ</v>
      </c>
    </row>
    <row r="1257" spans="1:15" x14ac:dyDescent="0.3">
      <c r="A1257">
        <v>1256</v>
      </c>
      <c r="B1257" s="3">
        <v>46226</v>
      </c>
      <c r="C1257" s="3">
        <v>46239</v>
      </c>
      <c r="D1257">
        <v>56</v>
      </c>
      <c r="E1257">
        <v>9</v>
      </c>
      <c r="F1257">
        <v>5</v>
      </c>
      <c r="G1257" s="2">
        <v>44500</v>
      </c>
      <c r="H1257" s="4">
        <v>0</v>
      </c>
      <c r="I1257" s="2">
        <v>44500</v>
      </c>
      <c r="J1257" t="s">
        <v>253</v>
      </c>
      <c r="K1257" t="s">
        <v>254</v>
      </c>
      <c r="L1257">
        <v>4</v>
      </c>
      <c r="M1257" t="str">
        <f>_xlfn.XLOOKUP(E1257,tPacotes[ID_Pacote],tPacotes[Pacote])</f>
        <v>Cancún All Inclusive</v>
      </c>
      <c r="N1257" t="str">
        <f>_xlfn.XLOOKUP(E1257,tPacotes[ID_Pacote],tPacotes[Categoria])</f>
        <v>Praia</v>
      </c>
      <c r="O1257" t="str">
        <f>_xlfn.XLOOKUP(D1257,tClientes[ID_Cliente],tClientes[UF])</f>
        <v>RS</v>
      </c>
    </row>
    <row r="1258" spans="1:15" x14ac:dyDescent="0.3">
      <c r="A1258">
        <v>1257</v>
      </c>
      <c r="B1258" s="3">
        <v>46226</v>
      </c>
      <c r="C1258" s="3">
        <v>46275</v>
      </c>
      <c r="D1258">
        <v>21</v>
      </c>
      <c r="E1258">
        <v>1</v>
      </c>
      <c r="F1258">
        <v>4</v>
      </c>
      <c r="G1258" s="2">
        <v>12800</v>
      </c>
      <c r="H1258" s="4">
        <v>0.1</v>
      </c>
      <c r="I1258" s="2">
        <v>11520</v>
      </c>
      <c r="J1258" t="s">
        <v>257</v>
      </c>
      <c r="K1258" t="s">
        <v>254</v>
      </c>
      <c r="L1258">
        <v>4</v>
      </c>
      <c r="M1258" t="str">
        <f>_xlfn.XLOOKUP(E1258,tPacotes[ID_Pacote],tPacotes[Pacote])</f>
        <v>Nordeste Encantado</v>
      </c>
      <c r="N1258" t="str">
        <f>_xlfn.XLOOKUP(E1258,tPacotes[ID_Pacote],tPacotes[Categoria])</f>
        <v>Praia</v>
      </c>
      <c r="O1258" t="str">
        <f>_xlfn.XLOOKUP(D1258,tClientes[ID_Cliente],tClientes[UF])</f>
        <v>MG</v>
      </c>
    </row>
    <row r="1259" spans="1:15" x14ac:dyDescent="0.3">
      <c r="A1259">
        <v>1258</v>
      </c>
      <c r="B1259" s="3">
        <v>46226</v>
      </c>
      <c r="C1259" s="3">
        <v>46284</v>
      </c>
      <c r="D1259">
        <v>61</v>
      </c>
      <c r="E1259">
        <v>2</v>
      </c>
      <c r="F1259">
        <v>2</v>
      </c>
      <c r="G1259" s="2">
        <v>3600</v>
      </c>
      <c r="H1259" s="4">
        <v>0</v>
      </c>
      <c r="I1259" s="2">
        <v>3600</v>
      </c>
      <c r="J1259" t="s">
        <v>253</v>
      </c>
      <c r="K1259" t="s">
        <v>254</v>
      </c>
      <c r="L1259">
        <v>3</v>
      </c>
      <c r="M1259" t="str">
        <f>_xlfn.XLOOKUP(E1259,tPacotes[ID_Pacote],tPacotes[Pacote])</f>
        <v>Rio Cidade Maravilhosa</v>
      </c>
      <c r="N1259" t="str">
        <f>_xlfn.XLOOKUP(E1259,tPacotes[ID_Pacote],tPacotes[Categoria])</f>
        <v>Cultural</v>
      </c>
      <c r="O1259" t="str">
        <f>_xlfn.XLOOKUP(D1259,tClientes[ID_Cliente],tClientes[UF])</f>
        <v>DF</v>
      </c>
    </row>
    <row r="1260" spans="1:15" x14ac:dyDescent="0.3">
      <c r="A1260">
        <v>1259</v>
      </c>
      <c r="B1260" s="3">
        <v>46226</v>
      </c>
      <c r="C1260" s="3">
        <v>46308</v>
      </c>
      <c r="D1260">
        <v>90</v>
      </c>
      <c r="E1260">
        <v>15</v>
      </c>
      <c r="F1260">
        <v>2</v>
      </c>
      <c r="G1260" s="2">
        <v>6200</v>
      </c>
      <c r="H1260" s="4">
        <v>0.05</v>
      </c>
      <c r="I1260" s="2">
        <v>5890</v>
      </c>
      <c r="J1260" t="s">
        <v>256</v>
      </c>
      <c r="K1260" t="s">
        <v>254</v>
      </c>
      <c r="M1260" t="str">
        <f>_xlfn.XLOOKUP(E1260,tPacotes[ID_Pacote],tPacotes[Pacote])</f>
        <v>Jericoacoara</v>
      </c>
      <c r="N1260" t="str">
        <f>_xlfn.XLOOKUP(E1260,tPacotes[ID_Pacote],tPacotes[Categoria])</f>
        <v>Praia</v>
      </c>
      <c r="O1260" t="str">
        <f>_xlfn.XLOOKUP(D1260,tClientes[ID_Cliente],tClientes[UF])</f>
        <v>RS</v>
      </c>
    </row>
    <row r="1261" spans="1:15" x14ac:dyDescent="0.3">
      <c r="A1261">
        <v>1260</v>
      </c>
      <c r="B1261" s="3">
        <v>46227</v>
      </c>
      <c r="C1261" s="3">
        <v>46237</v>
      </c>
      <c r="D1261">
        <v>102</v>
      </c>
      <c r="E1261">
        <v>7</v>
      </c>
      <c r="F1261">
        <v>4</v>
      </c>
      <c r="G1261" s="2">
        <v>16800</v>
      </c>
      <c r="H1261" s="4">
        <v>0</v>
      </c>
      <c r="I1261" s="2">
        <v>16800</v>
      </c>
      <c r="J1261" t="s">
        <v>257</v>
      </c>
      <c r="K1261" t="s">
        <v>254</v>
      </c>
      <c r="L1261">
        <v>3</v>
      </c>
      <c r="M1261" t="str">
        <f>_xlfn.XLOOKUP(E1261,tPacotes[ID_Pacote],tPacotes[Pacote])</f>
        <v>Buenos Aires Clássica</v>
      </c>
      <c r="N1261" t="str">
        <f>_xlfn.XLOOKUP(E1261,tPacotes[ID_Pacote],tPacotes[Categoria])</f>
        <v>Cultural</v>
      </c>
      <c r="O1261" t="str">
        <f>_xlfn.XLOOKUP(D1261,tClientes[ID_Cliente],tClientes[UF])</f>
        <v>PR</v>
      </c>
    </row>
    <row r="1262" spans="1:15" x14ac:dyDescent="0.3">
      <c r="A1262">
        <v>1261</v>
      </c>
      <c r="B1262" s="3">
        <v>46227</v>
      </c>
      <c r="C1262" s="3">
        <v>46244</v>
      </c>
      <c r="D1262">
        <v>190</v>
      </c>
      <c r="E1262">
        <v>15</v>
      </c>
      <c r="F1262">
        <v>4</v>
      </c>
      <c r="G1262" s="2">
        <v>12400</v>
      </c>
      <c r="H1262" s="4">
        <v>0.05</v>
      </c>
      <c r="I1262" s="2">
        <v>11780</v>
      </c>
      <c r="J1262" t="s">
        <v>253</v>
      </c>
      <c r="K1262" t="s">
        <v>254</v>
      </c>
      <c r="L1262">
        <v>4</v>
      </c>
      <c r="M1262" t="str">
        <f>_xlfn.XLOOKUP(E1262,tPacotes[ID_Pacote],tPacotes[Pacote])</f>
        <v>Jericoacoara</v>
      </c>
      <c r="N1262" t="str">
        <f>_xlfn.XLOOKUP(E1262,tPacotes[ID_Pacote],tPacotes[Categoria])</f>
        <v>Praia</v>
      </c>
      <c r="O1262" t="str">
        <f>_xlfn.XLOOKUP(D1262,tClientes[ID_Cliente],tClientes[UF])</f>
        <v>SP</v>
      </c>
    </row>
    <row r="1263" spans="1:15" x14ac:dyDescent="0.3">
      <c r="A1263">
        <v>1262</v>
      </c>
      <c r="B1263" s="3">
        <v>46227</v>
      </c>
      <c r="C1263" s="3">
        <v>46260</v>
      </c>
      <c r="D1263">
        <v>24</v>
      </c>
      <c r="E1263">
        <v>14</v>
      </c>
      <c r="F1263">
        <v>2</v>
      </c>
      <c r="G1263" s="2">
        <v>5800</v>
      </c>
      <c r="H1263" s="4">
        <v>0.1</v>
      </c>
      <c r="I1263" s="2">
        <v>5220</v>
      </c>
      <c r="J1263" t="s">
        <v>257</v>
      </c>
      <c r="K1263" t="s">
        <v>254</v>
      </c>
      <c r="L1263">
        <v>2</v>
      </c>
      <c r="M1263" t="str">
        <f>_xlfn.XLOOKUP(E1263,tPacotes[ID_Pacote],tPacotes[Pacote])</f>
        <v>Lençóis Maranhenses</v>
      </c>
      <c r="N1263" t="str">
        <f>_xlfn.XLOOKUP(E1263,tPacotes[ID_Pacote],tPacotes[Categoria])</f>
        <v>Natureza</v>
      </c>
      <c r="O1263" t="str">
        <f>_xlfn.XLOOKUP(D1263,tClientes[ID_Cliente],tClientes[UF])</f>
        <v>SP</v>
      </c>
    </row>
    <row r="1264" spans="1:15" x14ac:dyDescent="0.3">
      <c r="A1264">
        <v>1263</v>
      </c>
      <c r="B1264" s="3">
        <v>46227</v>
      </c>
      <c r="C1264" s="3">
        <v>46291</v>
      </c>
      <c r="D1264">
        <v>2</v>
      </c>
      <c r="E1264">
        <v>3</v>
      </c>
      <c r="F1264">
        <v>2</v>
      </c>
      <c r="G1264" s="2">
        <v>5200</v>
      </c>
      <c r="H1264" s="4">
        <v>0</v>
      </c>
      <c r="I1264" s="2">
        <v>5200</v>
      </c>
      <c r="J1264" t="s">
        <v>253</v>
      </c>
      <c r="K1264" t="s">
        <v>254</v>
      </c>
      <c r="M1264" t="str">
        <f>_xlfn.XLOOKUP(E1264,tPacotes[ID_Pacote],tPacotes[Pacote])</f>
        <v>Serra Gaúcha</v>
      </c>
      <c r="N1264" t="str">
        <f>_xlfn.XLOOKUP(E1264,tPacotes[ID_Pacote],tPacotes[Categoria])</f>
        <v>Inverno</v>
      </c>
      <c r="O1264" t="str">
        <f>_xlfn.XLOOKUP(D1264,tClientes[ID_Cliente],tClientes[UF])</f>
        <v>RJ</v>
      </c>
    </row>
    <row r="1265" spans="1:15" x14ac:dyDescent="0.3">
      <c r="A1265">
        <v>1264</v>
      </c>
      <c r="B1265" s="3">
        <v>46227</v>
      </c>
      <c r="C1265" s="3">
        <v>46311</v>
      </c>
      <c r="D1265">
        <v>172</v>
      </c>
      <c r="E1265">
        <v>7</v>
      </c>
      <c r="F1265">
        <v>2</v>
      </c>
      <c r="G1265" s="2">
        <v>8400</v>
      </c>
      <c r="H1265" s="4">
        <v>0</v>
      </c>
      <c r="I1265" s="2">
        <v>8400</v>
      </c>
      <c r="J1265" t="s">
        <v>255</v>
      </c>
      <c r="K1265" t="s">
        <v>254</v>
      </c>
      <c r="M1265" t="str">
        <f>_xlfn.XLOOKUP(E1265,tPacotes[ID_Pacote],tPacotes[Pacote])</f>
        <v>Buenos Aires Clássica</v>
      </c>
      <c r="N1265" t="str">
        <f>_xlfn.XLOOKUP(E1265,tPacotes[ID_Pacote],tPacotes[Categoria])</f>
        <v>Cultural</v>
      </c>
      <c r="O1265" t="str">
        <f>_xlfn.XLOOKUP(D1265,tClientes[ID_Cliente],tClientes[UF])</f>
        <v>DF</v>
      </c>
    </row>
    <row r="1266" spans="1:15" x14ac:dyDescent="0.3">
      <c r="A1266">
        <v>1265</v>
      </c>
      <c r="B1266" s="3">
        <v>46228</v>
      </c>
      <c r="C1266" s="3">
        <v>46238</v>
      </c>
      <c r="D1266">
        <v>35</v>
      </c>
      <c r="E1266">
        <v>7</v>
      </c>
      <c r="F1266">
        <v>5</v>
      </c>
      <c r="G1266" s="2">
        <v>21000</v>
      </c>
      <c r="H1266" s="4">
        <v>0.05</v>
      </c>
      <c r="I1266" s="2">
        <v>19950</v>
      </c>
      <c r="J1266" t="s">
        <v>253</v>
      </c>
      <c r="K1266" t="s">
        <v>254</v>
      </c>
      <c r="L1266">
        <v>1</v>
      </c>
      <c r="M1266" t="str">
        <f>_xlfn.XLOOKUP(E1266,tPacotes[ID_Pacote],tPacotes[Pacote])</f>
        <v>Buenos Aires Clássica</v>
      </c>
      <c r="N1266" t="str">
        <f>_xlfn.XLOOKUP(E1266,tPacotes[ID_Pacote],tPacotes[Categoria])</f>
        <v>Cultural</v>
      </c>
      <c r="O1266" t="str">
        <f>_xlfn.XLOOKUP(D1266,tClientes[ID_Cliente],tClientes[UF])</f>
        <v>DF</v>
      </c>
    </row>
    <row r="1267" spans="1:15" x14ac:dyDescent="0.3">
      <c r="A1267">
        <v>1266</v>
      </c>
      <c r="B1267" s="3">
        <v>46228</v>
      </c>
      <c r="C1267" s="3">
        <v>46261</v>
      </c>
      <c r="D1267">
        <v>190</v>
      </c>
      <c r="E1267">
        <v>5</v>
      </c>
      <c r="F1267">
        <v>2</v>
      </c>
      <c r="G1267" s="2">
        <v>6800</v>
      </c>
      <c r="H1267" s="4">
        <v>0</v>
      </c>
      <c r="I1267" s="2">
        <v>6800</v>
      </c>
      <c r="J1267" t="s">
        <v>253</v>
      </c>
      <c r="K1267" t="s">
        <v>254</v>
      </c>
      <c r="L1267">
        <v>4</v>
      </c>
      <c r="M1267" t="str">
        <f>_xlfn.XLOOKUP(E1267,tPacotes[ID_Pacote],tPacotes[Pacote])</f>
        <v>Bonito Aventura</v>
      </c>
      <c r="N1267" t="str">
        <f>_xlfn.XLOOKUP(E1267,tPacotes[ID_Pacote],tPacotes[Categoria])</f>
        <v>Aventura</v>
      </c>
      <c r="O1267" t="str">
        <f>_xlfn.XLOOKUP(D1267,tClientes[ID_Cliente],tClientes[UF])</f>
        <v>SP</v>
      </c>
    </row>
    <row r="1268" spans="1:15" x14ac:dyDescent="0.3">
      <c r="A1268">
        <v>1267</v>
      </c>
      <c r="B1268" s="3">
        <v>46228</v>
      </c>
      <c r="C1268" s="3">
        <v>46240</v>
      </c>
      <c r="D1268">
        <v>185</v>
      </c>
      <c r="E1268">
        <v>10</v>
      </c>
      <c r="F1268">
        <v>1</v>
      </c>
      <c r="G1268" s="2">
        <v>11500</v>
      </c>
      <c r="H1268" s="4">
        <v>0.1</v>
      </c>
      <c r="I1268" s="2">
        <v>10350</v>
      </c>
      <c r="J1268" t="s">
        <v>253</v>
      </c>
      <c r="K1268" t="s">
        <v>258</v>
      </c>
      <c r="M1268" t="str">
        <f>_xlfn.XLOOKUP(E1268,tPacotes[ID_Pacote],tPacotes[Pacote])</f>
        <v>Orlando Parques</v>
      </c>
      <c r="N1268" t="str">
        <f>_xlfn.XLOOKUP(E1268,tPacotes[ID_Pacote],tPacotes[Categoria])</f>
        <v>Parques</v>
      </c>
      <c r="O1268" t="str">
        <f>_xlfn.XLOOKUP(D1268,tClientes[ID_Cliente],tClientes[UF])</f>
        <v>SP</v>
      </c>
    </row>
    <row r="1269" spans="1:15" x14ac:dyDescent="0.3">
      <c r="A1269">
        <v>1268</v>
      </c>
      <c r="B1269" s="3">
        <v>46229</v>
      </c>
      <c r="C1269" s="3">
        <v>46242</v>
      </c>
      <c r="D1269">
        <v>42</v>
      </c>
      <c r="E1269">
        <v>4</v>
      </c>
      <c r="F1269">
        <v>1</v>
      </c>
      <c r="G1269" s="2">
        <v>6900</v>
      </c>
      <c r="H1269" s="4">
        <v>0</v>
      </c>
      <c r="I1269" s="2">
        <v>6900</v>
      </c>
      <c r="J1269" t="s">
        <v>253</v>
      </c>
      <c r="K1269" t="s">
        <v>254</v>
      </c>
      <c r="L1269">
        <v>5</v>
      </c>
      <c r="M1269" t="str">
        <f>_xlfn.XLOOKUP(E1269,tPacotes[ID_Pacote],tPacotes[Pacote])</f>
        <v>Fernando de Noronha</v>
      </c>
      <c r="N1269" t="str">
        <f>_xlfn.XLOOKUP(E1269,tPacotes[ID_Pacote],tPacotes[Categoria])</f>
        <v>Praia</v>
      </c>
      <c r="O1269" t="str">
        <f>_xlfn.XLOOKUP(D1269,tClientes[ID_Cliente],tClientes[UF])</f>
        <v>SP</v>
      </c>
    </row>
    <row r="1270" spans="1:15" x14ac:dyDescent="0.3">
      <c r="A1270">
        <v>1269</v>
      </c>
      <c r="B1270" s="3">
        <v>46229</v>
      </c>
      <c r="C1270" s="3">
        <v>46288</v>
      </c>
      <c r="D1270">
        <v>1</v>
      </c>
      <c r="E1270">
        <v>5</v>
      </c>
      <c r="F1270">
        <v>1</v>
      </c>
      <c r="G1270" s="2">
        <v>3400</v>
      </c>
      <c r="H1270" s="4">
        <v>0</v>
      </c>
      <c r="I1270" s="2">
        <v>3400</v>
      </c>
      <c r="J1270" t="s">
        <v>257</v>
      </c>
      <c r="K1270" t="s">
        <v>254</v>
      </c>
      <c r="L1270">
        <v>4</v>
      </c>
      <c r="M1270" t="str">
        <f>_xlfn.XLOOKUP(E1270,tPacotes[ID_Pacote],tPacotes[Pacote])</f>
        <v>Bonito Aventura</v>
      </c>
      <c r="N1270" t="str">
        <f>_xlfn.XLOOKUP(E1270,tPacotes[ID_Pacote],tPacotes[Categoria])</f>
        <v>Aventura</v>
      </c>
      <c r="O1270" t="str">
        <f>_xlfn.XLOOKUP(D1270,tClientes[ID_Cliente],tClientes[UF])</f>
        <v>DF</v>
      </c>
    </row>
    <row r="1271" spans="1:15" x14ac:dyDescent="0.3">
      <c r="A1271">
        <v>1270</v>
      </c>
      <c r="B1271" s="3">
        <v>46229</v>
      </c>
      <c r="C1271" s="3">
        <v>46259</v>
      </c>
      <c r="D1271">
        <v>58</v>
      </c>
      <c r="E1271">
        <v>2</v>
      </c>
      <c r="F1271">
        <v>2</v>
      </c>
      <c r="G1271" s="2">
        <v>3600</v>
      </c>
      <c r="H1271" s="4">
        <v>0</v>
      </c>
      <c r="I1271" s="2">
        <v>3600</v>
      </c>
      <c r="J1271" t="s">
        <v>256</v>
      </c>
      <c r="K1271" t="s">
        <v>254</v>
      </c>
      <c r="L1271">
        <v>2</v>
      </c>
      <c r="M1271" t="str">
        <f>_xlfn.XLOOKUP(E1271,tPacotes[ID_Pacote],tPacotes[Pacote])</f>
        <v>Rio Cidade Maravilhosa</v>
      </c>
      <c r="N1271" t="str">
        <f>_xlfn.XLOOKUP(E1271,tPacotes[ID_Pacote],tPacotes[Categoria])</f>
        <v>Cultural</v>
      </c>
      <c r="O1271" t="str">
        <f>_xlfn.XLOOKUP(D1271,tClientes[ID_Cliente],tClientes[UF])</f>
        <v>SP</v>
      </c>
    </row>
    <row r="1272" spans="1:15" x14ac:dyDescent="0.3">
      <c r="A1272">
        <v>1271</v>
      </c>
      <c r="B1272" s="3">
        <v>46229</v>
      </c>
      <c r="C1272" s="3">
        <v>46303</v>
      </c>
      <c r="D1272">
        <v>150</v>
      </c>
      <c r="E1272">
        <v>3</v>
      </c>
      <c r="F1272">
        <v>4</v>
      </c>
      <c r="G1272" s="2">
        <v>10400</v>
      </c>
      <c r="H1272" s="4">
        <v>0.1</v>
      </c>
      <c r="I1272" s="2">
        <v>9360</v>
      </c>
      <c r="J1272" t="s">
        <v>256</v>
      </c>
      <c r="K1272" t="s">
        <v>258</v>
      </c>
      <c r="M1272" t="str">
        <f>_xlfn.XLOOKUP(E1272,tPacotes[ID_Pacote],tPacotes[Pacote])</f>
        <v>Serra Gaúcha</v>
      </c>
      <c r="N1272" t="str">
        <f>_xlfn.XLOOKUP(E1272,tPacotes[ID_Pacote],tPacotes[Categoria])</f>
        <v>Inverno</v>
      </c>
      <c r="O1272" t="str">
        <f>_xlfn.XLOOKUP(D1272,tClientes[ID_Cliente],tClientes[UF])</f>
        <v>SP</v>
      </c>
    </row>
    <row r="1273" spans="1:15" x14ac:dyDescent="0.3">
      <c r="A1273">
        <v>1272</v>
      </c>
      <c r="B1273" s="3">
        <v>46230</v>
      </c>
      <c r="C1273" s="3">
        <v>46266</v>
      </c>
      <c r="D1273">
        <v>140</v>
      </c>
      <c r="E1273">
        <v>3</v>
      </c>
      <c r="F1273">
        <v>2</v>
      </c>
      <c r="G1273" s="2">
        <v>5200</v>
      </c>
      <c r="H1273" s="4">
        <v>0</v>
      </c>
      <c r="I1273" s="2">
        <v>5200</v>
      </c>
      <c r="J1273" t="s">
        <v>253</v>
      </c>
      <c r="K1273" t="s">
        <v>254</v>
      </c>
      <c r="L1273">
        <v>3</v>
      </c>
      <c r="M1273" t="str">
        <f>_xlfn.XLOOKUP(E1273,tPacotes[ID_Pacote],tPacotes[Pacote])</f>
        <v>Serra Gaúcha</v>
      </c>
      <c r="N1273" t="str">
        <f>_xlfn.XLOOKUP(E1273,tPacotes[ID_Pacote],tPacotes[Categoria])</f>
        <v>Inverno</v>
      </c>
      <c r="O1273" t="str">
        <f>_xlfn.XLOOKUP(D1273,tClientes[ID_Cliente],tClientes[UF])</f>
        <v>RJ</v>
      </c>
    </row>
    <row r="1274" spans="1:15" x14ac:dyDescent="0.3">
      <c r="A1274">
        <v>1273</v>
      </c>
      <c r="B1274" s="3">
        <v>46230</v>
      </c>
      <c r="C1274" s="3">
        <v>46312</v>
      </c>
      <c r="D1274">
        <v>37</v>
      </c>
      <c r="E1274">
        <v>9</v>
      </c>
      <c r="F1274">
        <v>2</v>
      </c>
      <c r="G1274" s="2">
        <v>17800</v>
      </c>
      <c r="H1274" s="4">
        <v>0</v>
      </c>
      <c r="I1274" s="2">
        <v>17800</v>
      </c>
      <c r="J1274" t="s">
        <v>257</v>
      </c>
      <c r="K1274" t="s">
        <v>254</v>
      </c>
      <c r="M1274" t="str">
        <f>_xlfn.XLOOKUP(E1274,tPacotes[ID_Pacote],tPacotes[Pacote])</f>
        <v>Cancún All Inclusive</v>
      </c>
      <c r="N1274" t="str">
        <f>_xlfn.XLOOKUP(E1274,tPacotes[ID_Pacote],tPacotes[Categoria])</f>
        <v>Praia</v>
      </c>
      <c r="O1274" t="str">
        <f>_xlfn.XLOOKUP(D1274,tClientes[ID_Cliente],tClientes[UF])</f>
        <v>DF</v>
      </c>
    </row>
    <row r="1275" spans="1:15" x14ac:dyDescent="0.3">
      <c r="A1275">
        <v>1274</v>
      </c>
      <c r="B1275" s="3">
        <v>46230</v>
      </c>
      <c r="C1275" s="3">
        <v>46260</v>
      </c>
      <c r="D1275">
        <v>94</v>
      </c>
      <c r="E1275">
        <v>1</v>
      </c>
      <c r="F1275">
        <v>2</v>
      </c>
      <c r="G1275" s="2">
        <v>6400</v>
      </c>
      <c r="H1275" s="4">
        <v>0.05</v>
      </c>
      <c r="I1275" s="2">
        <v>6080</v>
      </c>
      <c r="J1275" t="s">
        <v>253</v>
      </c>
      <c r="K1275" t="s">
        <v>254</v>
      </c>
      <c r="L1275">
        <v>3</v>
      </c>
      <c r="M1275" t="str">
        <f>_xlfn.XLOOKUP(E1275,tPacotes[ID_Pacote],tPacotes[Pacote])</f>
        <v>Nordeste Encantado</v>
      </c>
      <c r="N1275" t="str">
        <f>_xlfn.XLOOKUP(E1275,tPacotes[ID_Pacote],tPacotes[Categoria])</f>
        <v>Praia</v>
      </c>
      <c r="O1275" t="str">
        <f>_xlfn.XLOOKUP(D1275,tClientes[ID_Cliente],tClientes[UF])</f>
        <v>RJ</v>
      </c>
    </row>
    <row r="1276" spans="1:15" x14ac:dyDescent="0.3">
      <c r="A1276">
        <v>1275</v>
      </c>
      <c r="B1276" s="3">
        <v>46230</v>
      </c>
      <c r="C1276" s="3">
        <v>46242</v>
      </c>
      <c r="D1276">
        <v>140</v>
      </c>
      <c r="E1276">
        <v>13</v>
      </c>
      <c r="F1276">
        <v>3</v>
      </c>
      <c r="G1276" s="2">
        <v>21900</v>
      </c>
      <c r="H1276" s="4">
        <v>0.1</v>
      </c>
      <c r="I1276" s="2">
        <v>19710</v>
      </c>
      <c r="J1276" t="s">
        <v>255</v>
      </c>
      <c r="K1276" t="s">
        <v>254</v>
      </c>
      <c r="L1276">
        <v>5</v>
      </c>
      <c r="M1276" t="str">
        <f>_xlfn.XLOOKUP(E1276,tPacotes[ID_Pacote],tPacotes[Pacote])</f>
        <v>Machu Picchu</v>
      </c>
      <c r="N1276" t="str">
        <f>_xlfn.XLOOKUP(E1276,tPacotes[ID_Pacote],tPacotes[Categoria])</f>
        <v>Aventura</v>
      </c>
      <c r="O1276" t="str">
        <f>_xlfn.XLOOKUP(D1276,tClientes[ID_Cliente],tClientes[UF])</f>
        <v>RJ</v>
      </c>
    </row>
    <row r="1277" spans="1:15" x14ac:dyDescent="0.3">
      <c r="A1277">
        <v>1276</v>
      </c>
      <c r="B1277" s="3">
        <v>46231</v>
      </c>
      <c r="C1277" s="3">
        <v>46296</v>
      </c>
      <c r="D1277">
        <v>34</v>
      </c>
      <c r="E1277">
        <v>1</v>
      </c>
      <c r="F1277">
        <v>3</v>
      </c>
      <c r="G1277" s="2">
        <v>9600</v>
      </c>
      <c r="H1277" s="4">
        <v>0.1</v>
      </c>
      <c r="I1277" s="2">
        <v>8640</v>
      </c>
      <c r="J1277" t="s">
        <v>253</v>
      </c>
      <c r="K1277" t="s">
        <v>254</v>
      </c>
      <c r="M1277" t="str">
        <f>_xlfn.XLOOKUP(E1277,tPacotes[ID_Pacote],tPacotes[Pacote])</f>
        <v>Nordeste Encantado</v>
      </c>
      <c r="N1277" t="str">
        <f>_xlfn.XLOOKUP(E1277,tPacotes[ID_Pacote],tPacotes[Categoria])</f>
        <v>Praia</v>
      </c>
      <c r="O1277" t="str">
        <f>_xlfn.XLOOKUP(D1277,tClientes[ID_Cliente],tClientes[UF])</f>
        <v>SP</v>
      </c>
    </row>
    <row r="1278" spans="1:15" x14ac:dyDescent="0.3">
      <c r="A1278">
        <v>1277</v>
      </c>
      <c r="B1278" s="3">
        <v>46231</v>
      </c>
      <c r="C1278" s="3">
        <v>46243</v>
      </c>
      <c r="D1278">
        <v>59</v>
      </c>
      <c r="E1278">
        <v>7</v>
      </c>
      <c r="F1278">
        <v>4</v>
      </c>
      <c r="G1278" s="2">
        <v>16800</v>
      </c>
      <c r="H1278" s="4">
        <v>0</v>
      </c>
      <c r="I1278" s="2">
        <v>16800</v>
      </c>
      <c r="J1278" t="s">
        <v>255</v>
      </c>
      <c r="K1278" t="s">
        <v>254</v>
      </c>
      <c r="L1278">
        <v>3</v>
      </c>
      <c r="M1278" t="str">
        <f>_xlfn.XLOOKUP(E1278,tPacotes[ID_Pacote],tPacotes[Pacote])</f>
        <v>Buenos Aires Clássica</v>
      </c>
      <c r="N1278" t="str">
        <f>_xlfn.XLOOKUP(E1278,tPacotes[ID_Pacote],tPacotes[Categoria])</f>
        <v>Cultural</v>
      </c>
      <c r="O1278" t="str">
        <f>_xlfn.XLOOKUP(D1278,tClientes[ID_Cliente],tClientes[UF])</f>
        <v>DF</v>
      </c>
    </row>
    <row r="1279" spans="1:15" x14ac:dyDescent="0.3">
      <c r="A1279">
        <v>1278</v>
      </c>
      <c r="B1279" s="3">
        <v>46231</v>
      </c>
      <c r="C1279" s="3">
        <v>46257</v>
      </c>
      <c r="D1279">
        <v>180</v>
      </c>
      <c r="E1279">
        <v>1</v>
      </c>
      <c r="F1279">
        <v>2</v>
      </c>
      <c r="G1279" s="2">
        <v>6400</v>
      </c>
      <c r="H1279" s="4">
        <v>0</v>
      </c>
      <c r="I1279" s="2">
        <v>6400</v>
      </c>
      <c r="J1279" t="s">
        <v>255</v>
      </c>
      <c r="K1279" t="s">
        <v>254</v>
      </c>
      <c r="L1279">
        <v>5</v>
      </c>
      <c r="M1279" t="str">
        <f>_xlfn.XLOOKUP(E1279,tPacotes[ID_Pacote],tPacotes[Pacote])</f>
        <v>Nordeste Encantado</v>
      </c>
      <c r="N1279" t="str">
        <f>_xlfn.XLOOKUP(E1279,tPacotes[ID_Pacote],tPacotes[Categoria])</f>
        <v>Praia</v>
      </c>
      <c r="O1279" t="str">
        <f>_xlfn.XLOOKUP(D1279,tClientes[ID_Cliente],tClientes[UF])</f>
        <v>PR</v>
      </c>
    </row>
    <row r="1280" spans="1:15" x14ac:dyDescent="0.3">
      <c r="A1280">
        <v>1279</v>
      </c>
      <c r="B1280" s="3">
        <v>46232</v>
      </c>
      <c r="C1280" s="3">
        <v>46379</v>
      </c>
      <c r="D1280">
        <v>43</v>
      </c>
      <c r="E1280">
        <v>10</v>
      </c>
      <c r="F1280">
        <v>1</v>
      </c>
      <c r="G1280" s="2">
        <v>11500</v>
      </c>
      <c r="H1280" s="4">
        <v>0</v>
      </c>
      <c r="I1280" s="2">
        <v>11500</v>
      </c>
      <c r="J1280" t="s">
        <v>256</v>
      </c>
      <c r="K1280" t="s">
        <v>254</v>
      </c>
      <c r="M1280" t="str">
        <f>_xlfn.XLOOKUP(E1280,tPacotes[ID_Pacote],tPacotes[Pacote])</f>
        <v>Orlando Parques</v>
      </c>
      <c r="N1280" t="str">
        <f>_xlfn.XLOOKUP(E1280,tPacotes[ID_Pacote],tPacotes[Categoria])</f>
        <v>Parques</v>
      </c>
      <c r="O1280" t="str">
        <f>_xlfn.XLOOKUP(D1280,tClientes[ID_Cliente],tClientes[UF])</f>
        <v>PR</v>
      </c>
    </row>
    <row r="1281" spans="1:15" x14ac:dyDescent="0.3">
      <c r="A1281">
        <v>1280</v>
      </c>
      <c r="B1281" s="3">
        <v>46232</v>
      </c>
      <c r="C1281" s="3">
        <v>46381</v>
      </c>
      <c r="D1281">
        <v>187</v>
      </c>
      <c r="E1281">
        <v>5</v>
      </c>
      <c r="F1281">
        <v>3</v>
      </c>
      <c r="G1281" s="2">
        <v>10200</v>
      </c>
      <c r="H1281" s="4">
        <v>0</v>
      </c>
      <c r="I1281" s="2">
        <v>10200</v>
      </c>
      <c r="J1281" t="s">
        <v>257</v>
      </c>
      <c r="K1281" t="s">
        <v>254</v>
      </c>
      <c r="M1281" t="str">
        <f>_xlfn.XLOOKUP(E1281,tPacotes[ID_Pacote],tPacotes[Pacote])</f>
        <v>Bonito Aventura</v>
      </c>
      <c r="N1281" t="str">
        <f>_xlfn.XLOOKUP(E1281,tPacotes[ID_Pacote],tPacotes[Categoria])</f>
        <v>Aventura</v>
      </c>
      <c r="O1281" t="str">
        <f>_xlfn.XLOOKUP(D1281,tClientes[ID_Cliente],tClientes[UF])</f>
        <v>BA</v>
      </c>
    </row>
    <row r="1282" spans="1:15" x14ac:dyDescent="0.3">
      <c r="A1282">
        <v>1281</v>
      </c>
      <c r="B1282" s="3">
        <v>46233</v>
      </c>
      <c r="C1282" s="3">
        <v>46413</v>
      </c>
      <c r="D1282">
        <v>153</v>
      </c>
      <c r="E1282">
        <v>14</v>
      </c>
      <c r="F1282">
        <v>1</v>
      </c>
      <c r="G1282" s="2">
        <v>2900</v>
      </c>
      <c r="H1282" s="4">
        <v>0.1</v>
      </c>
      <c r="I1282" s="2">
        <v>2610</v>
      </c>
      <c r="J1282" t="s">
        <v>256</v>
      </c>
      <c r="K1282" t="s">
        <v>254</v>
      </c>
      <c r="M1282" t="str">
        <f>_xlfn.XLOOKUP(E1282,tPacotes[ID_Pacote],tPacotes[Pacote])</f>
        <v>Lençóis Maranhenses</v>
      </c>
      <c r="N1282" t="str">
        <f>_xlfn.XLOOKUP(E1282,tPacotes[ID_Pacote],tPacotes[Categoria])</f>
        <v>Natureza</v>
      </c>
      <c r="O1282" t="str">
        <f>_xlfn.XLOOKUP(D1282,tClientes[ID_Cliente],tClientes[UF])</f>
        <v>SP</v>
      </c>
    </row>
    <row r="1283" spans="1:15" x14ac:dyDescent="0.3">
      <c r="A1283">
        <v>1282</v>
      </c>
      <c r="B1283" s="3">
        <v>46233</v>
      </c>
      <c r="C1283" s="3">
        <v>46319</v>
      </c>
      <c r="D1283">
        <v>2</v>
      </c>
      <c r="E1283">
        <v>15</v>
      </c>
      <c r="F1283">
        <v>2</v>
      </c>
      <c r="G1283" s="2">
        <v>6200</v>
      </c>
      <c r="H1283" s="4">
        <v>0</v>
      </c>
      <c r="I1283" s="2">
        <v>6200</v>
      </c>
      <c r="J1283" t="s">
        <v>257</v>
      </c>
      <c r="K1283" t="s">
        <v>254</v>
      </c>
      <c r="M1283" t="str">
        <f>_xlfn.XLOOKUP(E1283,tPacotes[ID_Pacote],tPacotes[Pacote])</f>
        <v>Jericoacoara</v>
      </c>
      <c r="N1283" t="str">
        <f>_xlfn.XLOOKUP(E1283,tPacotes[ID_Pacote],tPacotes[Categoria])</f>
        <v>Praia</v>
      </c>
      <c r="O1283" t="str">
        <f>_xlfn.XLOOKUP(D1283,tClientes[ID_Cliente],tClientes[UF])</f>
        <v>RJ</v>
      </c>
    </row>
    <row r="1284" spans="1:15" x14ac:dyDescent="0.3">
      <c r="A1284">
        <v>1283</v>
      </c>
      <c r="B1284" s="3">
        <v>46234</v>
      </c>
      <c r="C1284" s="3">
        <v>46251</v>
      </c>
      <c r="D1284">
        <v>183</v>
      </c>
      <c r="E1284">
        <v>9</v>
      </c>
      <c r="F1284">
        <v>2</v>
      </c>
      <c r="G1284" s="2">
        <v>17800</v>
      </c>
      <c r="H1284" s="4">
        <v>0.1</v>
      </c>
      <c r="I1284" s="2">
        <v>16020</v>
      </c>
      <c r="J1284" t="s">
        <v>253</v>
      </c>
      <c r="K1284" t="s">
        <v>254</v>
      </c>
      <c r="L1284">
        <v>5</v>
      </c>
      <c r="M1284" t="str">
        <f>_xlfn.XLOOKUP(E1284,tPacotes[ID_Pacote],tPacotes[Pacote])</f>
        <v>Cancún All Inclusive</v>
      </c>
      <c r="N1284" t="str">
        <f>_xlfn.XLOOKUP(E1284,tPacotes[ID_Pacote],tPacotes[Categoria])</f>
        <v>Praia</v>
      </c>
      <c r="O1284" t="str">
        <f>_xlfn.XLOOKUP(D1284,tClientes[ID_Cliente],tClientes[UF])</f>
        <v>MG</v>
      </c>
    </row>
    <row r="1285" spans="1:15" x14ac:dyDescent="0.3">
      <c r="A1285">
        <v>1284</v>
      </c>
      <c r="B1285" s="3">
        <v>46235</v>
      </c>
      <c r="C1285" s="3">
        <v>46389</v>
      </c>
      <c r="D1285">
        <v>155</v>
      </c>
      <c r="E1285">
        <v>2</v>
      </c>
      <c r="F1285">
        <v>1</v>
      </c>
      <c r="G1285" s="2">
        <v>1800</v>
      </c>
      <c r="H1285" s="4">
        <v>0.05</v>
      </c>
      <c r="I1285" s="2">
        <v>1710</v>
      </c>
      <c r="J1285" t="s">
        <v>253</v>
      </c>
      <c r="K1285" t="s">
        <v>254</v>
      </c>
      <c r="M1285" t="str">
        <f>_xlfn.XLOOKUP(E1285,tPacotes[ID_Pacote],tPacotes[Pacote])</f>
        <v>Rio Cidade Maravilhosa</v>
      </c>
      <c r="N1285" t="str">
        <f>_xlfn.XLOOKUP(E1285,tPacotes[ID_Pacote],tPacotes[Categoria])</f>
        <v>Cultural</v>
      </c>
      <c r="O1285" t="str">
        <f>_xlfn.XLOOKUP(D1285,tClientes[ID_Cliente],tClientes[UF])</f>
        <v>SP</v>
      </c>
    </row>
    <row r="1286" spans="1:15" x14ac:dyDescent="0.3">
      <c r="A1286">
        <v>1285</v>
      </c>
      <c r="B1286" s="3">
        <v>46236</v>
      </c>
      <c r="C1286" s="3">
        <v>46290</v>
      </c>
      <c r="D1286">
        <v>146</v>
      </c>
      <c r="E1286">
        <v>13</v>
      </c>
      <c r="F1286">
        <v>3</v>
      </c>
      <c r="G1286" s="2">
        <v>21900</v>
      </c>
      <c r="H1286" s="4">
        <v>0.15</v>
      </c>
      <c r="I1286" s="2">
        <v>18615</v>
      </c>
      <c r="J1286" t="s">
        <v>257</v>
      </c>
      <c r="K1286" t="s">
        <v>254</v>
      </c>
      <c r="M1286" t="str">
        <f>_xlfn.XLOOKUP(E1286,tPacotes[ID_Pacote],tPacotes[Pacote])</f>
        <v>Machu Picchu</v>
      </c>
      <c r="N1286" t="str">
        <f>_xlfn.XLOOKUP(E1286,tPacotes[ID_Pacote],tPacotes[Categoria])</f>
        <v>Aventura</v>
      </c>
      <c r="O1286" t="str">
        <f>_xlfn.XLOOKUP(D1286,tClientes[ID_Cliente],tClientes[UF])</f>
        <v>BA</v>
      </c>
    </row>
    <row r="1287" spans="1:15" x14ac:dyDescent="0.3">
      <c r="A1287">
        <v>1286</v>
      </c>
      <c r="B1287" s="3">
        <v>46236</v>
      </c>
      <c r="C1287" s="3">
        <v>46280</v>
      </c>
      <c r="D1287">
        <v>12</v>
      </c>
      <c r="E1287">
        <v>14</v>
      </c>
      <c r="F1287">
        <v>3</v>
      </c>
      <c r="G1287" s="2">
        <v>8700</v>
      </c>
      <c r="H1287" s="4">
        <v>0.1</v>
      </c>
      <c r="I1287" s="2">
        <v>7830</v>
      </c>
      <c r="J1287" t="s">
        <v>253</v>
      </c>
      <c r="K1287" t="s">
        <v>258</v>
      </c>
      <c r="M1287" t="str">
        <f>_xlfn.XLOOKUP(E1287,tPacotes[ID_Pacote],tPacotes[Pacote])</f>
        <v>Lençóis Maranhenses</v>
      </c>
      <c r="N1287" t="str">
        <f>_xlfn.XLOOKUP(E1287,tPacotes[ID_Pacote],tPacotes[Categoria])</f>
        <v>Natureza</v>
      </c>
      <c r="O1287" t="str">
        <f>_xlfn.XLOOKUP(D1287,tClientes[ID_Cliente],tClientes[UF])</f>
        <v>RJ</v>
      </c>
    </row>
    <row r="1288" spans="1:15" x14ac:dyDescent="0.3">
      <c r="A1288">
        <v>1287</v>
      </c>
      <c r="B1288" s="3">
        <v>46236</v>
      </c>
      <c r="C1288" s="3">
        <v>46280</v>
      </c>
      <c r="D1288">
        <v>167</v>
      </c>
      <c r="E1288">
        <v>5</v>
      </c>
      <c r="F1288">
        <v>3</v>
      </c>
      <c r="G1288" s="2">
        <v>10200</v>
      </c>
      <c r="H1288" s="4">
        <v>0.05</v>
      </c>
      <c r="I1288" s="2">
        <v>9690</v>
      </c>
      <c r="J1288" t="s">
        <v>253</v>
      </c>
      <c r="K1288" t="s">
        <v>254</v>
      </c>
      <c r="L1288">
        <v>4</v>
      </c>
      <c r="M1288" t="str">
        <f>_xlfn.XLOOKUP(E1288,tPacotes[ID_Pacote],tPacotes[Pacote])</f>
        <v>Bonito Aventura</v>
      </c>
      <c r="N1288" t="str">
        <f>_xlfn.XLOOKUP(E1288,tPacotes[ID_Pacote],tPacotes[Categoria])</f>
        <v>Aventura</v>
      </c>
      <c r="O1288" t="str">
        <f>_xlfn.XLOOKUP(D1288,tClientes[ID_Cliente],tClientes[UF])</f>
        <v>SP</v>
      </c>
    </row>
    <row r="1289" spans="1:15" x14ac:dyDescent="0.3">
      <c r="A1289">
        <v>1288</v>
      </c>
      <c r="B1289" s="3">
        <v>46236</v>
      </c>
      <c r="C1289" s="3">
        <v>46390</v>
      </c>
      <c r="D1289">
        <v>3</v>
      </c>
      <c r="E1289">
        <v>6</v>
      </c>
      <c r="F1289">
        <v>2</v>
      </c>
      <c r="G1289" s="2">
        <v>4200</v>
      </c>
      <c r="H1289" s="4">
        <v>0.1</v>
      </c>
      <c r="I1289" s="2">
        <v>3780</v>
      </c>
      <c r="J1289" t="s">
        <v>255</v>
      </c>
      <c r="K1289" t="s">
        <v>258</v>
      </c>
      <c r="M1289" t="str">
        <f>_xlfn.XLOOKUP(E1289,tPacotes[ID_Pacote],tPacotes[Pacote])</f>
        <v>Foz do Iguaçu</v>
      </c>
      <c r="N1289" t="str">
        <f>_xlfn.XLOOKUP(E1289,tPacotes[ID_Pacote],tPacotes[Categoria])</f>
        <v>Natureza</v>
      </c>
      <c r="O1289" t="str">
        <f>_xlfn.XLOOKUP(D1289,tClientes[ID_Cliente],tClientes[UF])</f>
        <v>SP</v>
      </c>
    </row>
    <row r="1290" spans="1:15" x14ac:dyDescent="0.3">
      <c r="A1290">
        <v>1289</v>
      </c>
      <c r="B1290" s="3">
        <v>46238</v>
      </c>
      <c r="C1290" s="3">
        <v>46242</v>
      </c>
      <c r="D1290">
        <v>63</v>
      </c>
      <c r="E1290">
        <v>10</v>
      </c>
      <c r="F1290">
        <v>4</v>
      </c>
      <c r="G1290" s="2">
        <v>46000</v>
      </c>
      <c r="H1290" s="4">
        <v>0.05</v>
      </c>
      <c r="I1290" s="2">
        <v>43700</v>
      </c>
      <c r="J1290" t="s">
        <v>253</v>
      </c>
      <c r="K1290" t="s">
        <v>254</v>
      </c>
      <c r="L1290">
        <v>5</v>
      </c>
      <c r="M1290" t="str">
        <f>_xlfn.XLOOKUP(E1290,tPacotes[ID_Pacote],tPacotes[Pacote])</f>
        <v>Orlando Parques</v>
      </c>
      <c r="N1290" t="str">
        <f>_xlfn.XLOOKUP(E1290,tPacotes[ID_Pacote],tPacotes[Categoria])</f>
        <v>Parques</v>
      </c>
      <c r="O1290" t="str">
        <f>_xlfn.XLOOKUP(D1290,tClientes[ID_Cliente],tClientes[UF])</f>
        <v>RS</v>
      </c>
    </row>
    <row r="1291" spans="1:15" x14ac:dyDescent="0.3">
      <c r="A1291">
        <v>1290</v>
      </c>
      <c r="B1291" s="3">
        <v>46238</v>
      </c>
      <c r="C1291" s="3">
        <v>46357</v>
      </c>
      <c r="D1291">
        <v>145</v>
      </c>
      <c r="E1291">
        <v>5</v>
      </c>
      <c r="F1291">
        <v>2</v>
      </c>
      <c r="G1291" s="2">
        <v>6800</v>
      </c>
      <c r="H1291" s="4">
        <v>0</v>
      </c>
      <c r="I1291" s="2">
        <v>6800</v>
      </c>
      <c r="J1291" t="s">
        <v>257</v>
      </c>
      <c r="K1291" t="s">
        <v>254</v>
      </c>
      <c r="M1291" t="str">
        <f>_xlfn.XLOOKUP(E1291,tPacotes[ID_Pacote],tPacotes[Pacote])</f>
        <v>Bonito Aventura</v>
      </c>
      <c r="N1291" t="str">
        <f>_xlfn.XLOOKUP(E1291,tPacotes[ID_Pacote],tPacotes[Categoria])</f>
        <v>Aventura</v>
      </c>
      <c r="O1291" t="str">
        <f>_xlfn.XLOOKUP(D1291,tClientes[ID_Cliente],tClientes[UF])</f>
        <v>SP</v>
      </c>
    </row>
    <row r="1292" spans="1:15" x14ac:dyDescent="0.3">
      <c r="A1292">
        <v>1291</v>
      </c>
      <c r="B1292" s="3">
        <v>46239</v>
      </c>
      <c r="C1292" s="3">
        <v>46270</v>
      </c>
      <c r="D1292">
        <v>43</v>
      </c>
      <c r="E1292">
        <v>1</v>
      </c>
      <c r="F1292">
        <v>1</v>
      </c>
      <c r="G1292" s="2">
        <v>3200</v>
      </c>
      <c r="H1292" s="4">
        <v>0.05</v>
      </c>
      <c r="I1292" s="2">
        <v>3040</v>
      </c>
      <c r="J1292" t="s">
        <v>253</v>
      </c>
      <c r="K1292" t="s">
        <v>254</v>
      </c>
      <c r="L1292">
        <v>5</v>
      </c>
      <c r="M1292" t="str">
        <f>_xlfn.XLOOKUP(E1292,tPacotes[ID_Pacote],tPacotes[Pacote])</f>
        <v>Nordeste Encantado</v>
      </c>
      <c r="N1292" t="str">
        <f>_xlfn.XLOOKUP(E1292,tPacotes[ID_Pacote],tPacotes[Categoria])</f>
        <v>Praia</v>
      </c>
      <c r="O1292" t="str">
        <f>_xlfn.XLOOKUP(D1292,tClientes[ID_Cliente],tClientes[UF])</f>
        <v>PR</v>
      </c>
    </row>
    <row r="1293" spans="1:15" x14ac:dyDescent="0.3">
      <c r="A1293">
        <v>1292</v>
      </c>
      <c r="B1293" s="3">
        <v>46240</v>
      </c>
      <c r="C1293" s="3">
        <v>46408</v>
      </c>
      <c r="D1293">
        <v>143</v>
      </c>
      <c r="E1293">
        <v>2</v>
      </c>
      <c r="F1293">
        <v>2</v>
      </c>
      <c r="G1293" s="2">
        <v>3600</v>
      </c>
      <c r="H1293" s="4">
        <v>0.1</v>
      </c>
      <c r="I1293" s="2">
        <v>3240</v>
      </c>
      <c r="J1293" t="s">
        <v>253</v>
      </c>
      <c r="K1293" t="s">
        <v>254</v>
      </c>
      <c r="M1293" t="str">
        <f>_xlfn.XLOOKUP(E1293,tPacotes[ID_Pacote],tPacotes[Pacote])</f>
        <v>Rio Cidade Maravilhosa</v>
      </c>
      <c r="N1293" t="str">
        <f>_xlfn.XLOOKUP(E1293,tPacotes[ID_Pacote],tPacotes[Categoria])</f>
        <v>Cultural</v>
      </c>
      <c r="O1293" t="str">
        <f>_xlfn.XLOOKUP(D1293,tClientes[ID_Cliente],tClientes[UF])</f>
        <v>DF</v>
      </c>
    </row>
    <row r="1294" spans="1:15" x14ac:dyDescent="0.3">
      <c r="A1294">
        <v>1293</v>
      </c>
      <c r="B1294" s="3">
        <v>46240</v>
      </c>
      <c r="C1294" s="3">
        <v>46284</v>
      </c>
      <c r="D1294">
        <v>138</v>
      </c>
      <c r="E1294">
        <v>15</v>
      </c>
      <c r="F1294">
        <v>2</v>
      </c>
      <c r="G1294" s="2">
        <v>6200</v>
      </c>
      <c r="H1294" s="4">
        <v>0.1</v>
      </c>
      <c r="I1294" s="2">
        <v>5580</v>
      </c>
      <c r="J1294" t="s">
        <v>253</v>
      </c>
      <c r="K1294" t="s">
        <v>254</v>
      </c>
      <c r="L1294">
        <v>4</v>
      </c>
      <c r="M1294" t="str">
        <f>_xlfn.XLOOKUP(E1294,tPacotes[ID_Pacote],tPacotes[Pacote])</f>
        <v>Jericoacoara</v>
      </c>
      <c r="N1294" t="str">
        <f>_xlfn.XLOOKUP(E1294,tPacotes[ID_Pacote],tPacotes[Categoria])</f>
        <v>Praia</v>
      </c>
      <c r="O1294" t="str">
        <f>_xlfn.XLOOKUP(D1294,tClientes[ID_Cliente],tClientes[UF])</f>
        <v>SP</v>
      </c>
    </row>
    <row r="1295" spans="1:15" x14ac:dyDescent="0.3">
      <c r="A1295">
        <v>1294</v>
      </c>
      <c r="B1295" s="3">
        <v>46241</v>
      </c>
      <c r="C1295" s="3">
        <v>46257</v>
      </c>
      <c r="D1295">
        <v>157</v>
      </c>
      <c r="E1295">
        <v>3</v>
      </c>
      <c r="F1295">
        <v>2</v>
      </c>
      <c r="G1295" s="2">
        <v>5200</v>
      </c>
      <c r="H1295" s="4">
        <v>0</v>
      </c>
      <c r="I1295" s="2">
        <v>5200</v>
      </c>
      <c r="J1295" t="s">
        <v>255</v>
      </c>
      <c r="K1295" t="s">
        <v>254</v>
      </c>
      <c r="L1295">
        <v>5</v>
      </c>
      <c r="M1295" t="str">
        <f>_xlfn.XLOOKUP(E1295,tPacotes[ID_Pacote],tPacotes[Pacote])</f>
        <v>Serra Gaúcha</v>
      </c>
      <c r="N1295" t="str">
        <f>_xlfn.XLOOKUP(E1295,tPacotes[ID_Pacote],tPacotes[Categoria])</f>
        <v>Inverno</v>
      </c>
      <c r="O1295" t="str">
        <f>_xlfn.XLOOKUP(D1295,tClientes[ID_Cliente],tClientes[UF])</f>
        <v>SP</v>
      </c>
    </row>
    <row r="1296" spans="1:15" x14ac:dyDescent="0.3">
      <c r="A1296">
        <v>1295</v>
      </c>
      <c r="B1296" s="3">
        <v>46242</v>
      </c>
      <c r="C1296" s="3">
        <v>46370</v>
      </c>
      <c r="D1296">
        <v>67</v>
      </c>
      <c r="E1296">
        <v>6</v>
      </c>
      <c r="F1296">
        <v>3</v>
      </c>
      <c r="G1296" s="2">
        <v>6300</v>
      </c>
      <c r="H1296" s="4">
        <v>0</v>
      </c>
      <c r="I1296" s="2">
        <v>6300</v>
      </c>
      <c r="J1296" t="s">
        <v>257</v>
      </c>
      <c r="K1296" t="s">
        <v>254</v>
      </c>
      <c r="M1296" t="str">
        <f>_xlfn.XLOOKUP(E1296,tPacotes[ID_Pacote],tPacotes[Pacote])</f>
        <v>Foz do Iguaçu</v>
      </c>
      <c r="N1296" t="str">
        <f>_xlfn.XLOOKUP(E1296,tPacotes[ID_Pacote],tPacotes[Categoria])</f>
        <v>Natureza</v>
      </c>
      <c r="O1296" t="str">
        <f>_xlfn.XLOOKUP(D1296,tClientes[ID_Cliente],tClientes[UF])</f>
        <v>RJ</v>
      </c>
    </row>
    <row r="1297" spans="1:15" x14ac:dyDescent="0.3">
      <c r="A1297">
        <v>1296</v>
      </c>
      <c r="B1297" s="3">
        <v>46243</v>
      </c>
      <c r="C1297" s="3">
        <v>46301</v>
      </c>
      <c r="D1297">
        <v>75</v>
      </c>
      <c r="E1297">
        <v>12</v>
      </c>
      <c r="F1297">
        <v>1</v>
      </c>
      <c r="G1297" s="2">
        <v>12400</v>
      </c>
      <c r="H1297" s="4">
        <v>0.05</v>
      </c>
      <c r="I1297" s="2">
        <v>11780</v>
      </c>
      <c r="J1297" t="s">
        <v>256</v>
      </c>
      <c r="K1297" t="s">
        <v>258</v>
      </c>
      <c r="M1297" t="str">
        <f>_xlfn.XLOOKUP(E1297,tPacotes[ID_Pacote],tPacotes[Pacote])</f>
        <v>Lisboa e Porto</v>
      </c>
      <c r="N1297" t="str">
        <f>_xlfn.XLOOKUP(E1297,tPacotes[ID_Pacote],tPacotes[Categoria])</f>
        <v>Cultural</v>
      </c>
      <c r="O1297" t="str">
        <f>_xlfn.XLOOKUP(D1297,tClientes[ID_Cliente],tClientes[UF])</f>
        <v>RS</v>
      </c>
    </row>
    <row r="1298" spans="1:15" x14ac:dyDescent="0.3">
      <c r="A1298">
        <v>1297</v>
      </c>
      <c r="B1298" s="3">
        <v>46243</v>
      </c>
      <c r="C1298" s="3">
        <v>46266</v>
      </c>
      <c r="D1298">
        <v>93</v>
      </c>
      <c r="E1298">
        <v>2</v>
      </c>
      <c r="F1298">
        <v>2</v>
      </c>
      <c r="G1298" s="2">
        <v>3600</v>
      </c>
      <c r="H1298" s="4">
        <v>0.1</v>
      </c>
      <c r="I1298" s="2">
        <v>3240</v>
      </c>
      <c r="J1298" t="s">
        <v>253</v>
      </c>
      <c r="K1298" t="s">
        <v>254</v>
      </c>
      <c r="L1298">
        <v>5</v>
      </c>
      <c r="M1298" t="str">
        <f>_xlfn.XLOOKUP(E1298,tPacotes[ID_Pacote],tPacotes[Pacote])</f>
        <v>Rio Cidade Maravilhosa</v>
      </c>
      <c r="N1298" t="str">
        <f>_xlfn.XLOOKUP(E1298,tPacotes[ID_Pacote],tPacotes[Categoria])</f>
        <v>Cultural</v>
      </c>
      <c r="O1298" t="str">
        <f>_xlfn.XLOOKUP(D1298,tClientes[ID_Cliente],tClientes[UF])</f>
        <v>DF</v>
      </c>
    </row>
    <row r="1299" spans="1:15" x14ac:dyDescent="0.3">
      <c r="A1299">
        <v>1298</v>
      </c>
      <c r="B1299" s="3">
        <v>46243</v>
      </c>
      <c r="C1299" s="3">
        <v>46253</v>
      </c>
      <c r="D1299">
        <v>69</v>
      </c>
      <c r="E1299">
        <v>7</v>
      </c>
      <c r="F1299">
        <v>2</v>
      </c>
      <c r="G1299" s="2">
        <v>8400</v>
      </c>
      <c r="H1299" s="4">
        <v>0</v>
      </c>
      <c r="I1299" s="2">
        <v>8400</v>
      </c>
      <c r="J1299" t="s">
        <v>253</v>
      </c>
      <c r="K1299" t="s">
        <v>254</v>
      </c>
      <c r="L1299">
        <v>5</v>
      </c>
      <c r="M1299" t="str">
        <f>_xlfn.XLOOKUP(E1299,tPacotes[ID_Pacote],tPacotes[Pacote])</f>
        <v>Buenos Aires Clássica</v>
      </c>
      <c r="N1299" t="str">
        <f>_xlfn.XLOOKUP(E1299,tPacotes[ID_Pacote],tPacotes[Categoria])</f>
        <v>Cultural</v>
      </c>
      <c r="O1299" t="str">
        <f>_xlfn.XLOOKUP(D1299,tClientes[ID_Cliente],tClientes[UF])</f>
        <v>RJ</v>
      </c>
    </row>
    <row r="1300" spans="1:15" x14ac:dyDescent="0.3">
      <c r="A1300">
        <v>1299</v>
      </c>
      <c r="B1300" s="3">
        <v>46244</v>
      </c>
      <c r="C1300" s="3">
        <v>46266</v>
      </c>
      <c r="D1300">
        <v>102</v>
      </c>
      <c r="E1300">
        <v>6</v>
      </c>
      <c r="F1300">
        <v>3</v>
      </c>
      <c r="G1300" s="2">
        <v>6300</v>
      </c>
      <c r="H1300" s="4">
        <v>0.05</v>
      </c>
      <c r="I1300" s="2">
        <v>5985</v>
      </c>
      <c r="J1300" t="s">
        <v>257</v>
      </c>
      <c r="K1300" t="s">
        <v>254</v>
      </c>
      <c r="L1300">
        <v>5</v>
      </c>
      <c r="M1300" t="str">
        <f>_xlfn.XLOOKUP(E1300,tPacotes[ID_Pacote],tPacotes[Pacote])</f>
        <v>Foz do Iguaçu</v>
      </c>
      <c r="N1300" t="str">
        <f>_xlfn.XLOOKUP(E1300,tPacotes[ID_Pacote],tPacotes[Categoria])</f>
        <v>Natureza</v>
      </c>
      <c r="O1300" t="str">
        <f>_xlfn.XLOOKUP(D1300,tClientes[ID_Cliente],tClientes[UF])</f>
        <v>PR</v>
      </c>
    </row>
    <row r="1301" spans="1:15" x14ac:dyDescent="0.3">
      <c r="A1301">
        <v>1300</v>
      </c>
      <c r="B1301" s="3">
        <v>46244</v>
      </c>
      <c r="C1301" s="3">
        <v>46287</v>
      </c>
      <c r="D1301">
        <v>77</v>
      </c>
      <c r="E1301">
        <v>9</v>
      </c>
      <c r="F1301">
        <v>2</v>
      </c>
      <c r="G1301" s="2">
        <v>17800</v>
      </c>
      <c r="H1301" s="4">
        <v>0.15</v>
      </c>
      <c r="I1301" s="2">
        <v>15130</v>
      </c>
      <c r="J1301" t="s">
        <v>255</v>
      </c>
      <c r="K1301" t="s">
        <v>254</v>
      </c>
      <c r="L1301">
        <v>5</v>
      </c>
      <c r="M1301" t="str">
        <f>_xlfn.XLOOKUP(E1301,tPacotes[ID_Pacote],tPacotes[Pacote])</f>
        <v>Cancún All Inclusive</v>
      </c>
      <c r="N1301" t="str">
        <f>_xlfn.XLOOKUP(E1301,tPacotes[ID_Pacote],tPacotes[Categoria])</f>
        <v>Praia</v>
      </c>
      <c r="O1301" t="str">
        <f>_xlfn.XLOOKUP(D1301,tClientes[ID_Cliente],tClientes[UF])</f>
        <v>RJ</v>
      </c>
    </row>
    <row r="1302" spans="1:15" x14ac:dyDescent="0.3">
      <c r="A1302">
        <v>1301</v>
      </c>
      <c r="B1302" s="3">
        <v>46245</v>
      </c>
      <c r="C1302" s="3">
        <v>46258</v>
      </c>
      <c r="D1302">
        <v>111</v>
      </c>
      <c r="E1302">
        <v>4</v>
      </c>
      <c r="F1302">
        <v>2</v>
      </c>
      <c r="G1302" s="2">
        <v>13800</v>
      </c>
      <c r="H1302" s="4">
        <v>0</v>
      </c>
      <c r="I1302" s="2">
        <v>13800</v>
      </c>
      <c r="J1302" t="s">
        <v>253</v>
      </c>
      <c r="K1302" t="s">
        <v>258</v>
      </c>
      <c r="M1302" t="str">
        <f>_xlfn.XLOOKUP(E1302,tPacotes[ID_Pacote],tPacotes[Pacote])</f>
        <v>Fernando de Noronha</v>
      </c>
      <c r="N1302" t="str">
        <f>_xlfn.XLOOKUP(E1302,tPacotes[ID_Pacote],tPacotes[Categoria])</f>
        <v>Praia</v>
      </c>
      <c r="O1302" t="str">
        <f>_xlfn.XLOOKUP(D1302,tClientes[ID_Cliente],tClientes[UF])</f>
        <v>RJ</v>
      </c>
    </row>
    <row r="1303" spans="1:15" x14ac:dyDescent="0.3">
      <c r="A1303">
        <v>1302</v>
      </c>
      <c r="B1303" s="3">
        <v>46246</v>
      </c>
      <c r="C1303" s="3">
        <v>46304</v>
      </c>
      <c r="D1303">
        <v>73</v>
      </c>
      <c r="E1303">
        <v>6</v>
      </c>
      <c r="F1303">
        <v>2</v>
      </c>
      <c r="G1303" s="2">
        <v>4200</v>
      </c>
      <c r="H1303" s="4">
        <v>0</v>
      </c>
      <c r="I1303" s="2">
        <v>4200</v>
      </c>
      <c r="J1303" t="s">
        <v>257</v>
      </c>
      <c r="K1303" t="s">
        <v>254</v>
      </c>
      <c r="M1303" t="str">
        <f>_xlfn.XLOOKUP(E1303,tPacotes[ID_Pacote],tPacotes[Pacote])</f>
        <v>Foz do Iguaçu</v>
      </c>
      <c r="N1303" t="str">
        <f>_xlfn.XLOOKUP(E1303,tPacotes[ID_Pacote],tPacotes[Categoria])</f>
        <v>Natureza</v>
      </c>
      <c r="O1303" t="str">
        <f>_xlfn.XLOOKUP(D1303,tClientes[ID_Cliente],tClientes[UF])</f>
        <v>SP</v>
      </c>
    </row>
    <row r="1304" spans="1:15" x14ac:dyDescent="0.3">
      <c r="A1304">
        <v>1303</v>
      </c>
      <c r="B1304" s="3">
        <v>46247</v>
      </c>
      <c r="C1304" s="3">
        <v>46342</v>
      </c>
      <c r="D1304">
        <v>35</v>
      </c>
      <c r="E1304">
        <v>4</v>
      </c>
      <c r="F1304">
        <v>2</v>
      </c>
      <c r="G1304" s="2">
        <v>13800</v>
      </c>
      <c r="H1304" s="4">
        <v>0</v>
      </c>
      <c r="I1304" s="2">
        <v>13800</v>
      </c>
      <c r="J1304" t="s">
        <v>253</v>
      </c>
      <c r="K1304" t="s">
        <v>254</v>
      </c>
      <c r="M1304" t="str">
        <f>_xlfn.XLOOKUP(E1304,tPacotes[ID_Pacote],tPacotes[Pacote])</f>
        <v>Fernando de Noronha</v>
      </c>
      <c r="N1304" t="str">
        <f>_xlfn.XLOOKUP(E1304,tPacotes[ID_Pacote],tPacotes[Categoria])</f>
        <v>Praia</v>
      </c>
      <c r="O1304" t="str">
        <f>_xlfn.XLOOKUP(D1304,tClientes[ID_Cliente],tClientes[UF])</f>
        <v>DF</v>
      </c>
    </row>
    <row r="1305" spans="1:15" x14ac:dyDescent="0.3">
      <c r="A1305">
        <v>1304</v>
      </c>
      <c r="B1305" s="3">
        <v>46247</v>
      </c>
      <c r="C1305" s="3">
        <v>46258</v>
      </c>
      <c r="D1305">
        <v>123</v>
      </c>
      <c r="E1305">
        <v>5</v>
      </c>
      <c r="F1305">
        <v>3</v>
      </c>
      <c r="G1305" s="2">
        <v>10200</v>
      </c>
      <c r="H1305" s="4">
        <v>0.05</v>
      </c>
      <c r="I1305" s="2">
        <v>9690</v>
      </c>
      <c r="J1305" t="s">
        <v>253</v>
      </c>
      <c r="K1305" t="s">
        <v>254</v>
      </c>
      <c r="L1305">
        <v>5</v>
      </c>
      <c r="M1305" t="str">
        <f>_xlfn.XLOOKUP(E1305,tPacotes[ID_Pacote],tPacotes[Pacote])</f>
        <v>Bonito Aventura</v>
      </c>
      <c r="N1305" t="str">
        <f>_xlfn.XLOOKUP(E1305,tPacotes[ID_Pacote],tPacotes[Categoria])</f>
        <v>Aventura</v>
      </c>
      <c r="O1305" t="str">
        <f>_xlfn.XLOOKUP(D1305,tClientes[ID_Cliente],tClientes[UF])</f>
        <v>PR</v>
      </c>
    </row>
    <row r="1306" spans="1:15" x14ac:dyDescent="0.3">
      <c r="A1306">
        <v>1305</v>
      </c>
      <c r="B1306" s="3">
        <v>46247</v>
      </c>
      <c r="C1306" s="3">
        <v>46260</v>
      </c>
      <c r="D1306">
        <v>5</v>
      </c>
      <c r="E1306">
        <v>1</v>
      </c>
      <c r="F1306">
        <v>4</v>
      </c>
      <c r="G1306" s="2">
        <v>12800</v>
      </c>
      <c r="H1306" s="4">
        <v>0</v>
      </c>
      <c r="I1306" s="2">
        <v>12800</v>
      </c>
      <c r="J1306" t="s">
        <v>253</v>
      </c>
      <c r="K1306" t="s">
        <v>254</v>
      </c>
      <c r="L1306">
        <v>4</v>
      </c>
      <c r="M1306" t="str">
        <f>_xlfn.XLOOKUP(E1306,tPacotes[ID_Pacote],tPacotes[Pacote])</f>
        <v>Nordeste Encantado</v>
      </c>
      <c r="N1306" t="str">
        <f>_xlfn.XLOOKUP(E1306,tPacotes[ID_Pacote],tPacotes[Categoria])</f>
        <v>Praia</v>
      </c>
      <c r="O1306" t="str">
        <f>_xlfn.XLOOKUP(D1306,tClientes[ID_Cliente],tClientes[UF])</f>
        <v>MG</v>
      </c>
    </row>
    <row r="1307" spans="1:15" x14ac:dyDescent="0.3">
      <c r="A1307">
        <v>1306</v>
      </c>
      <c r="B1307" s="3">
        <v>46247</v>
      </c>
      <c r="C1307" s="3">
        <v>46422</v>
      </c>
      <c r="D1307">
        <v>3</v>
      </c>
      <c r="E1307">
        <v>15</v>
      </c>
      <c r="F1307">
        <v>2</v>
      </c>
      <c r="G1307" s="2">
        <v>6200</v>
      </c>
      <c r="H1307" s="4">
        <v>0</v>
      </c>
      <c r="I1307" s="2">
        <v>6200</v>
      </c>
      <c r="J1307" t="s">
        <v>255</v>
      </c>
      <c r="K1307" t="s">
        <v>254</v>
      </c>
      <c r="M1307" t="str">
        <f>_xlfn.XLOOKUP(E1307,tPacotes[ID_Pacote],tPacotes[Pacote])</f>
        <v>Jericoacoara</v>
      </c>
      <c r="N1307" t="str">
        <f>_xlfn.XLOOKUP(E1307,tPacotes[ID_Pacote],tPacotes[Categoria])</f>
        <v>Praia</v>
      </c>
      <c r="O1307" t="str">
        <f>_xlfn.XLOOKUP(D1307,tClientes[ID_Cliente],tClientes[UF])</f>
        <v>SP</v>
      </c>
    </row>
    <row r="1308" spans="1:15" x14ac:dyDescent="0.3">
      <c r="A1308">
        <v>1307</v>
      </c>
      <c r="B1308" s="3">
        <v>46247</v>
      </c>
      <c r="C1308" s="3">
        <v>46256</v>
      </c>
      <c r="D1308">
        <v>109</v>
      </c>
      <c r="E1308">
        <v>12</v>
      </c>
      <c r="F1308">
        <v>2</v>
      </c>
      <c r="G1308" s="2">
        <v>24800</v>
      </c>
      <c r="H1308" s="4">
        <v>0.1</v>
      </c>
      <c r="I1308" s="2">
        <v>22320</v>
      </c>
      <c r="J1308" t="s">
        <v>253</v>
      </c>
      <c r="K1308" t="s">
        <v>254</v>
      </c>
      <c r="L1308">
        <v>5</v>
      </c>
      <c r="M1308" t="str">
        <f>_xlfn.XLOOKUP(E1308,tPacotes[ID_Pacote],tPacotes[Pacote])</f>
        <v>Lisboa e Porto</v>
      </c>
      <c r="N1308" t="str">
        <f>_xlfn.XLOOKUP(E1308,tPacotes[ID_Pacote],tPacotes[Categoria])</f>
        <v>Cultural</v>
      </c>
      <c r="O1308" t="str">
        <f>_xlfn.XLOOKUP(D1308,tClientes[ID_Cliente],tClientes[UF])</f>
        <v>SP</v>
      </c>
    </row>
    <row r="1309" spans="1:15" x14ac:dyDescent="0.3">
      <c r="A1309">
        <v>1308</v>
      </c>
      <c r="B1309" s="3">
        <v>46249</v>
      </c>
      <c r="C1309" s="3">
        <v>46304</v>
      </c>
      <c r="D1309">
        <v>63</v>
      </c>
      <c r="E1309">
        <v>3</v>
      </c>
      <c r="F1309">
        <v>2</v>
      </c>
      <c r="G1309" s="2">
        <v>5200</v>
      </c>
      <c r="H1309" s="4">
        <v>0.05</v>
      </c>
      <c r="I1309" s="2">
        <v>4940</v>
      </c>
      <c r="J1309" t="s">
        <v>257</v>
      </c>
      <c r="K1309" t="s">
        <v>254</v>
      </c>
      <c r="M1309" t="str">
        <f>_xlfn.XLOOKUP(E1309,tPacotes[ID_Pacote],tPacotes[Pacote])</f>
        <v>Serra Gaúcha</v>
      </c>
      <c r="N1309" t="str">
        <f>_xlfn.XLOOKUP(E1309,tPacotes[ID_Pacote],tPacotes[Categoria])</f>
        <v>Inverno</v>
      </c>
      <c r="O1309" t="str">
        <f>_xlfn.XLOOKUP(D1309,tClientes[ID_Cliente],tClientes[UF])</f>
        <v>RS</v>
      </c>
    </row>
    <row r="1310" spans="1:15" x14ac:dyDescent="0.3">
      <c r="A1310">
        <v>1309</v>
      </c>
      <c r="B1310" s="3">
        <v>46250</v>
      </c>
      <c r="C1310" s="3">
        <v>46268</v>
      </c>
      <c r="D1310">
        <v>14</v>
      </c>
      <c r="E1310">
        <v>15</v>
      </c>
      <c r="F1310">
        <v>4</v>
      </c>
      <c r="G1310" s="2">
        <v>12400</v>
      </c>
      <c r="H1310" s="4">
        <v>0</v>
      </c>
      <c r="I1310" s="2">
        <v>12400</v>
      </c>
      <c r="J1310" t="s">
        <v>255</v>
      </c>
      <c r="K1310" t="s">
        <v>254</v>
      </c>
      <c r="L1310">
        <v>4</v>
      </c>
      <c r="M1310" t="str">
        <f>_xlfn.XLOOKUP(E1310,tPacotes[ID_Pacote],tPacotes[Pacote])</f>
        <v>Jericoacoara</v>
      </c>
      <c r="N1310" t="str">
        <f>_xlfn.XLOOKUP(E1310,tPacotes[ID_Pacote],tPacotes[Categoria])</f>
        <v>Praia</v>
      </c>
      <c r="O1310" t="str">
        <f>_xlfn.XLOOKUP(D1310,tClientes[ID_Cliente],tClientes[UF])</f>
        <v>PE</v>
      </c>
    </row>
    <row r="1311" spans="1:15" x14ac:dyDescent="0.3">
      <c r="A1311">
        <v>1310</v>
      </c>
      <c r="B1311" s="3">
        <v>46251</v>
      </c>
      <c r="C1311" s="3">
        <v>46405</v>
      </c>
      <c r="D1311">
        <v>142</v>
      </c>
      <c r="E1311">
        <v>7</v>
      </c>
      <c r="F1311">
        <v>3</v>
      </c>
      <c r="G1311" s="2">
        <v>12600</v>
      </c>
      <c r="H1311" s="4">
        <v>0</v>
      </c>
      <c r="I1311" s="2">
        <v>12600</v>
      </c>
      <c r="J1311" t="s">
        <v>253</v>
      </c>
      <c r="K1311" t="s">
        <v>254</v>
      </c>
      <c r="M1311" t="str">
        <f>_xlfn.XLOOKUP(E1311,tPacotes[ID_Pacote],tPacotes[Pacote])</f>
        <v>Buenos Aires Clássica</v>
      </c>
      <c r="N1311" t="str">
        <f>_xlfn.XLOOKUP(E1311,tPacotes[ID_Pacote],tPacotes[Categoria])</f>
        <v>Cultural</v>
      </c>
      <c r="O1311" t="str">
        <f>_xlfn.XLOOKUP(D1311,tClientes[ID_Cliente],tClientes[UF])</f>
        <v>RJ</v>
      </c>
    </row>
    <row r="1312" spans="1:15" x14ac:dyDescent="0.3">
      <c r="A1312">
        <v>1311</v>
      </c>
      <c r="B1312" s="3">
        <v>46252</v>
      </c>
      <c r="C1312" s="3">
        <v>46360</v>
      </c>
      <c r="D1312">
        <v>18</v>
      </c>
      <c r="E1312">
        <v>14</v>
      </c>
      <c r="F1312">
        <v>2</v>
      </c>
      <c r="G1312" s="2">
        <v>5800</v>
      </c>
      <c r="H1312" s="4">
        <v>0.15</v>
      </c>
      <c r="I1312" s="2">
        <v>4930</v>
      </c>
      <c r="J1312" t="s">
        <v>257</v>
      </c>
      <c r="K1312" t="s">
        <v>254</v>
      </c>
      <c r="M1312" t="str">
        <f>_xlfn.XLOOKUP(E1312,tPacotes[ID_Pacote],tPacotes[Pacote])</f>
        <v>Lençóis Maranhenses</v>
      </c>
      <c r="N1312" t="str">
        <f>_xlfn.XLOOKUP(E1312,tPacotes[ID_Pacote],tPacotes[Categoria])</f>
        <v>Natureza</v>
      </c>
      <c r="O1312" t="str">
        <f>_xlfn.XLOOKUP(D1312,tClientes[ID_Cliente],tClientes[UF])</f>
        <v>PR</v>
      </c>
    </row>
    <row r="1313" spans="1:15" x14ac:dyDescent="0.3">
      <c r="A1313">
        <v>1312</v>
      </c>
      <c r="B1313" s="3">
        <v>46253</v>
      </c>
      <c r="C1313" s="3">
        <v>46256</v>
      </c>
      <c r="D1313">
        <v>45</v>
      </c>
      <c r="E1313">
        <v>10</v>
      </c>
      <c r="F1313">
        <v>3</v>
      </c>
      <c r="G1313" s="2">
        <v>34500</v>
      </c>
      <c r="H1313" s="4">
        <v>0</v>
      </c>
      <c r="I1313" s="2">
        <v>34500</v>
      </c>
      <c r="J1313" t="s">
        <v>253</v>
      </c>
      <c r="K1313" t="s">
        <v>254</v>
      </c>
      <c r="L1313">
        <v>5</v>
      </c>
      <c r="M1313" t="str">
        <f>_xlfn.XLOOKUP(E1313,tPacotes[ID_Pacote],tPacotes[Pacote])</f>
        <v>Orlando Parques</v>
      </c>
      <c r="N1313" t="str">
        <f>_xlfn.XLOOKUP(E1313,tPacotes[ID_Pacote],tPacotes[Categoria])</f>
        <v>Parques</v>
      </c>
      <c r="O1313" t="str">
        <f>_xlfn.XLOOKUP(D1313,tClientes[ID_Cliente],tClientes[UF])</f>
        <v>SP</v>
      </c>
    </row>
    <row r="1314" spans="1:15" x14ac:dyDescent="0.3">
      <c r="A1314">
        <v>1313</v>
      </c>
      <c r="B1314" s="3">
        <v>46254</v>
      </c>
      <c r="C1314" s="3">
        <v>46262</v>
      </c>
      <c r="D1314">
        <v>96</v>
      </c>
      <c r="E1314">
        <v>6</v>
      </c>
      <c r="F1314">
        <v>1</v>
      </c>
      <c r="G1314" s="2">
        <v>2100</v>
      </c>
      <c r="H1314" s="4">
        <v>0.1</v>
      </c>
      <c r="I1314" s="2">
        <v>1890</v>
      </c>
      <c r="J1314" t="s">
        <v>253</v>
      </c>
      <c r="K1314" t="s">
        <v>254</v>
      </c>
      <c r="L1314">
        <v>4</v>
      </c>
      <c r="M1314" t="str">
        <f>_xlfn.XLOOKUP(E1314,tPacotes[ID_Pacote],tPacotes[Pacote])</f>
        <v>Foz do Iguaçu</v>
      </c>
      <c r="N1314" t="str">
        <f>_xlfn.XLOOKUP(E1314,tPacotes[ID_Pacote],tPacotes[Categoria])</f>
        <v>Natureza</v>
      </c>
      <c r="O1314" t="str">
        <f>_xlfn.XLOOKUP(D1314,tClientes[ID_Cliente],tClientes[UF])</f>
        <v>MG</v>
      </c>
    </row>
    <row r="1315" spans="1:15" x14ac:dyDescent="0.3">
      <c r="A1315">
        <v>1314</v>
      </c>
      <c r="B1315" s="3">
        <v>46254</v>
      </c>
      <c r="C1315" s="3">
        <v>46258</v>
      </c>
      <c r="D1315">
        <v>64</v>
      </c>
      <c r="E1315">
        <v>5</v>
      </c>
      <c r="F1315">
        <v>1</v>
      </c>
      <c r="G1315" s="2">
        <v>3400</v>
      </c>
      <c r="H1315" s="4">
        <v>0.15</v>
      </c>
      <c r="I1315" s="2">
        <v>2890</v>
      </c>
      <c r="J1315" t="s">
        <v>253</v>
      </c>
      <c r="K1315" t="s">
        <v>254</v>
      </c>
      <c r="L1315">
        <v>5</v>
      </c>
      <c r="M1315" t="str">
        <f>_xlfn.XLOOKUP(E1315,tPacotes[ID_Pacote],tPacotes[Pacote])</f>
        <v>Bonito Aventura</v>
      </c>
      <c r="N1315" t="str">
        <f>_xlfn.XLOOKUP(E1315,tPacotes[ID_Pacote],tPacotes[Categoria])</f>
        <v>Aventura</v>
      </c>
      <c r="O1315" t="str">
        <f>_xlfn.XLOOKUP(D1315,tClientes[ID_Cliente],tClientes[UF])</f>
        <v>PE</v>
      </c>
    </row>
    <row r="1316" spans="1:15" x14ac:dyDescent="0.3">
      <c r="A1316">
        <v>1315</v>
      </c>
      <c r="B1316" s="3">
        <v>46255</v>
      </c>
      <c r="C1316" s="3">
        <v>46271</v>
      </c>
      <c r="D1316">
        <v>125</v>
      </c>
      <c r="E1316">
        <v>3</v>
      </c>
      <c r="F1316">
        <v>2</v>
      </c>
      <c r="G1316" s="2">
        <v>5200</v>
      </c>
      <c r="H1316" s="4">
        <v>0</v>
      </c>
      <c r="I1316" s="2">
        <v>5200</v>
      </c>
      <c r="J1316" t="s">
        <v>257</v>
      </c>
      <c r="K1316" t="s">
        <v>258</v>
      </c>
      <c r="M1316" t="str">
        <f>_xlfn.XLOOKUP(E1316,tPacotes[ID_Pacote],tPacotes[Pacote])</f>
        <v>Serra Gaúcha</v>
      </c>
      <c r="N1316" t="str">
        <f>_xlfn.XLOOKUP(E1316,tPacotes[ID_Pacote],tPacotes[Categoria])</f>
        <v>Inverno</v>
      </c>
      <c r="O1316" t="str">
        <f>_xlfn.XLOOKUP(D1316,tClientes[ID_Cliente],tClientes[UF])</f>
        <v>MG</v>
      </c>
    </row>
    <row r="1317" spans="1:15" x14ac:dyDescent="0.3">
      <c r="A1317">
        <v>1316</v>
      </c>
      <c r="B1317" s="3">
        <v>46256</v>
      </c>
      <c r="C1317" s="3">
        <v>46275</v>
      </c>
      <c r="D1317">
        <v>200</v>
      </c>
      <c r="E1317">
        <v>7</v>
      </c>
      <c r="F1317">
        <v>4</v>
      </c>
      <c r="G1317" s="2">
        <v>16800</v>
      </c>
      <c r="H1317" s="4">
        <v>0</v>
      </c>
      <c r="I1317" s="2">
        <v>16800</v>
      </c>
      <c r="J1317" t="s">
        <v>257</v>
      </c>
      <c r="K1317" t="s">
        <v>254</v>
      </c>
      <c r="L1317">
        <v>3</v>
      </c>
      <c r="M1317" t="str">
        <f>_xlfn.XLOOKUP(E1317,tPacotes[ID_Pacote],tPacotes[Pacote])</f>
        <v>Buenos Aires Clássica</v>
      </c>
      <c r="N1317" t="str">
        <f>_xlfn.XLOOKUP(E1317,tPacotes[ID_Pacote],tPacotes[Categoria])</f>
        <v>Cultural</v>
      </c>
      <c r="O1317" t="str">
        <f>_xlfn.XLOOKUP(D1317,tClientes[ID_Cliente],tClientes[UF])</f>
        <v>PR</v>
      </c>
    </row>
    <row r="1318" spans="1:15" x14ac:dyDescent="0.3">
      <c r="A1318">
        <v>1317</v>
      </c>
      <c r="B1318" s="3">
        <v>46257</v>
      </c>
      <c r="C1318" s="3">
        <v>46264</v>
      </c>
      <c r="D1318">
        <v>44</v>
      </c>
      <c r="E1318">
        <v>1</v>
      </c>
      <c r="F1318">
        <v>1</v>
      </c>
      <c r="G1318" s="2">
        <v>3200</v>
      </c>
      <c r="H1318" s="4">
        <v>0.15</v>
      </c>
      <c r="I1318" s="2">
        <v>2720</v>
      </c>
      <c r="J1318" t="s">
        <v>253</v>
      </c>
      <c r="K1318" t="s">
        <v>254</v>
      </c>
      <c r="L1318">
        <v>2</v>
      </c>
      <c r="M1318" t="str">
        <f>_xlfn.XLOOKUP(E1318,tPacotes[ID_Pacote],tPacotes[Pacote])</f>
        <v>Nordeste Encantado</v>
      </c>
      <c r="N1318" t="str">
        <f>_xlfn.XLOOKUP(E1318,tPacotes[ID_Pacote],tPacotes[Categoria])</f>
        <v>Praia</v>
      </c>
      <c r="O1318" t="str">
        <f>_xlfn.XLOOKUP(D1318,tClientes[ID_Cliente],tClientes[UF])</f>
        <v>DF</v>
      </c>
    </row>
    <row r="1319" spans="1:15" x14ac:dyDescent="0.3">
      <c r="A1319">
        <v>1318</v>
      </c>
      <c r="B1319" s="3">
        <v>46257</v>
      </c>
      <c r="C1319" s="3">
        <v>46359</v>
      </c>
      <c r="D1319">
        <v>91</v>
      </c>
      <c r="E1319">
        <v>5</v>
      </c>
      <c r="F1319">
        <v>1</v>
      </c>
      <c r="G1319" s="2">
        <v>3400</v>
      </c>
      <c r="H1319" s="4">
        <v>0.1</v>
      </c>
      <c r="I1319" s="2">
        <v>3060</v>
      </c>
      <c r="J1319" t="s">
        <v>253</v>
      </c>
      <c r="K1319" t="s">
        <v>254</v>
      </c>
      <c r="M1319" t="str">
        <f>_xlfn.XLOOKUP(E1319,tPacotes[ID_Pacote],tPacotes[Pacote])</f>
        <v>Bonito Aventura</v>
      </c>
      <c r="N1319" t="str">
        <f>_xlfn.XLOOKUP(E1319,tPacotes[ID_Pacote],tPacotes[Categoria])</f>
        <v>Aventura</v>
      </c>
      <c r="O1319" t="str">
        <f>_xlfn.XLOOKUP(D1319,tClientes[ID_Cliente],tClientes[UF])</f>
        <v>SP</v>
      </c>
    </row>
    <row r="1320" spans="1:15" x14ac:dyDescent="0.3">
      <c r="A1320">
        <v>1319</v>
      </c>
      <c r="B1320" s="3">
        <v>46257</v>
      </c>
      <c r="C1320" s="3">
        <v>46309</v>
      </c>
      <c r="D1320">
        <v>50</v>
      </c>
      <c r="E1320">
        <v>13</v>
      </c>
      <c r="F1320">
        <v>2</v>
      </c>
      <c r="G1320" s="2">
        <v>14600</v>
      </c>
      <c r="H1320" s="4">
        <v>0</v>
      </c>
      <c r="I1320" s="2">
        <v>14600</v>
      </c>
      <c r="J1320" t="s">
        <v>255</v>
      </c>
      <c r="K1320" t="s">
        <v>258</v>
      </c>
      <c r="M1320" t="str">
        <f>_xlfn.XLOOKUP(E1320,tPacotes[ID_Pacote],tPacotes[Pacote])</f>
        <v>Machu Picchu</v>
      </c>
      <c r="N1320" t="str">
        <f>_xlfn.XLOOKUP(E1320,tPacotes[ID_Pacote],tPacotes[Categoria])</f>
        <v>Aventura</v>
      </c>
      <c r="O1320" t="str">
        <f>_xlfn.XLOOKUP(D1320,tClientes[ID_Cliente],tClientes[UF])</f>
        <v>SP</v>
      </c>
    </row>
    <row r="1321" spans="1:15" x14ac:dyDescent="0.3">
      <c r="A1321">
        <v>1320</v>
      </c>
      <c r="B1321" s="3">
        <v>46257</v>
      </c>
      <c r="C1321" s="3">
        <v>46313</v>
      </c>
      <c r="D1321">
        <v>142</v>
      </c>
      <c r="E1321">
        <v>13</v>
      </c>
      <c r="F1321">
        <v>1</v>
      </c>
      <c r="G1321" s="2">
        <v>7300</v>
      </c>
      <c r="H1321" s="4">
        <v>0.05</v>
      </c>
      <c r="I1321" s="2">
        <v>6935</v>
      </c>
      <c r="J1321" t="s">
        <v>255</v>
      </c>
      <c r="K1321" t="s">
        <v>254</v>
      </c>
      <c r="M1321" t="str">
        <f>_xlfn.XLOOKUP(E1321,tPacotes[ID_Pacote],tPacotes[Pacote])</f>
        <v>Machu Picchu</v>
      </c>
      <c r="N1321" t="str">
        <f>_xlfn.XLOOKUP(E1321,tPacotes[ID_Pacote],tPacotes[Categoria])</f>
        <v>Aventura</v>
      </c>
      <c r="O1321" t="str">
        <f>_xlfn.XLOOKUP(D1321,tClientes[ID_Cliente],tClientes[UF])</f>
        <v>RJ</v>
      </c>
    </row>
    <row r="1322" spans="1:15" x14ac:dyDescent="0.3">
      <c r="A1322">
        <v>1321</v>
      </c>
      <c r="B1322" s="3">
        <v>46259</v>
      </c>
      <c r="C1322" s="3">
        <v>46327</v>
      </c>
      <c r="D1322">
        <v>143</v>
      </c>
      <c r="E1322">
        <v>5</v>
      </c>
      <c r="F1322">
        <v>2</v>
      </c>
      <c r="G1322" s="2">
        <v>6800</v>
      </c>
      <c r="H1322" s="4">
        <v>0</v>
      </c>
      <c r="I1322" s="2">
        <v>6800</v>
      </c>
      <c r="J1322" t="s">
        <v>257</v>
      </c>
      <c r="K1322" t="s">
        <v>254</v>
      </c>
      <c r="M1322" t="str">
        <f>_xlfn.XLOOKUP(E1322,tPacotes[ID_Pacote],tPacotes[Pacote])</f>
        <v>Bonito Aventura</v>
      </c>
      <c r="N1322" t="str">
        <f>_xlfn.XLOOKUP(E1322,tPacotes[ID_Pacote],tPacotes[Categoria])</f>
        <v>Aventura</v>
      </c>
      <c r="O1322" t="str">
        <f>_xlfn.XLOOKUP(D1322,tClientes[ID_Cliente],tClientes[UF])</f>
        <v>DF</v>
      </c>
    </row>
    <row r="1323" spans="1:15" x14ac:dyDescent="0.3">
      <c r="A1323">
        <v>1322</v>
      </c>
      <c r="B1323" s="3">
        <v>46259</v>
      </c>
      <c r="C1323" s="3">
        <v>46291</v>
      </c>
      <c r="D1323">
        <v>98</v>
      </c>
      <c r="E1323">
        <v>9</v>
      </c>
      <c r="F1323">
        <v>2</v>
      </c>
      <c r="G1323" s="2">
        <v>17800</v>
      </c>
      <c r="H1323" s="4">
        <v>0</v>
      </c>
      <c r="I1323" s="2">
        <v>17800</v>
      </c>
      <c r="J1323" t="s">
        <v>253</v>
      </c>
      <c r="K1323" t="s">
        <v>258</v>
      </c>
      <c r="M1323" t="str">
        <f>_xlfn.XLOOKUP(E1323,tPacotes[ID_Pacote],tPacotes[Pacote])</f>
        <v>Cancún All Inclusive</v>
      </c>
      <c r="N1323" t="str">
        <f>_xlfn.XLOOKUP(E1323,tPacotes[ID_Pacote],tPacotes[Categoria])</f>
        <v>Praia</v>
      </c>
      <c r="O1323" t="str">
        <f>_xlfn.XLOOKUP(D1323,tClientes[ID_Cliente],tClientes[UF])</f>
        <v>SP</v>
      </c>
    </row>
    <row r="1324" spans="1:15" x14ac:dyDescent="0.3">
      <c r="A1324">
        <v>1323</v>
      </c>
      <c r="B1324" s="3">
        <v>46260</v>
      </c>
      <c r="C1324" s="3">
        <v>46415</v>
      </c>
      <c r="D1324">
        <v>40</v>
      </c>
      <c r="E1324">
        <v>13</v>
      </c>
      <c r="F1324">
        <v>2</v>
      </c>
      <c r="G1324" s="2">
        <v>14600</v>
      </c>
      <c r="H1324" s="4">
        <v>0.1</v>
      </c>
      <c r="I1324" s="2">
        <v>13140</v>
      </c>
      <c r="J1324" t="s">
        <v>255</v>
      </c>
      <c r="K1324" t="s">
        <v>254</v>
      </c>
      <c r="M1324" t="str">
        <f>_xlfn.XLOOKUP(E1324,tPacotes[ID_Pacote],tPacotes[Pacote])</f>
        <v>Machu Picchu</v>
      </c>
      <c r="N1324" t="str">
        <f>_xlfn.XLOOKUP(E1324,tPacotes[ID_Pacote],tPacotes[Categoria])</f>
        <v>Aventura</v>
      </c>
      <c r="O1324" t="str">
        <f>_xlfn.XLOOKUP(D1324,tClientes[ID_Cliente],tClientes[UF])</f>
        <v>RJ</v>
      </c>
    </row>
    <row r="1325" spans="1:15" x14ac:dyDescent="0.3">
      <c r="A1325">
        <v>1324</v>
      </c>
      <c r="B1325" s="3">
        <v>46260</v>
      </c>
      <c r="C1325" s="3">
        <v>46413</v>
      </c>
      <c r="D1325">
        <v>4</v>
      </c>
      <c r="E1325">
        <v>1</v>
      </c>
      <c r="F1325">
        <v>2</v>
      </c>
      <c r="G1325" s="2">
        <v>6400</v>
      </c>
      <c r="H1325" s="4">
        <v>0</v>
      </c>
      <c r="I1325" s="2">
        <v>6400</v>
      </c>
      <c r="J1325" t="s">
        <v>253</v>
      </c>
      <c r="K1325" t="s">
        <v>254</v>
      </c>
      <c r="M1325" t="str">
        <f>_xlfn.XLOOKUP(E1325,tPacotes[ID_Pacote],tPacotes[Pacote])</f>
        <v>Nordeste Encantado</v>
      </c>
      <c r="N1325" t="str">
        <f>_xlfn.XLOOKUP(E1325,tPacotes[ID_Pacote],tPacotes[Categoria])</f>
        <v>Praia</v>
      </c>
      <c r="O1325" t="str">
        <f>_xlfn.XLOOKUP(D1325,tClientes[ID_Cliente],tClientes[UF])</f>
        <v>RJ</v>
      </c>
    </row>
    <row r="1326" spans="1:15" x14ac:dyDescent="0.3">
      <c r="A1326">
        <v>1325</v>
      </c>
      <c r="B1326" s="3">
        <v>46261</v>
      </c>
      <c r="C1326" s="3">
        <v>46267</v>
      </c>
      <c r="D1326">
        <v>88</v>
      </c>
      <c r="E1326">
        <v>3</v>
      </c>
      <c r="F1326">
        <v>5</v>
      </c>
      <c r="G1326" s="2">
        <v>13000</v>
      </c>
      <c r="H1326" s="4">
        <v>0.05</v>
      </c>
      <c r="I1326" s="2">
        <v>12350</v>
      </c>
      <c r="J1326" t="s">
        <v>253</v>
      </c>
      <c r="K1326" t="s">
        <v>258</v>
      </c>
      <c r="M1326" t="str">
        <f>_xlfn.XLOOKUP(E1326,tPacotes[ID_Pacote],tPacotes[Pacote])</f>
        <v>Serra Gaúcha</v>
      </c>
      <c r="N1326" t="str">
        <f>_xlfn.XLOOKUP(E1326,tPacotes[ID_Pacote],tPacotes[Categoria])</f>
        <v>Inverno</v>
      </c>
      <c r="O1326" t="str">
        <f>_xlfn.XLOOKUP(D1326,tClientes[ID_Cliente],tClientes[UF])</f>
        <v>RJ</v>
      </c>
    </row>
    <row r="1327" spans="1:15" x14ac:dyDescent="0.3">
      <c r="A1327">
        <v>1326</v>
      </c>
      <c r="B1327" s="3">
        <v>46261</v>
      </c>
      <c r="C1327" s="3">
        <v>46293</v>
      </c>
      <c r="D1327">
        <v>160</v>
      </c>
      <c r="E1327">
        <v>6</v>
      </c>
      <c r="F1327">
        <v>2</v>
      </c>
      <c r="G1327" s="2">
        <v>4200</v>
      </c>
      <c r="H1327" s="4">
        <v>0</v>
      </c>
      <c r="I1327" s="2">
        <v>4200</v>
      </c>
      <c r="J1327" t="s">
        <v>255</v>
      </c>
      <c r="K1327" t="s">
        <v>258</v>
      </c>
      <c r="M1327" t="str">
        <f>_xlfn.XLOOKUP(E1327,tPacotes[ID_Pacote],tPacotes[Pacote])</f>
        <v>Foz do Iguaçu</v>
      </c>
      <c r="N1327" t="str">
        <f>_xlfn.XLOOKUP(E1327,tPacotes[ID_Pacote],tPacotes[Categoria])</f>
        <v>Natureza</v>
      </c>
      <c r="O1327" t="str">
        <f>_xlfn.XLOOKUP(D1327,tClientes[ID_Cliente],tClientes[UF])</f>
        <v>RJ</v>
      </c>
    </row>
    <row r="1328" spans="1:15" x14ac:dyDescent="0.3">
      <c r="A1328">
        <v>1327</v>
      </c>
      <c r="B1328" s="3">
        <v>46261</v>
      </c>
      <c r="C1328" s="3">
        <v>46307</v>
      </c>
      <c r="D1328">
        <v>88</v>
      </c>
      <c r="E1328">
        <v>5</v>
      </c>
      <c r="F1328">
        <v>2</v>
      </c>
      <c r="G1328" s="2">
        <v>6800</v>
      </c>
      <c r="H1328" s="4">
        <v>0.05</v>
      </c>
      <c r="I1328" s="2">
        <v>6460</v>
      </c>
      <c r="J1328" t="s">
        <v>255</v>
      </c>
      <c r="K1328" t="s">
        <v>254</v>
      </c>
      <c r="M1328" t="str">
        <f>_xlfn.XLOOKUP(E1328,tPacotes[ID_Pacote],tPacotes[Pacote])</f>
        <v>Bonito Aventura</v>
      </c>
      <c r="N1328" t="str">
        <f>_xlfn.XLOOKUP(E1328,tPacotes[ID_Pacote],tPacotes[Categoria])</f>
        <v>Aventura</v>
      </c>
      <c r="O1328" t="str">
        <f>_xlfn.XLOOKUP(D1328,tClientes[ID_Cliente],tClientes[UF])</f>
        <v>RJ</v>
      </c>
    </row>
    <row r="1329" spans="1:15" x14ac:dyDescent="0.3">
      <c r="A1329">
        <v>1328</v>
      </c>
      <c r="B1329" s="3">
        <v>46262</v>
      </c>
      <c r="C1329" s="3">
        <v>46418</v>
      </c>
      <c r="D1329">
        <v>99</v>
      </c>
      <c r="E1329">
        <v>2</v>
      </c>
      <c r="F1329">
        <v>2</v>
      </c>
      <c r="G1329" s="2">
        <v>3600</v>
      </c>
      <c r="H1329" s="4">
        <v>0</v>
      </c>
      <c r="I1329" s="2">
        <v>3600</v>
      </c>
      <c r="J1329" t="s">
        <v>255</v>
      </c>
      <c r="K1329" t="s">
        <v>258</v>
      </c>
      <c r="M1329" t="str">
        <f>_xlfn.XLOOKUP(E1329,tPacotes[ID_Pacote],tPacotes[Pacote])</f>
        <v>Rio Cidade Maravilhosa</v>
      </c>
      <c r="N1329" t="str">
        <f>_xlfn.XLOOKUP(E1329,tPacotes[ID_Pacote],tPacotes[Categoria])</f>
        <v>Cultural</v>
      </c>
      <c r="O1329" t="str">
        <f>_xlfn.XLOOKUP(D1329,tClientes[ID_Cliente],tClientes[UF])</f>
        <v>SP</v>
      </c>
    </row>
    <row r="1330" spans="1:15" x14ac:dyDescent="0.3">
      <c r="A1330">
        <v>1329</v>
      </c>
      <c r="B1330" s="3">
        <v>46262</v>
      </c>
      <c r="C1330" s="3">
        <v>46418</v>
      </c>
      <c r="D1330">
        <v>74</v>
      </c>
      <c r="E1330">
        <v>15</v>
      </c>
      <c r="F1330">
        <v>4</v>
      </c>
      <c r="G1330" s="2">
        <v>12400</v>
      </c>
      <c r="H1330" s="4">
        <v>0.05</v>
      </c>
      <c r="I1330" s="2">
        <v>11780</v>
      </c>
      <c r="J1330" t="s">
        <v>255</v>
      </c>
      <c r="K1330" t="s">
        <v>254</v>
      </c>
      <c r="M1330" t="str">
        <f>_xlfn.XLOOKUP(E1330,tPacotes[ID_Pacote],tPacotes[Pacote])</f>
        <v>Jericoacoara</v>
      </c>
      <c r="N1330" t="str">
        <f>_xlfn.XLOOKUP(E1330,tPacotes[ID_Pacote],tPacotes[Categoria])</f>
        <v>Praia</v>
      </c>
      <c r="O1330" t="str">
        <f>_xlfn.XLOOKUP(D1330,tClientes[ID_Cliente],tClientes[UF])</f>
        <v>SP</v>
      </c>
    </row>
    <row r="1331" spans="1:15" x14ac:dyDescent="0.3">
      <c r="A1331">
        <v>1330</v>
      </c>
      <c r="B1331" s="3">
        <v>46263</v>
      </c>
      <c r="C1331" s="3">
        <v>46268</v>
      </c>
      <c r="D1331">
        <v>18</v>
      </c>
      <c r="E1331">
        <v>2</v>
      </c>
      <c r="F1331">
        <v>1</v>
      </c>
      <c r="G1331" s="2">
        <v>1800</v>
      </c>
      <c r="H1331" s="4">
        <v>0</v>
      </c>
      <c r="I1331" s="2">
        <v>1800</v>
      </c>
      <c r="J1331" t="s">
        <v>253</v>
      </c>
      <c r="K1331" t="s">
        <v>254</v>
      </c>
      <c r="L1331">
        <v>3</v>
      </c>
      <c r="M1331" t="str">
        <f>_xlfn.XLOOKUP(E1331,tPacotes[ID_Pacote],tPacotes[Pacote])</f>
        <v>Rio Cidade Maravilhosa</v>
      </c>
      <c r="N1331" t="str">
        <f>_xlfn.XLOOKUP(E1331,tPacotes[ID_Pacote],tPacotes[Categoria])</f>
        <v>Cultural</v>
      </c>
      <c r="O1331" t="str">
        <f>_xlfn.XLOOKUP(D1331,tClientes[ID_Cliente],tClientes[UF])</f>
        <v>PR</v>
      </c>
    </row>
    <row r="1332" spans="1:15" x14ac:dyDescent="0.3">
      <c r="A1332">
        <v>1331</v>
      </c>
      <c r="B1332" s="3">
        <v>46263</v>
      </c>
      <c r="C1332" s="3">
        <v>46280</v>
      </c>
      <c r="D1332">
        <v>44</v>
      </c>
      <c r="E1332">
        <v>9</v>
      </c>
      <c r="F1332">
        <v>1</v>
      </c>
      <c r="G1332" s="2">
        <v>8900</v>
      </c>
      <c r="H1332" s="4">
        <v>0.1</v>
      </c>
      <c r="I1332" s="2">
        <v>8010</v>
      </c>
      <c r="J1332" t="s">
        <v>253</v>
      </c>
      <c r="K1332" t="s">
        <v>254</v>
      </c>
      <c r="L1332">
        <v>4</v>
      </c>
      <c r="M1332" t="str">
        <f>_xlfn.XLOOKUP(E1332,tPacotes[ID_Pacote],tPacotes[Pacote])</f>
        <v>Cancún All Inclusive</v>
      </c>
      <c r="N1332" t="str">
        <f>_xlfn.XLOOKUP(E1332,tPacotes[ID_Pacote],tPacotes[Categoria])</f>
        <v>Praia</v>
      </c>
      <c r="O1332" t="str">
        <f>_xlfn.XLOOKUP(D1332,tClientes[ID_Cliente],tClientes[UF])</f>
        <v>DF</v>
      </c>
    </row>
    <row r="1333" spans="1:15" x14ac:dyDescent="0.3">
      <c r="A1333">
        <v>1332</v>
      </c>
      <c r="B1333" s="3">
        <v>46264</v>
      </c>
      <c r="C1333" s="3">
        <v>46304</v>
      </c>
      <c r="D1333">
        <v>51</v>
      </c>
      <c r="E1333">
        <v>15</v>
      </c>
      <c r="F1333">
        <v>1</v>
      </c>
      <c r="G1333" s="2">
        <v>3100</v>
      </c>
      <c r="H1333" s="4">
        <v>0.1</v>
      </c>
      <c r="I1333" s="2">
        <v>2790</v>
      </c>
      <c r="J1333" t="s">
        <v>253</v>
      </c>
      <c r="K1333" t="s">
        <v>254</v>
      </c>
      <c r="M1333" t="str">
        <f>_xlfn.XLOOKUP(E1333,tPacotes[ID_Pacote],tPacotes[Pacote])</f>
        <v>Jericoacoara</v>
      </c>
      <c r="N1333" t="str">
        <f>_xlfn.XLOOKUP(E1333,tPacotes[ID_Pacote],tPacotes[Categoria])</f>
        <v>Praia</v>
      </c>
      <c r="O1333" t="str">
        <f>_xlfn.XLOOKUP(D1333,tClientes[ID_Cliente],tClientes[UF])</f>
        <v>RJ</v>
      </c>
    </row>
    <row r="1334" spans="1:15" x14ac:dyDescent="0.3">
      <c r="A1334">
        <v>1333</v>
      </c>
      <c r="B1334" s="3">
        <v>46266</v>
      </c>
      <c r="C1334" s="3">
        <v>46319</v>
      </c>
      <c r="D1334">
        <v>70</v>
      </c>
      <c r="E1334">
        <v>9</v>
      </c>
      <c r="F1334">
        <v>4</v>
      </c>
      <c r="G1334" s="2">
        <v>35600</v>
      </c>
      <c r="H1334" s="4">
        <v>0</v>
      </c>
      <c r="I1334" s="2">
        <v>35600</v>
      </c>
      <c r="J1334" t="s">
        <v>253</v>
      </c>
      <c r="K1334" t="s">
        <v>254</v>
      </c>
      <c r="M1334" t="str">
        <f>_xlfn.XLOOKUP(E1334,tPacotes[ID_Pacote],tPacotes[Pacote])</f>
        <v>Cancún All Inclusive</v>
      </c>
      <c r="N1334" t="str">
        <f>_xlfn.XLOOKUP(E1334,tPacotes[ID_Pacote],tPacotes[Categoria])</f>
        <v>Praia</v>
      </c>
      <c r="O1334" t="str">
        <f>_xlfn.XLOOKUP(D1334,tClientes[ID_Cliente],tClientes[UF])</f>
        <v>MG</v>
      </c>
    </row>
    <row r="1335" spans="1:15" x14ac:dyDescent="0.3">
      <c r="A1335">
        <v>1334</v>
      </c>
      <c r="B1335" s="3">
        <v>46266</v>
      </c>
      <c r="C1335" s="3">
        <v>46274</v>
      </c>
      <c r="D1335">
        <v>65</v>
      </c>
      <c r="E1335">
        <v>13</v>
      </c>
      <c r="F1335">
        <v>2</v>
      </c>
      <c r="G1335" s="2">
        <v>14600</v>
      </c>
      <c r="H1335" s="4">
        <v>0.15</v>
      </c>
      <c r="I1335" s="2">
        <v>12410</v>
      </c>
      <c r="J1335" t="s">
        <v>255</v>
      </c>
      <c r="K1335" t="s">
        <v>254</v>
      </c>
      <c r="L1335">
        <v>1</v>
      </c>
      <c r="M1335" t="str">
        <f>_xlfn.XLOOKUP(E1335,tPacotes[ID_Pacote],tPacotes[Pacote])</f>
        <v>Machu Picchu</v>
      </c>
      <c r="N1335" t="str">
        <f>_xlfn.XLOOKUP(E1335,tPacotes[ID_Pacote],tPacotes[Categoria])</f>
        <v>Aventura</v>
      </c>
      <c r="O1335" t="str">
        <f>_xlfn.XLOOKUP(D1335,tClientes[ID_Cliente],tClientes[UF])</f>
        <v>SP</v>
      </c>
    </row>
    <row r="1336" spans="1:15" x14ac:dyDescent="0.3">
      <c r="A1336">
        <v>1335</v>
      </c>
      <c r="B1336" s="3">
        <v>46267</v>
      </c>
      <c r="C1336" s="3">
        <v>46272</v>
      </c>
      <c r="D1336">
        <v>163</v>
      </c>
      <c r="E1336">
        <v>14</v>
      </c>
      <c r="F1336">
        <v>1</v>
      </c>
      <c r="G1336" s="2">
        <v>2900</v>
      </c>
      <c r="H1336" s="4">
        <v>0</v>
      </c>
      <c r="I1336" s="2">
        <v>2900</v>
      </c>
      <c r="J1336" t="s">
        <v>255</v>
      </c>
      <c r="K1336" t="s">
        <v>254</v>
      </c>
      <c r="L1336">
        <v>5</v>
      </c>
      <c r="M1336" t="str">
        <f>_xlfn.XLOOKUP(E1336,tPacotes[ID_Pacote],tPacotes[Pacote])</f>
        <v>Lençóis Maranhenses</v>
      </c>
      <c r="N1336" t="str">
        <f>_xlfn.XLOOKUP(E1336,tPacotes[ID_Pacote],tPacotes[Categoria])</f>
        <v>Natureza</v>
      </c>
      <c r="O1336" t="str">
        <f>_xlfn.XLOOKUP(D1336,tClientes[ID_Cliente],tClientes[UF])</f>
        <v>DF</v>
      </c>
    </row>
    <row r="1337" spans="1:15" x14ac:dyDescent="0.3">
      <c r="A1337">
        <v>1336</v>
      </c>
      <c r="B1337" s="3">
        <v>46267</v>
      </c>
      <c r="C1337" s="3">
        <v>46289</v>
      </c>
      <c r="D1337">
        <v>111</v>
      </c>
      <c r="E1337">
        <v>2</v>
      </c>
      <c r="F1337">
        <v>1</v>
      </c>
      <c r="G1337" s="2">
        <v>1800</v>
      </c>
      <c r="H1337" s="4">
        <v>0.15</v>
      </c>
      <c r="I1337" s="2">
        <v>1530</v>
      </c>
      <c r="J1337" t="s">
        <v>256</v>
      </c>
      <c r="K1337" t="s">
        <v>258</v>
      </c>
      <c r="M1337" t="str">
        <f>_xlfn.XLOOKUP(E1337,tPacotes[ID_Pacote],tPacotes[Pacote])</f>
        <v>Rio Cidade Maravilhosa</v>
      </c>
      <c r="N1337" t="str">
        <f>_xlfn.XLOOKUP(E1337,tPacotes[ID_Pacote],tPacotes[Categoria])</f>
        <v>Cultural</v>
      </c>
      <c r="O1337" t="str">
        <f>_xlfn.XLOOKUP(D1337,tClientes[ID_Cliente],tClientes[UF])</f>
        <v>RJ</v>
      </c>
    </row>
    <row r="1338" spans="1:15" x14ac:dyDescent="0.3">
      <c r="A1338">
        <v>1337</v>
      </c>
      <c r="B1338" s="3">
        <v>46270</v>
      </c>
      <c r="C1338" s="3">
        <v>46274</v>
      </c>
      <c r="D1338">
        <v>126</v>
      </c>
      <c r="E1338">
        <v>10</v>
      </c>
      <c r="F1338">
        <v>1</v>
      </c>
      <c r="G1338" s="2">
        <v>11500</v>
      </c>
      <c r="H1338" s="4">
        <v>0</v>
      </c>
      <c r="I1338" s="2">
        <v>11500</v>
      </c>
      <c r="J1338" t="s">
        <v>253</v>
      </c>
      <c r="K1338" t="s">
        <v>254</v>
      </c>
      <c r="L1338">
        <v>3</v>
      </c>
      <c r="M1338" t="str">
        <f>_xlfn.XLOOKUP(E1338,tPacotes[ID_Pacote],tPacotes[Pacote])</f>
        <v>Orlando Parques</v>
      </c>
      <c r="N1338" t="str">
        <f>_xlfn.XLOOKUP(E1338,tPacotes[ID_Pacote],tPacotes[Categoria])</f>
        <v>Parques</v>
      </c>
      <c r="O1338" t="str">
        <f>_xlfn.XLOOKUP(D1338,tClientes[ID_Cliente],tClientes[UF])</f>
        <v>MG</v>
      </c>
    </row>
    <row r="1339" spans="1:15" x14ac:dyDescent="0.3">
      <c r="A1339">
        <v>1338</v>
      </c>
      <c r="B1339" s="3">
        <v>46271</v>
      </c>
      <c r="C1339" s="3">
        <v>46294</v>
      </c>
      <c r="D1339">
        <v>197</v>
      </c>
      <c r="E1339">
        <v>6</v>
      </c>
      <c r="F1339">
        <v>3</v>
      </c>
      <c r="G1339" s="2">
        <v>6300</v>
      </c>
      <c r="H1339" s="4">
        <v>0.1</v>
      </c>
      <c r="I1339" s="2">
        <v>5670</v>
      </c>
      <c r="J1339" t="s">
        <v>253</v>
      </c>
      <c r="K1339" t="s">
        <v>254</v>
      </c>
      <c r="M1339" t="str">
        <f>_xlfn.XLOOKUP(E1339,tPacotes[ID_Pacote],tPacotes[Pacote])</f>
        <v>Foz do Iguaçu</v>
      </c>
      <c r="N1339" t="str">
        <f>_xlfn.XLOOKUP(E1339,tPacotes[ID_Pacote],tPacotes[Categoria])</f>
        <v>Natureza</v>
      </c>
      <c r="O1339" t="str">
        <f>_xlfn.XLOOKUP(D1339,tClientes[ID_Cliente],tClientes[UF])</f>
        <v>SP</v>
      </c>
    </row>
    <row r="1340" spans="1:15" x14ac:dyDescent="0.3">
      <c r="A1340">
        <v>1339</v>
      </c>
      <c r="B1340" s="3">
        <v>46271</v>
      </c>
      <c r="C1340" s="3">
        <v>46283</v>
      </c>
      <c r="D1340">
        <v>125</v>
      </c>
      <c r="E1340">
        <v>3</v>
      </c>
      <c r="F1340">
        <v>2</v>
      </c>
      <c r="G1340" s="2">
        <v>5200</v>
      </c>
      <c r="H1340" s="4">
        <v>0.15</v>
      </c>
      <c r="I1340" s="2">
        <v>4420</v>
      </c>
      <c r="J1340" t="s">
        <v>253</v>
      </c>
      <c r="K1340" t="s">
        <v>254</v>
      </c>
      <c r="L1340">
        <v>5</v>
      </c>
      <c r="M1340" t="str">
        <f>_xlfn.XLOOKUP(E1340,tPacotes[ID_Pacote],tPacotes[Pacote])</f>
        <v>Serra Gaúcha</v>
      </c>
      <c r="N1340" t="str">
        <f>_xlfn.XLOOKUP(E1340,tPacotes[ID_Pacote],tPacotes[Categoria])</f>
        <v>Inverno</v>
      </c>
      <c r="O1340" t="str">
        <f>_xlfn.XLOOKUP(D1340,tClientes[ID_Cliente],tClientes[UF])</f>
        <v>MG</v>
      </c>
    </row>
    <row r="1341" spans="1:15" x14ac:dyDescent="0.3">
      <c r="A1341">
        <v>1340</v>
      </c>
      <c r="B1341" s="3">
        <v>46271</v>
      </c>
      <c r="C1341" s="3">
        <v>46373</v>
      </c>
      <c r="D1341">
        <v>90</v>
      </c>
      <c r="E1341">
        <v>9</v>
      </c>
      <c r="F1341">
        <v>2</v>
      </c>
      <c r="G1341" s="2">
        <v>17800</v>
      </c>
      <c r="H1341" s="4">
        <v>0.1</v>
      </c>
      <c r="I1341" s="2">
        <v>16020</v>
      </c>
      <c r="J1341" t="s">
        <v>256</v>
      </c>
      <c r="K1341" t="s">
        <v>254</v>
      </c>
      <c r="M1341" t="str">
        <f>_xlfn.XLOOKUP(E1341,tPacotes[ID_Pacote],tPacotes[Pacote])</f>
        <v>Cancún All Inclusive</v>
      </c>
      <c r="N1341" t="str">
        <f>_xlfn.XLOOKUP(E1341,tPacotes[ID_Pacote],tPacotes[Categoria])</f>
        <v>Praia</v>
      </c>
      <c r="O1341" t="str">
        <f>_xlfn.XLOOKUP(D1341,tClientes[ID_Cliente],tClientes[UF])</f>
        <v>RS</v>
      </c>
    </row>
    <row r="1342" spans="1:15" x14ac:dyDescent="0.3">
      <c r="A1342">
        <v>1341</v>
      </c>
      <c r="B1342" s="3">
        <v>46272</v>
      </c>
      <c r="C1342" s="3">
        <v>46302</v>
      </c>
      <c r="D1342">
        <v>156</v>
      </c>
      <c r="E1342">
        <v>3</v>
      </c>
      <c r="F1342">
        <v>1</v>
      </c>
      <c r="G1342" s="2">
        <v>2600</v>
      </c>
      <c r="H1342" s="4">
        <v>0</v>
      </c>
      <c r="I1342" s="2">
        <v>2600</v>
      </c>
      <c r="J1342" t="s">
        <v>253</v>
      </c>
      <c r="K1342" t="s">
        <v>254</v>
      </c>
      <c r="M1342" t="str">
        <f>_xlfn.XLOOKUP(E1342,tPacotes[ID_Pacote],tPacotes[Pacote])</f>
        <v>Serra Gaúcha</v>
      </c>
      <c r="N1342" t="str">
        <f>_xlfn.XLOOKUP(E1342,tPacotes[ID_Pacote],tPacotes[Categoria])</f>
        <v>Inverno</v>
      </c>
      <c r="O1342" t="str">
        <f>_xlfn.XLOOKUP(D1342,tClientes[ID_Cliente],tClientes[UF])</f>
        <v>SP</v>
      </c>
    </row>
    <row r="1343" spans="1:15" x14ac:dyDescent="0.3">
      <c r="A1343">
        <v>1342</v>
      </c>
      <c r="B1343" s="3">
        <v>46272</v>
      </c>
      <c r="C1343" s="3">
        <v>46280</v>
      </c>
      <c r="D1343">
        <v>122</v>
      </c>
      <c r="E1343">
        <v>5</v>
      </c>
      <c r="F1343">
        <v>4</v>
      </c>
      <c r="G1343" s="2">
        <v>13600</v>
      </c>
      <c r="H1343" s="4">
        <v>0</v>
      </c>
      <c r="I1343" s="2">
        <v>13600</v>
      </c>
      <c r="J1343" t="s">
        <v>257</v>
      </c>
      <c r="K1343" t="s">
        <v>254</v>
      </c>
      <c r="L1343">
        <v>3</v>
      </c>
      <c r="M1343" t="str">
        <f>_xlfn.XLOOKUP(E1343,tPacotes[ID_Pacote],tPacotes[Pacote])</f>
        <v>Bonito Aventura</v>
      </c>
      <c r="N1343" t="str">
        <f>_xlfn.XLOOKUP(E1343,tPacotes[ID_Pacote],tPacotes[Categoria])</f>
        <v>Aventura</v>
      </c>
      <c r="O1343" t="str">
        <f>_xlfn.XLOOKUP(D1343,tClientes[ID_Cliente],tClientes[UF])</f>
        <v>PR</v>
      </c>
    </row>
    <row r="1344" spans="1:15" x14ac:dyDescent="0.3">
      <c r="A1344">
        <v>1343</v>
      </c>
      <c r="B1344" s="3">
        <v>46272</v>
      </c>
      <c r="C1344" s="3">
        <v>46275</v>
      </c>
      <c r="D1344">
        <v>39</v>
      </c>
      <c r="E1344">
        <v>15</v>
      </c>
      <c r="F1344">
        <v>4</v>
      </c>
      <c r="G1344" s="2">
        <v>12400</v>
      </c>
      <c r="H1344" s="4">
        <v>0</v>
      </c>
      <c r="I1344" s="2">
        <v>12400</v>
      </c>
      <c r="J1344" t="s">
        <v>255</v>
      </c>
      <c r="K1344" t="s">
        <v>254</v>
      </c>
      <c r="L1344">
        <v>4</v>
      </c>
      <c r="M1344" t="str">
        <f>_xlfn.XLOOKUP(E1344,tPacotes[ID_Pacote],tPacotes[Pacote])</f>
        <v>Jericoacoara</v>
      </c>
      <c r="N1344" t="str">
        <f>_xlfn.XLOOKUP(E1344,tPacotes[ID_Pacote],tPacotes[Categoria])</f>
        <v>Praia</v>
      </c>
      <c r="O1344" t="str">
        <f>_xlfn.XLOOKUP(D1344,tClientes[ID_Cliente],tClientes[UF])</f>
        <v>RJ</v>
      </c>
    </row>
    <row r="1345" spans="1:15" x14ac:dyDescent="0.3">
      <c r="A1345">
        <v>1344</v>
      </c>
      <c r="B1345" s="3">
        <v>46273</v>
      </c>
      <c r="C1345" s="3">
        <v>46307</v>
      </c>
      <c r="D1345">
        <v>154</v>
      </c>
      <c r="E1345">
        <v>14</v>
      </c>
      <c r="F1345">
        <v>1</v>
      </c>
      <c r="G1345" s="2">
        <v>2900</v>
      </c>
      <c r="H1345" s="4">
        <v>0</v>
      </c>
      <c r="I1345" s="2">
        <v>2900</v>
      </c>
      <c r="J1345" t="s">
        <v>255</v>
      </c>
      <c r="K1345" t="s">
        <v>254</v>
      </c>
      <c r="M1345" t="str">
        <f>_xlfn.XLOOKUP(E1345,tPacotes[ID_Pacote],tPacotes[Pacote])</f>
        <v>Lençóis Maranhenses</v>
      </c>
      <c r="N1345" t="str">
        <f>_xlfn.XLOOKUP(E1345,tPacotes[ID_Pacote],tPacotes[Categoria])</f>
        <v>Natureza</v>
      </c>
      <c r="O1345" t="str">
        <f>_xlfn.XLOOKUP(D1345,tClientes[ID_Cliente],tClientes[UF])</f>
        <v>DF</v>
      </c>
    </row>
    <row r="1346" spans="1:15" x14ac:dyDescent="0.3">
      <c r="A1346">
        <v>1345</v>
      </c>
      <c r="B1346" s="3">
        <v>46273</v>
      </c>
      <c r="C1346" s="3">
        <v>46430</v>
      </c>
      <c r="D1346">
        <v>116</v>
      </c>
      <c r="E1346">
        <v>11</v>
      </c>
      <c r="F1346">
        <v>3</v>
      </c>
      <c r="G1346" s="2">
        <v>47400</v>
      </c>
      <c r="H1346" s="4">
        <v>0.05</v>
      </c>
      <c r="I1346" s="2">
        <v>45030</v>
      </c>
      <c r="J1346" t="s">
        <v>255</v>
      </c>
      <c r="K1346" t="s">
        <v>254</v>
      </c>
      <c r="M1346" t="str">
        <f>_xlfn.XLOOKUP(E1346,tPacotes[ID_Pacote],tPacotes[Pacote])</f>
        <v>Paris e Londres</v>
      </c>
      <c r="N1346" t="str">
        <f>_xlfn.XLOOKUP(E1346,tPacotes[ID_Pacote],tPacotes[Categoria])</f>
        <v>Cultural</v>
      </c>
      <c r="O1346" t="str">
        <f>_xlfn.XLOOKUP(D1346,tClientes[ID_Cliente],tClientes[UF])</f>
        <v>RJ</v>
      </c>
    </row>
    <row r="1347" spans="1:15" x14ac:dyDescent="0.3">
      <c r="A1347">
        <v>1346</v>
      </c>
      <c r="B1347" s="3">
        <v>46274</v>
      </c>
      <c r="C1347" s="3">
        <v>46310</v>
      </c>
      <c r="D1347">
        <v>118</v>
      </c>
      <c r="E1347">
        <v>1</v>
      </c>
      <c r="F1347">
        <v>2</v>
      </c>
      <c r="G1347" s="2">
        <v>6400</v>
      </c>
      <c r="H1347" s="4">
        <v>0</v>
      </c>
      <c r="I1347" s="2">
        <v>6400</v>
      </c>
      <c r="J1347" t="s">
        <v>253</v>
      </c>
      <c r="K1347" t="s">
        <v>258</v>
      </c>
      <c r="M1347" t="str">
        <f>_xlfn.XLOOKUP(E1347,tPacotes[ID_Pacote],tPacotes[Pacote])</f>
        <v>Nordeste Encantado</v>
      </c>
      <c r="N1347" t="str">
        <f>_xlfn.XLOOKUP(E1347,tPacotes[ID_Pacote],tPacotes[Categoria])</f>
        <v>Praia</v>
      </c>
      <c r="O1347" t="str">
        <f>_xlfn.XLOOKUP(D1347,tClientes[ID_Cliente],tClientes[UF])</f>
        <v>SP</v>
      </c>
    </row>
    <row r="1348" spans="1:15" x14ac:dyDescent="0.3">
      <c r="A1348">
        <v>1347</v>
      </c>
      <c r="B1348" s="3">
        <v>46274</v>
      </c>
      <c r="C1348" s="3">
        <v>46372</v>
      </c>
      <c r="D1348">
        <v>48</v>
      </c>
      <c r="E1348">
        <v>1</v>
      </c>
      <c r="F1348">
        <v>5</v>
      </c>
      <c r="G1348" s="2">
        <v>16000</v>
      </c>
      <c r="H1348" s="4">
        <v>0</v>
      </c>
      <c r="I1348" s="2">
        <v>16000</v>
      </c>
      <c r="J1348" t="s">
        <v>257</v>
      </c>
      <c r="K1348" t="s">
        <v>258</v>
      </c>
      <c r="M1348" t="str">
        <f>_xlfn.XLOOKUP(E1348,tPacotes[ID_Pacote],tPacotes[Pacote])</f>
        <v>Nordeste Encantado</v>
      </c>
      <c r="N1348" t="str">
        <f>_xlfn.XLOOKUP(E1348,tPacotes[ID_Pacote],tPacotes[Categoria])</f>
        <v>Praia</v>
      </c>
      <c r="O1348" t="str">
        <f>_xlfn.XLOOKUP(D1348,tClientes[ID_Cliente],tClientes[UF])</f>
        <v>SP</v>
      </c>
    </row>
    <row r="1349" spans="1:15" x14ac:dyDescent="0.3">
      <c r="A1349">
        <v>1348</v>
      </c>
      <c r="B1349" s="3">
        <v>46274</v>
      </c>
      <c r="C1349" s="3">
        <v>46293</v>
      </c>
      <c r="D1349">
        <v>97</v>
      </c>
      <c r="E1349">
        <v>8</v>
      </c>
      <c r="F1349">
        <v>1</v>
      </c>
      <c r="G1349" s="2">
        <v>5900</v>
      </c>
      <c r="H1349" s="4">
        <v>0.1</v>
      </c>
      <c r="I1349" s="2">
        <v>5310</v>
      </c>
      <c r="J1349" t="s">
        <v>257</v>
      </c>
      <c r="K1349" t="s">
        <v>254</v>
      </c>
      <c r="M1349" t="str">
        <f>_xlfn.XLOOKUP(E1349,tPacotes[ID_Pacote],tPacotes[Pacote])</f>
        <v>Santiago e Neve</v>
      </c>
      <c r="N1349" t="str">
        <f>_xlfn.XLOOKUP(E1349,tPacotes[ID_Pacote],tPacotes[Categoria])</f>
        <v>Inverno</v>
      </c>
      <c r="O1349" t="str">
        <f>_xlfn.XLOOKUP(D1349,tClientes[ID_Cliente],tClientes[UF])</f>
        <v>SP</v>
      </c>
    </row>
    <row r="1350" spans="1:15" x14ac:dyDescent="0.3">
      <c r="A1350">
        <v>1349</v>
      </c>
      <c r="B1350" s="3">
        <v>46275</v>
      </c>
      <c r="C1350" s="3">
        <v>46285</v>
      </c>
      <c r="D1350">
        <v>173</v>
      </c>
      <c r="E1350">
        <v>1</v>
      </c>
      <c r="F1350">
        <v>1</v>
      </c>
      <c r="G1350" s="2">
        <v>3200</v>
      </c>
      <c r="H1350" s="4">
        <v>0</v>
      </c>
      <c r="I1350" s="2">
        <v>3200</v>
      </c>
      <c r="J1350" t="s">
        <v>253</v>
      </c>
      <c r="K1350" t="s">
        <v>254</v>
      </c>
      <c r="L1350">
        <v>3</v>
      </c>
      <c r="M1350" t="str">
        <f>_xlfn.XLOOKUP(E1350,tPacotes[ID_Pacote],tPacotes[Pacote])</f>
        <v>Nordeste Encantado</v>
      </c>
      <c r="N1350" t="str">
        <f>_xlfn.XLOOKUP(E1350,tPacotes[ID_Pacote],tPacotes[Categoria])</f>
        <v>Praia</v>
      </c>
      <c r="O1350" t="str">
        <f>_xlfn.XLOOKUP(D1350,tClientes[ID_Cliente],tClientes[UF])</f>
        <v>BA</v>
      </c>
    </row>
    <row r="1351" spans="1:15" x14ac:dyDescent="0.3">
      <c r="A1351">
        <v>1350</v>
      </c>
      <c r="B1351" s="3">
        <v>46276</v>
      </c>
      <c r="C1351" s="3">
        <v>46324</v>
      </c>
      <c r="D1351">
        <v>57</v>
      </c>
      <c r="E1351">
        <v>12</v>
      </c>
      <c r="F1351">
        <v>2</v>
      </c>
      <c r="G1351" s="2">
        <v>24800</v>
      </c>
      <c r="H1351" s="4">
        <v>0</v>
      </c>
      <c r="I1351" s="2">
        <v>24800</v>
      </c>
      <c r="J1351" t="s">
        <v>253</v>
      </c>
      <c r="K1351" t="s">
        <v>254</v>
      </c>
      <c r="M1351" t="str">
        <f>_xlfn.XLOOKUP(E1351,tPacotes[ID_Pacote],tPacotes[Pacote])</f>
        <v>Lisboa e Porto</v>
      </c>
      <c r="N1351" t="str">
        <f>_xlfn.XLOOKUP(E1351,tPacotes[ID_Pacote],tPacotes[Categoria])</f>
        <v>Cultural</v>
      </c>
      <c r="O1351" t="str">
        <f>_xlfn.XLOOKUP(D1351,tClientes[ID_Cliente],tClientes[UF])</f>
        <v>MG</v>
      </c>
    </row>
    <row r="1352" spans="1:15" x14ac:dyDescent="0.3">
      <c r="A1352">
        <v>1351</v>
      </c>
      <c r="B1352" s="3">
        <v>46277</v>
      </c>
      <c r="C1352" s="3">
        <v>46369</v>
      </c>
      <c r="D1352">
        <v>35</v>
      </c>
      <c r="E1352">
        <v>7</v>
      </c>
      <c r="F1352">
        <v>3</v>
      </c>
      <c r="G1352" s="2">
        <v>12600</v>
      </c>
      <c r="H1352" s="4">
        <v>0</v>
      </c>
      <c r="I1352" s="2">
        <v>12600</v>
      </c>
      <c r="J1352" t="s">
        <v>257</v>
      </c>
      <c r="K1352" t="s">
        <v>254</v>
      </c>
      <c r="M1352" t="str">
        <f>_xlfn.XLOOKUP(E1352,tPacotes[ID_Pacote],tPacotes[Pacote])</f>
        <v>Buenos Aires Clássica</v>
      </c>
      <c r="N1352" t="str">
        <f>_xlfn.XLOOKUP(E1352,tPacotes[ID_Pacote],tPacotes[Categoria])</f>
        <v>Cultural</v>
      </c>
      <c r="O1352" t="str">
        <f>_xlfn.XLOOKUP(D1352,tClientes[ID_Cliente],tClientes[UF])</f>
        <v>DF</v>
      </c>
    </row>
    <row r="1353" spans="1:15" x14ac:dyDescent="0.3">
      <c r="A1353">
        <v>1352</v>
      </c>
      <c r="B1353" s="3">
        <v>46277</v>
      </c>
      <c r="C1353" s="3">
        <v>46305</v>
      </c>
      <c r="D1353">
        <v>184</v>
      </c>
      <c r="E1353">
        <v>1</v>
      </c>
      <c r="F1353">
        <v>4</v>
      </c>
      <c r="G1353" s="2">
        <v>12800</v>
      </c>
      <c r="H1353" s="4">
        <v>0</v>
      </c>
      <c r="I1353" s="2">
        <v>12800</v>
      </c>
      <c r="J1353" t="s">
        <v>255</v>
      </c>
      <c r="K1353" t="s">
        <v>258</v>
      </c>
      <c r="M1353" t="str">
        <f>_xlfn.XLOOKUP(E1353,tPacotes[ID_Pacote],tPacotes[Pacote])</f>
        <v>Nordeste Encantado</v>
      </c>
      <c r="N1353" t="str">
        <f>_xlfn.XLOOKUP(E1353,tPacotes[ID_Pacote],tPacotes[Categoria])</f>
        <v>Praia</v>
      </c>
      <c r="O1353" t="str">
        <f>_xlfn.XLOOKUP(D1353,tClientes[ID_Cliente],tClientes[UF])</f>
        <v>SP</v>
      </c>
    </row>
    <row r="1354" spans="1:15" x14ac:dyDescent="0.3">
      <c r="A1354">
        <v>1353</v>
      </c>
      <c r="B1354" s="3">
        <v>46278</v>
      </c>
      <c r="C1354" s="3">
        <v>46338</v>
      </c>
      <c r="D1354">
        <v>70</v>
      </c>
      <c r="E1354">
        <v>4</v>
      </c>
      <c r="F1354">
        <v>3</v>
      </c>
      <c r="G1354" s="2">
        <v>20700</v>
      </c>
      <c r="H1354" s="4">
        <v>0.1</v>
      </c>
      <c r="I1354" s="2">
        <v>18630</v>
      </c>
      <c r="J1354" t="s">
        <v>257</v>
      </c>
      <c r="K1354" t="s">
        <v>254</v>
      </c>
      <c r="M1354" t="str">
        <f>_xlfn.XLOOKUP(E1354,tPacotes[ID_Pacote],tPacotes[Pacote])</f>
        <v>Fernando de Noronha</v>
      </c>
      <c r="N1354" t="str">
        <f>_xlfn.XLOOKUP(E1354,tPacotes[ID_Pacote],tPacotes[Categoria])</f>
        <v>Praia</v>
      </c>
      <c r="O1354" t="str">
        <f>_xlfn.XLOOKUP(D1354,tClientes[ID_Cliente],tClientes[UF])</f>
        <v>MG</v>
      </c>
    </row>
    <row r="1355" spans="1:15" x14ac:dyDescent="0.3">
      <c r="A1355">
        <v>1354</v>
      </c>
      <c r="B1355" s="3">
        <v>46278</v>
      </c>
      <c r="C1355" s="3">
        <v>46286</v>
      </c>
      <c r="D1355">
        <v>108</v>
      </c>
      <c r="E1355">
        <v>7</v>
      </c>
      <c r="F1355">
        <v>2</v>
      </c>
      <c r="G1355" s="2">
        <v>8400</v>
      </c>
      <c r="H1355" s="4">
        <v>0.15</v>
      </c>
      <c r="I1355" s="2">
        <v>7140</v>
      </c>
      <c r="J1355" t="s">
        <v>255</v>
      </c>
      <c r="K1355" t="s">
        <v>254</v>
      </c>
      <c r="L1355">
        <v>4</v>
      </c>
      <c r="M1355" t="str">
        <f>_xlfn.XLOOKUP(E1355,tPacotes[ID_Pacote],tPacotes[Pacote])</f>
        <v>Buenos Aires Clássica</v>
      </c>
      <c r="N1355" t="str">
        <f>_xlfn.XLOOKUP(E1355,tPacotes[ID_Pacote],tPacotes[Categoria])</f>
        <v>Cultural</v>
      </c>
      <c r="O1355" t="str">
        <f>_xlfn.XLOOKUP(D1355,tClientes[ID_Cliente],tClientes[UF])</f>
        <v>MG</v>
      </c>
    </row>
    <row r="1356" spans="1:15" x14ac:dyDescent="0.3">
      <c r="A1356">
        <v>1355</v>
      </c>
      <c r="B1356" s="3">
        <v>46280</v>
      </c>
      <c r="C1356" s="3">
        <v>46363</v>
      </c>
      <c r="D1356">
        <v>166</v>
      </c>
      <c r="E1356">
        <v>8</v>
      </c>
      <c r="F1356">
        <v>2</v>
      </c>
      <c r="G1356" s="2">
        <v>11800</v>
      </c>
      <c r="H1356" s="4">
        <v>0</v>
      </c>
      <c r="I1356" s="2">
        <v>11800</v>
      </c>
      <c r="J1356" t="s">
        <v>253</v>
      </c>
      <c r="K1356" t="s">
        <v>258</v>
      </c>
      <c r="M1356" t="str">
        <f>_xlfn.XLOOKUP(E1356,tPacotes[ID_Pacote],tPacotes[Pacote])</f>
        <v>Santiago e Neve</v>
      </c>
      <c r="N1356" t="str">
        <f>_xlfn.XLOOKUP(E1356,tPacotes[ID_Pacote],tPacotes[Categoria])</f>
        <v>Inverno</v>
      </c>
      <c r="O1356" t="str">
        <f>_xlfn.XLOOKUP(D1356,tClientes[ID_Cliente],tClientes[UF])</f>
        <v>RJ</v>
      </c>
    </row>
    <row r="1357" spans="1:15" x14ac:dyDescent="0.3">
      <c r="A1357">
        <v>1356</v>
      </c>
      <c r="B1357" s="3">
        <v>46280</v>
      </c>
      <c r="C1357" s="3">
        <v>46289</v>
      </c>
      <c r="D1357">
        <v>84</v>
      </c>
      <c r="E1357">
        <v>13</v>
      </c>
      <c r="F1357">
        <v>1</v>
      </c>
      <c r="G1357" s="2">
        <v>7300</v>
      </c>
      <c r="H1357" s="4">
        <v>0.1</v>
      </c>
      <c r="I1357" s="2">
        <v>6570</v>
      </c>
      <c r="J1357" t="s">
        <v>253</v>
      </c>
      <c r="K1357" t="s">
        <v>254</v>
      </c>
      <c r="L1357">
        <v>4</v>
      </c>
      <c r="M1357" t="str">
        <f>_xlfn.XLOOKUP(E1357,tPacotes[ID_Pacote],tPacotes[Pacote])</f>
        <v>Machu Picchu</v>
      </c>
      <c r="N1357" t="str">
        <f>_xlfn.XLOOKUP(E1357,tPacotes[ID_Pacote],tPacotes[Categoria])</f>
        <v>Aventura</v>
      </c>
      <c r="O1357" t="str">
        <f>_xlfn.XLOOKUP(D1357,tClientes[ID_Cliente],tClientes[UF])</f>
        <v>RS</v>
      </c>
    </row>
    <row r="1358" spans="1:15" x14ac:dyDescent="0.3">
      <c r="A1358">
        <v>1357</v>
      </c>
      <c r="B1358" s="3">
        <v>46280</v>
      </c>
      <c r="C1358" s="3">
        <v>46412</v>
      </c>
      <c r="D1358">
        <v>156</v>
      </c>
      <c r="E1358">
        <v>12</v>
      </c>
      <c r="F1358">
        <v>1</v>
      </c>
      <c r="G1358" s="2">
        <v>12400</v>
      </c>
      <c r="H1358" s="4">
        <v>0</v>
      </c>
      <c r="I1358" s="2">
        <v>12400</v>
      </c>
      <c r="J1358" t="s">
        <v>253</v>
      </c>
      <c r="K1358" t="s">
        <v>254</v>
      </c>
      <c r="M1358" t="str">
        <f>_xlfn.XLOOKUP(E1358,tPacotes[ID_Pacote],tPacotes[Pacote])</f>
        <v>Lisboa e Porto</v>
      </c>
      <c r="N1358" t="str">
        <f>_xlfn.XLOOKUP(E1358,tPacotes[ID_Pacote],tPacotes[Categoria])</f>
        <v>Cultural</v>
      </c>
      <c r="O1358" t="str">
        <f>_xlfn.XLOOKUP(D1358,tClientes[ID_Cliente],tClientes[UF])</f>
        <v>SP</v>
      </c>
    </row>
    <row r="1359" spans="1:15" x14ac:dyDescent="0.3">
      <c r="A1359">
        <v>1358</v>
      </c>
      <c r="B1359" s="3">
        <v>46281</v>
      </c>
      <c r="C1359" s="3">
        <v>46292</v>
      </c>
      <c r="D1359">
        <v>195</v>
      </c>
      <c r="E1359">
        <v>10</v>
      </c>
      <c r="F1359">
        <v>2</v>
      </c>
      <c r="G1359" s="2">
        <v>23000</v>
      </c>
      <c r="H1359" s="4">
        <v>0.1</v>
      </c>
      <c r="I1359" s="2">
        <v>20700</v>
      </c>
      <c r="J1359" t="s">
        <v>255</v>
      </c>
      <c r="K1359" t="s">
        <v>254</v>
      </c>
      <c r="M1359" t="str">
        <f>_xlfn.XLOOKUP(E1359,tPacotes[ID_Pacote],tPacotes[Pacote])</f>
        <v>Orlando Parques</v>
      </c>
      <c r="N1359" t="str">
        <f>_xlfn.XLOOKUP(E1359,tPacotes[ID_Pacote],tPacotes[Categoria])</f>
        <v>Parques</v>
      </c>
      <c r="O1359" t="str">
        <f>_xlfn.XLOOKUP(D1359,tClientes[ID_Cliente],tClientes[UF])</f>
        <v>RJ</v>
      </c>
    </row>
    <row r="1360" spans="1:15" x14ac:dyDescent="0.3">
      <c r="A1360">
        <v>1359</v>
      </c>
      <c r="B1360" s="3">
        <v>46281</v>
      </c>
      <c r="C1360" s="3">
        <v>46417</v>
      </c>
      <c r="D1360">
        <v>74</v>
      </c>
      <c r="E1360">
        <v>1</v>
      </c>
      <c r="F1360">
        <v>2</v>
      </c>
      <c r="G1360" s="2">
        <v>6400</v>
      </c>
      <c r="H1360" s="4">
        <v>0</v>
      </c>
      <c r="I1360" s="2">
        <v>6400</v>
      </c>
      <c r="J1360" t="s">
        <v>255</v>
      </c>
      <c r="K1360" t="s">
        <v>254</v>
      </c>
      <c r="M1360" t="str">
        <f>_xlfn.XLOOKUP(E1360,tPacotes[ID_Pacote],tPacotes[Pacote])</f>
        <v>Nordeste Encantado</v>
      </c>
      <c r="N1360" t="str">
        <f>_xlfn.XLOOKUP(E1360,tPacotes[ID_Pacote],tPacotes[Categoria])</f>
        <v>Praia</v>
      </c>
      <c r="O1360" t="str">
        <f>_xlfn.XLOOKUP(D1360,tClientes[ID_Cliente],tClientes[UF])</f>
        <v>SP</v>
      </c>
    </row>
    <row r="1361" spans="1:15" x14ac:dyDescent="0.3">
      <c r="A1361">
        <v>1360</v>
      </c>
      <c r="B1361" s="3">
        <v>46285</v>
      </c>
      <c r="C1361" s="3">
        <v>46300</v>
      </c>
      <c r="D1361">
        <v>127</v>
      </c>
      <c r="E1361">
        <v>4</v>
      </c>
      <c r="F1361">
        <v>1</v>
      </c>
      <c r="G1361" s="2">
        <v>6900</v>
      </c>
      <c r="H1361" s="4">
        <v>0.05</v>
      </c>
      <c r="I1361" s="2">
        <v>6555</v>
      </c>
      <c r="J1361" t="s">
        <v>253</v>
      </c>
      <c r="K1361" t="s">
        <v>254</v>
      </c>
      <c r="M1361" t="str">
        <f>_xlfn.XLOOKUP(E1361,tPacotes[ID_Pacote],tPacotes[Pacote])</f>
        <v>Fernando de Noronha</v>
      </c>
      <c r="N1361" t="str">
        <f>_xlfn.XLOOKUP(E1361,tPacotes[ID_Pacote],tPacotes[Categoria])</f>
        <v>Praia</v>
      </c>
      <c r="O1361" t="str">
        <f>_xlfn.XLOOKUP(D1361,tClientes[ID_Cliente],tClientes[UF])</f>
        <v>SP</v>
      </c>
    </row>
    <row r="1362" spans="1:15" x14ac:dyDescent="0.3">
      <c r="A1362">
        <v>1361</v>
      </c>
      <c r="B1362" s="3">
        <v>46285</v>
      </c>
      <c r="C1362" s="3">
        <v>46412</v>
      </c>
      <c r="D1362">
        <v>68</v>
      </c>
      <c r="E1362">
        <v>10</v>
      </c>
      <c r="F1362">
        <v>1</v>
      </c>
      <c r="G1362" s="2">
        <v>11500</v>
      </c>
      <c r="H1362" s="4">
        <v>0</v>
      </c>
      <c r="I1362" s="2">
        <v>11500</v>
      </c>
      <c r="J1362" t="s">
        <v>256</v>
      </c>
      <c r="K1362" t="s">
        <v>254</v>
      </c>
      <c r="M1362" t="str">
        <f>_xlfn.XLOOKUP(E1362,tPacotes[ID_Pacote],tPacotes[Pacote])</f>
        <v>Orlando Parques</v>
      </c>
      <c r="N1362" t="str">
        <f>_xlfn.XLOOKUP(E1362,tPacotes[ID_Pacote],tPacotes[Categoria])</f>
        <v>Parques</v>
      </c>
      <c r="O1362" t="str">
        <f>_xlfn.XLOOKUP(D1362,tClientes[ID_Cliente],tClientes[UF])</f>
        <v>BA</v>
      </c>
    </row>
    <row r="1363" spans="1:15" x14ac:dyDescent="0.3">
      <c r="A1363">
        <v>1362</v>
      </c>
      <c r="B1363" s="3">
        <v>46285</v>
      </c>
      <c r="C1363" s="3">
        <v>46299</v>
      </c>
      <c r="D1363">
        <v>17</v>
      </c>
      <c r="E1363">
        <v>10</v>
      </c>
      <c r="F1363">
        <v>4</v>
      </c>
      <c r="G1363" s="2">
        <v>46000</v>
      </c>
      <c r="H1363" s="4">
        <v>0.05</v>
      </c>
      <c r="I1363" s="2">
        <v>43700</v>
      </c>
      <c r="J1363" t="s">
        <v>257</v>
      </c>
      <c r="K1363" t="s">
        <v>254</v>
      </c>
      <c r="M1363" t="str">
        <f>_xlfn.XLOOKUP(E1363,tPacotes[ID_Pacote],tPacotes[Pacote])</f>
        <v>Orlando Parques</v>
      </c>
      <c r="N1363" t="str">
        <f>_xlfn.XLOOKUP(E1363,tPacotes[ID_Pacote],tPacotes[Categoria])</f>
        <v>Parques</v>
      </c>
      <c r="O1363" t="str">
        <f>_xlfn.XLOOKUP(D1363,tClientes[ID_Cliente],tClientes[UF])</f>
        <v>RJ</v>
      </c>
    </row>
    <row r="1364" spans="1:15" x14ac:dyDescent="0.3">
      <c r="A1364">
        <v>1363</v>
      </c>
      <c r="B1364" s="3">
        <v>46287</v>
      </c>
      <c r="C1364" s="3">
        <v>46296</v>
      </c>
      <c r="D1364">
        <v>97</v>
      </c>
      <c r="E1364">
        <v>2</v>
      </c>
      <c r="F1364">
        <v>3</v>
      </c>
      <c r="G1364" s="2">
        <v>5400</v>
      </c>
      <c r="H1364" s="4">
        <v>0.1</v>
      </c>
      <c r="I1364" s="2">
        <v>4860</v>
      </c>
      <c r="J1364" t="s">
        <v>255</v>
      </c>
      <c r="K1364" t="s">
        <v>258</v>
      </c>
      <c r="M1364" t="str">
        <f>_xlfn.XLOOKUP(E1364,tPacotes[ID_Pacote],tPacotes[Pacote])</f>
        <v>Rio Cidade Maravilhosa</v>
      </c>
      <c r="N1364" t="str">
        <f>_xlfn.XLOOKUP(E1364,tPacotes[ID_Pacote],tPacotes[Categoria])</f>
        <v>Cultural</v>
      </c>
      <c r="O1364" t="str">
        <f>_xlfn.XLOOKUP(D1364,tClientes[ID_Cliente],tClientes[UF])</f>
        <v>SP</v>
      </c>
    </row>
    <row r="1365" spans="1:15" x14ac:dyDescent="0.3">
      <c r="A1365">
        <v>1364</v>
      </c>
      <c r="B1365" s="3">
        <v>46287</v>
      </c>
      <c r="C1365" s="3">
        <v>46427</v>
      </c>
      <c r="D1365">
        <v>71</v>
      </c>
      <c r="E1365">
        <v>7</v>
      </c>
      <c r="F1365">
        <v>2</v>
      </c>
      <c r="G1365" s="2">
        <v>8400</v>
      </c>
      <c r="H1365" s="4">
        <v>0.05</v>
      </c>
      <c r="I1365" s="2">
        <v>7980</v>
      </c>
      <c r="J1365" t="s">
        <v>253</v>
      </c>
      <c r="K1365" t="s">
        <v>254</v>
      </c>
      <c r="M1365" t="str">
        <f>_xlfn.XLOOKUP(E1365,tPacotes[ID_Pacote],tPacotes[Pacote])</f>
        <v>Buenos Aires Clássica</v>
      </c>
      <c r="N1365" t="str">
        <f>_xlfn.XLOOKUP(E1365,tPacotes[ID_Pacote],tPacotes[Categoria])</f>
        <v>Cultural</v>
      </c>
      <c r="O1365" t="str">
        <f>_xlfn.XLOOKUP(D1365,tClientes[ID_Cliente],tClientes[UF])</f>
        <v>RJ</v>
      </c>
    </row>
    <row r="1366" spans="1:15" x14ac:dyDescent="0.3">
      <c r="A1366">
        <v>1365</v>
      </c>
      <c r="B1366" s="3">
        <v>46287</v>
      </c>
      <c r="C1366" s="3">
        <v>46298</v>
      </c>
      <c r="D1366">
        <v>130</v>
      </c>
      <c r="E1366">
        <v>2</v>
      </c>
      <c r="F1366">
        <v>2</v>
      </c>
      <c r="G1366" s="2">
        <v>3600</v>
      </c>
      <c r="H1366" s="4">
        <v>0.05</v>
      </c>
      <c r="I1366" s="2">
        <v>3420</v>
      </c>
      <c r="J1366" t="s">
        <v>253</v>
      </c>
      <c r="K1366" t="s">
        <v>254</v>
      </c>
      <c r="M1366" t="str">
        <f>_xlfn.XLOOKUP(E1366,tPacotes[ID_Pacote],tPacotes[Pacote])</f>
        <v>Rio Cidade Maravilhosa</v>
      </c>
      <c r="N1366" t="str">
        <f>_xlfn.XLOOKUP(E1366,tPacotes[ID_Pacote],tPacotes[Categoria])</f>
        <v>Cultural</v>
      </c>
      <c r="O1366" t="str">
        <f>_xlfn.XLOOKUP(D1366,tClientes[ID_Cliente],tClientes[UF])</f>
        <v>SP</v>
      </c>
    </row>
    <row r="1367" spans="1:15" x14ac:dyDescent="0.3">
      <c r="A1367">
        <v>1366</v>
      </c>
      <c r="B1367" s="3">
        <v>46289</v>
      </c>
      <c r="C1367" s="3">
        <v>46301</v>
      </c>
      <c r="D1367">
        <v>71</v>
      </c>
      <c r="E1367">
        <v>1</v>
      </c>
      <c r="F1367">
        <v>2</v>
      </c>
      <c r="G1367" s="2">
        <v>6400</v>
      </c>
      <c r="H1367" s="4">
        <v>0.1</v>
      </c>
      <c r="I1367" s="2">
        <v>5760</v>
      </c>
      <c r="J1367" t="s">
        <v>257</v>
      </c>
      <c r="K1367" t="s">
        <v>254</v>
      </c>
      <c r="M1367" t="str">
        <f>_xlfn.XLOOKUP(E1367,tPacotes[ID_Pacote],tPacotes[Pacote])</f>
        <v>Nordeste Encantado</v>
      </c>
      <c r="N1367" t="str">
        <f>_xlfn.XLOOKUP(E1367,tPacotes[ID_Pacote],tPacotes[Categoria])</f>
        <v>Praia</v>
      </c>
      <c r="O1367" t="str">
        <f>_xlfn.XLOOKUP(D1367,tClientes[ID_Cliente],tClientes[UF])</f>
        <v>RJ</v>
      </c>
    </row>
    <row r="1368" spans="1:15" x14ac:dyDescent="0.3">
      <c r="A1368">
        <v>1367</v>
      </c>
      <c r="B1368" s="3">
        <v>46289</v>
      </c>
      <c r="C1368" s="3">
        <v>46292</v>
      </c>
      <c r="D1368">
        <v>179</v>
      </c>
      <c r="E1368">
        <v>2</v>
      </c>
      <c r="F1368">
        <v>2</v>
      </c>
      <c r="G1368" s="2">
        <v>3600</v>
      </c>
      <c r="H1368" s="4">
        <v>0.15</v>
      </c>
      <c r="I1368" s="2">
        <v>3060</v>
      </c>
      <c r="J1368" t="s">
        <v>255</v>
      </c>
      <c r="K1368" t="s">
        <v>254</v>
      </c>
      <c r="M1368" t="str">
        <f>_xlfn.XLOOKUP(E1368,tPacotes[ID_Pacote],tPacotes[Pacote])</f>
        <v>Rio Cidade Maravilhosa</v>
      </c>
      <c r="N1368" t="str">
        <f>_xlfn.XLOOKUP(E1368,tPacotes[ID_Pacote],tPacotes[Categoria])</f>
        <v>Cultural</v>
      </c>
      <c r="O1368" t="str">
        <f>_xlfn.XLOOKUP(D1368,tClientes[ID_Cliente],tClientes[UF])</f>
        <v>SP</v>
      </c>
    </row>
    <row r="1369" spans="1:15" x14ac:dyDescent="0.3">
      <c r="A1369">
        <v>1368</v>
      </c>
      <c r="B1369" s="3">
        <v>46289</v>
      </c>
      <c r="C1369" s="3">
        <v>46389</v>
      </c>
      <c r="D1369">
        <v>131</v>
      </c>
      <c r="E1369">
        <v>7</v>
      </c>
      <c r="F1369">
        <v>2</v>
      </c>
      <c r="G1369" s="2">
        <v>8400</v>
      </c>
      <c r="H1369" s="4">
        <v>0.05</v>
      </c>
      <c r="I1369" s="2">
        <v>7980</v>
      </c>
      <c r="J1369" t="s">
        <v>253</v>
      </c>
      <c r="K1369" t="s">
        <v>258</v>
      </c>
      <c r="M1369" t="str">
        <f>_xlfn.XLOOKUP(E1369,tPacotes[ID_Pacote],tPacotes[Pacote])</f>
        <v>Buenos Aires Clássica</v>
      </c>
      <c r="N1369" t="str">
        <f>_xlfn.XLOOKUP(E1369,tPacotes[ID_Pacote],tPacotes[Categoria])</f>
        <v>Cultural</v>
      </c>
      <c r="O1369" t="str">
        <f>_xlfn.XLOOKUP(D1369,tClientes[ID_Cliente],tClientes[UF])</f>
        <v>RJ</v>
      </c>
    </row>
    <row r="1370" spans="1:15" x14ac:dyDescent="0.3">
      <c r="A1370">
        <v>1369</v>
      </c>
      <c r="B1370" s="3">
        <v>46289</v>
      </c>
      <c r="C1370" s="3">
        <v>46302</v>
      </c>
      <c r="D1370">
        <v>40</v>
      </c>
      <c r="E1370">
        <v>9</v>
      </c>
      <c r="F1370">
        <v>3</v>
      </c>
      <c r="G1370" s="2">
        <v>26700</v>
      </c>
      <c r="H1370" s="4">
        <v>0</v>
      </c>
      <c r="I1370" s="2">
        <v>26700</v>
      </c>
      <c r="J1370" t="s">
        <v>253</v>
      </c>
      <c r="K1370" t="s">
        <v>254</v>
      </c>
      <c r="M1370" t="str">
        <f>_xlfn.XLOOKUP(E1370,tPacotes[ID_Pacote],tPacotes[Pacote])</f>
        <v>Cancún All Inclusive</v>
      </c>
      <c r="N1370" t="str">
        <f>_xlfn.XLOOKUP(E1370,tPacotes[ID_Pacote],tPacotes[Categoria])</f>
        <v>Praia</v>
      </c>
      <c r="O1370" t="str">
        <f>_xlfn.XLOOKUP(D1370,tClientes[ID_Cliente],tClientes[UF])</f>
        <v>RJ</v>
      </c>
    </row>
    <row r="1371" spans="1:15" x14ac:dyDescent="0.3">
      <c r="A1371">
        <v>1370</v>
      </c>
      <c r="B1371" s="3">
        <v>46290</v>
      </c>
      <c r="C1371" s="3">
        <v>46322</v>
      </c>
      <c r="D1371">
        <v>27</v>
      </c>
      <c r="E1371">
        <v>6</v>
      </c>
      <c r="F1371">
        <v>1</v>
      </c>
      <c r="G1371" s="2">
        <v>2100</v>
      </c>
      <c r="H1371" s="4">
        <v>0.1</v>
      </c>
      <c r="I1371" s="2">
        <v>1890</v>
      </c>
      <c r="J1371" t="s">
        <v>256</v>
      </c>
      <c r="K1371" t="s">
        <v>254</v>
      </c>
      <c r="M1371" t="str">
        <f>_xlfn.XLOOKUP(E1371,tPacotes[ID_Pacote],tPacotes[Pacote])</f>
        <v>Foz do Iguaçu</v>
      </c>
      <c r="N1371" t="str">
        <f>_xlfn.XLOOKUP(E1371,tPacotes[ID_Pacote],tPacotes[Categoria])</f>
        <v>Natureza</v>
      </c>
      <c r="O1371" t="str">
        <f>_xlfn.XLOOKUP(D1371,tClientes[ID_Cliente],tClientes[UF])</f>
        <v>PR</v>
      </c>
    </row>
    <row r="1372" spans="1:15" x14ac:dyDescent="0.3">
      <c r="A1372">
        <v>1371</v>
      </c>
      <c r="B1372" s="3">
        <v>46291</v>
      </c>
      <c r="C1372" s="3">
        <v>46305</v>
      </c>
      <c r="D1372">
        <v>183</v>
      </c>
      <c r="E1372">
        <v>2</v>
      </c>
      <c r="F1372">
        <v>2</v>
      </c>
      <c r="G1372" s="2">
        <v>3600</v>
      </c>
      <c r="H1372" s="4">
        <v>0.1</v>
      </c>
      <c r="I1372" s="2">
        <v>3240</v>
      </c>
      <c r="J1372" t="s">
        <v>253</v>
      </c>
      <c r="K1372" t="s">
        <v>254</v>
      </c>
      <c r="M1372" t="str">
        <f>_xlfn.XLOOKUP(E1372,tPacotes[ID_Pacote],tPacotes[Pacote])</f>
        <v>Rio Cidade Maravilhosa</v>
      </c>
      <c r="N1372" t="str">
        <f>_xlfn.XLOOKUP(E1372,tPacotes[ID_Pacote],tPacotes[Categoria])</f>
        <v>Cultural</v>
      </c>
      <c r="O1372" t="str">
        <f>_xlfn.XLOOKUP(D1372,tClientes[ID_Cliente],tClientes[UF])</f>
        <v>MG</v>
      </c>
    </row>
    <row r="1373" spans="1:15" x14ac:dyDescent="0.3">
      <c r="A1373">
        <v>1372</v>
      </c>
      <c r="B1373" s="3">
        <v>46292</v>
      </c>
      <c r="C1373" s="3">
        <v>46422</v>
      </c>
      <c r="D1373">
        <v>51</v>
      </c>
      <c r="E1373">
        <v>7</v>
      </c>
      <c r="F1373">
        <v>1</v>
      </c>
      <c r="G1373" s="2">
        <v>4200</v>
      </c>
      <c r="H1373" s="4">
        <v>0.1</v>
      </c>
      <c r="I1373" s="2">
        <v>3780</v>
      </c>
      <c r="J1373" t="s">
        <v>256</v>
      </c>
      <c r="K1373" t="s">
        <v>254</v>
      </c>
      <c r="M1373" t="str">
        <f>_xlfn.XLOOKUP(E1373,tPacotes[ID_Pacote],tPacotes[Pacote])</f>
        <v>Buenos Aires Clássica</v>
      </c>
      <c r="N1373" t="str">
        <f>_xlfn.XLOOKUP(E1373,tPacotes[ID_Pacote],tPacotes[Categoria])</f>
        <v>Cultural</v>
      </c>
      <c r="O1373" t="str">
        <f>_xlfn.XLOOKUP(D1373,tClientes[ID_Cliente],tClientes[UF])</f>
        <v>RJ</v>
      </c>
    </row>
    <row r="1374" spans="1:15" x14ac:dyDescent="0.3">
      <c r="A1374">
        <v>1373</v>
      </c>
      <c r="B1374" s="3">
        <v>46292</v>
      </c>
      <c r="C1374" s="3">
        <v>46338</v>
      </c>
      <c r="D1374">
        <v>159</v>
      </c>
      <c r="E1374">
        <v>7</v>
      </c>
      <c r="F1374">
        <v>2</v>
      </c>
      <c r="G1374" s="2">
        <v>8400</v>
      </c>
      <c r="H1374" s="4">
        <v>0</v>
      </c>
      <c r="I1374" s="2">
        <v>8400</v>
      </c>
      <c r="J1374" t="s">
        <v>257</v>
      </c>
      <c r="K1374" t="s">
        <v>254</v>
      </c>
      <c r="M1374" t="str">
        <f>_xlfn.XLOOKUP(E1374,tPacotes[ID_Pacote],tPacotes[Pacote])</f>
        <v>Buenos Aires Clássica</v>
      </c>
      <c r="N1374" t="str">
        <f>_xlfn.XLOOKUP(E1374,tPacotes[ID_Pacote],tPacotes[Categoria])</f>
        <v>Cultural</v>
      </c>
      <c r="O1374" t="str">
        <f>_xlfn.XLOOKUP(D1374,tClientes[ID_Cliente],tClientes[UF])</f>
        <v>SP</v>
      </c>
    </row>
    <row r="1375" spans="1:15" x14ac:dyDescent="0.3">
      <c r="A1375">
        <v>1374</v>
      </c>
      <c r="B1375" s="3">
        <v>46292</v>
      </c>
      <c r="C1375" s="3">
        <v>46342</v>
      </c>
      <c r="D1375">
        <v>125</v>
      </c>
      <c r="E1375">
        <v>3</v>
      </c>
      <c r="F1375">
        <v>3</v>
      </c>
      <c r="G1375" s="2">
        <v>7800</v>
      </c>
      <c r="H1375" s="4">
        <v>0</v>
      </c>
      <c r="I1375" s="2">
        <v>7800</v>
      </c>
      <c r="J1375" t="s">
        <v>255</v>
      </c>
      <c r="K1375" t="s">
        <v>258</v>
      </c>
      <c r="M1375" t="str">
        <f>_xlfn.XLOOKUP(E1375,tPacotes[ID_Pacote],tPacotes[Pacote])</f>
        <v>Serra Gaúcha</v>
      </c>
      <c r="N1375" t="str">
        <f>_xlfn.XLOOKUP(E1375,tPacotes[ID_Pacote],tPacotes[Categoria])</f>
        <v>Inverno</v>
      </c>
      <c r="O1375" t="str">
        <f>_xlfn.XLOOKUP(D1375,tClientes[ID_Cliente],tClientes[UF])</f>
        <v>MG</v>
      </c>
    </row>
    <row r="1376" spans="1:15" x14ac:dyDescent="0.3">
      <c r="A1376">
        <v>1375</v>
      </c>
      <c r="B1376" s="3">
        <v>46292</v>
      </c>
      <c r="C1376" s="3">
        <v>46412</v>
      </c>
      <c r="D1376">
        <v>114</v>
      </c>
      <c r="E1376">
        <v>9</v>
      </c>
      <c r="F1376">
        <v>2</v>
      </c>
      <c r="G1376" s="2">
        <v>17800</v>
      </c>
      <c r="H1376" s="4">
        <v>0.05</v>
      </c>
      <c r="I1376" s="2">
        <v>16910</v>
      </c>
      <c r="J1376" t="s">
        <v>253</v>
      </c>
      <c r="K1376" t="s">
        <v>254</v>
      </c>
      <c r="M1376" t="str">
        <f>_xlfn.XLOOKUP(E1376,tPacotes[ID_Pacote],tPacotes[Pacote])</f>
        <v>Cancún All Inclusive</v>
      </c>
      <c r="N1376" t="str">
        <f>_xlfn.XLOOKUP(E1376,tPacotes[ID_Pacote],tPacotes[Categoria])</f>
        <v>Praia</v>
      </c>
      <c r="O1376" t="str">
        <f>_xlfn.XLOOKUP(D1376,tClientes[ID_Cliente],tClientes[UF])</f>
        <v>SP</v>
      </c>
    </row>
    <row r="1377" spans="1:15" x14ac:dyDescent="0.3">
      <c r="A1377">
        <v>1376</v>
      </c>
      <c r="B1377" s="3">
        <v>46293</v>
      </c>
      <c r="C1377" s="3">
        <v>46350</v>
      </c>
      <c r="D1377">
        <v>76</v>
      </c>
      <c r="E1377">
        <v>3</v>
      </c>
      <c r="F1377">
        <v>2</v>
      </c>
      <c r="G1377" s="2">
        <v>5200</v>
      </c>
      <c r="H1377" s="4">
        <v>0</v>
      </c>
      <c r="I1377" s="2">
        <v>5200</v>
      </c>
      <c r="J1377" t="s">
        <v>253</v>
      </c>
      <c r="K1377" t="s">
        <v>254</v>
      </c>
      <c r="M1377" t="str">
        <f>_xlfn.XLOOKUP(E1377,tPacotes[ID_Pacote],tPacotes[Pacote])</f>
        <v>Serra Gaúcha</v>
      </c>
      <c r="N1377" t="str">
        <f>_xlfn.XLOOKUP(E1377,tPacotes[ID_Pacote],tPacotes[Categoria])</f>
        <v>Inverno</v>
      </c>
      <c r="O1377" t="str">
        <f>_xlfn.XLOOKUP(D1377,tClientes[ID_Cliente],tClientes[UF])</f>
        <v>DF</v>
      </c>
    </row>
    <row r="1378" spans="1:15" x14ac:dyDescent="0.3">
      <c r="A1378">
        <v>1377</v>
      </c>
      <c r="B1378" s="3">
        <v>46293</v>
      </c>
      <c r="C1378" s="3">
        <v>46343</v>
      </c>
      <c r="D1378">
        <v>179</v>
      </c>
      <c r="E1378">
        <v>14</v>
      </c>
      <c r="F1378">
        <v>1</v>
      </c>
      <c r="G1378" s="2">
        <v>2900</v>
      </c>
      <c r="H1378" s="4">
        <v>0.05</v>
      </c>
      <c r="I1378" s="2">
        <v>2755</v>
      </c>
      <c r="J1378" t="s">
        <v>253</v>
      </c>
      <c r="K1378" t="s">
        <v>254</v>
      </c>
      <c r="M1378" t="str">
        <f>_xlfn.XLOOKUP(E1378,tPacotes[ID_Pacote],tPacotes[Pacote])</f>
        <v>Lençóis Maranhenses</v>
      </c>
      <c r="N1378" t="str">
        <f>_xlfn.XLOOKUP(E1378,tPacotes[ID_Pacote],tPacotes[Categoria])</f>
        <v>Natureza</v>
      </c>
      <c r="O1378" t="str">
        <f>_xlfn.XLOOKUP(D1378,tClientes[ID_Cliente],tClientes[UF])</f>
        <v>SP</v>
      </c>
    </row>
    <row r="1379" spans="1:15" x14ac:dyDescent="0.3">
      <c r="A1379">
        <v>1378</v>
      </c>
      <c r="B1379" s="3">
        <v>46294</v>
      </c>
      <c r="C1379" s="3">
        <v>46337</v>
      </c>
      <c r="D1379">
        <v>52</v>
      </c>
      <c r="E1379">
        <v>15</v>
      </c>
      <c r="F1379">
        <v>3</v>
      </c>
      <c r="G1379" s="2">
        <v>9300</v>
      </c>
      <c r="H1379" s="4">
        <v>0.1</v>
      </c>
      <c r="I1379" s="2">
        <v>8370</v>
      </c>
      <c r="J1379" t="s">
        <v>253</v>
      </c>
      <c r="K1379" t="s">
        <v>254</v>
      </c>
      <c r="M1379" t="str">
        <f>_xlfn.XLOOKUP(E1379,tPacotes[ID_Pacote],tPacotes[Pacote])</f>
        <v>Jericoacoara</v>
      </c>
      <c r="N1379" t="str">
        <f>_xlfn.XLOOKUP(E1379,tPacotes[ID_Pacote],tPacotes[Categoria])</f>
        <v>Praia</v>
      </c>
      <c r="O1379" t="str">
        <f>_xlfn.XLOOKUP(D1379,tClientes[ID_Cliente],tClientes[UF])</f>
        <v>SP</v>
      </c>
    </row>
    <row r="1380" spans="1:15" x14ac:dyDescent="0.3">
      <c r="A1380">
        <v>1379</v>
      </c>
      <c r="B1380" s="3">
        <v>46294</v>
      </c>
      <c r="C1380" s="3">
        <v>46352</v>
      </c>
      <c r="D1380">
        <v>162</v>
      </c>
      <c r="E1380">
        <v>4</v>
      </c>
      <c r="F1380">
        <v>2</v>
      </c>
      <c r="G1380" s="2">
        <v>13800</v>
      </c>
      <c r="H1380" s="4">
        <v>0.05</v>
      </c>
      <c r="I1380" s="2">
        <v>13110</v>
      </c>
      <c r="J1380" t="s">
        <v>257</v>
      </c>
      <c r="K1380" t="s">
        <v>254</v>
      </c>
      <c r="M1380" t="str">
        <f>_xlfn.XLOOKUP(E1380,tPacotes[ID_Pacote],tPacotes[Pacote])</f>
        <v>Fernando de Noronha</v>
      </c>
      <c r="N1380" t="str">
        <f>_xlfn.XLOOKUP(E1380,tPacotes[ID_Pacote],tPacotes[Categoria])</f>
        <v>Praia</v>
      </c>
      <c r="O1380" t="str">
        <f>_xlfn.XLOOKUP(D1380,tClientes[ID_Cliente],tClientes[UF])</f>
        <v>SP</v>
      </c>
    </row>
    <row r="1381" spans="1:15" x14ac:dyDescent="0.3">
      <c r="A1381">
        <v>1380</v>
      </c>
      <c r="B1381" s="3">
        <v>46295</v>
      </c>
      <c r="C1381" s="3">
        <v>46302</v>
      </c>
      <c r="D1381">
        <v>22</v>
      </c>
      <c r="E1381">
        <v>1</v>
      </c>
      <c r="F1381">
        <v>2</v>
      </c>
      <c r="G1381" s="2">
        <v>6400</v>
      </c>
      <c r="H1381" s="4">
        <v>0</v>
      </c>
      <c r="I1381" s="2">
        <v>6400</v>
      </c>
      <c r="J1381" t="s">
        <v>257</v>
      </c>
      <c r="K1381" t="s">
        <v>254</v>
      </c>
      <c r="M1381" t="str">
        <f>_xlfn.XLOOKUP(E1381,tPacotes[ID_Pacote],tPacotes[Pacote])</f>
        <v>Nordeste Encantado</v>
      </c>
      <c r="N1381" t="str">
        <f>_xlfn.XLOOKUP(E1381,tPacotes[ID_Pacote],tPacotes[Categoria])</f>
        <v>Praia</v>
      </c>
      <c r="O1381" t="str">
        <f>_xlfn.XLOOKUP(D1381,tClientes[ID_Cliente],tClientes[UF])</f>
        <v>SP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Clientes</vt:lpstr>
      <vt:lpstr>Pacotes</vt:lpstr>
      <vt:lpstr>TD_Categoria</vt:lpstr>
      <vt:lpstr>Dashboard</vt:lpstr>
      <vt:lpstr>TD_Mes</vt:lpstr>
      <vt:lpstr>TD_Canal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Braga de Oliveira</cp:lastModifiedBy>
  <dcterms:created xsi:type="dcterms:W3CDTF">2026-10-02T16:58:27Z</dcterms:created>
  <dcterms:modified xsi:type="dcterms:W3CDTF">2026-10-04T22:09:08Z</dcterms:modified>
</cp:coreProperties>
</file>